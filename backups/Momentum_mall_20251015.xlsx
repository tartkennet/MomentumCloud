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obias Ankreus\Desktop\"/>
    </mc:Choice>
  </mc:AlternateContent>
  <xr:revisionPtr revIDLastSave="0" documentId="13_ncr:1_{93D3F304-D391-498A-A296-58DA8CBBAE76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Universe" sheetId="1" r:id="rId1"/>
    <sheet name="Calc" sheetId="2" r:id="rId2"/>
    <sheet name="BuyNow" sheetId="3" r:id="rId3"/>
    <sheet name="Trades" sheetId="4" r:id="rId4"/>
    <sheet name="Holdings" sheetId="5" r:id="rId5"/>
    <sheet name="Review" sheetId="6" r:id="rId6"/>
    <sheet name="Metrics" sheetId="7" r:id="rId7"/>
    <sheet name="Parametrar" sheetId="8" r:id="rId8"/>
    <sheet name="Kandidater" sheetId="9" r:id="rId9"/>
    <sheet name="EarlyCandidat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6" l="1"/>
  <c r="E21" i="6" s="1"/>
  <c r="E22" i="6" s="1"/>
  <c r="D11" i="6"/>
  <c r="C11" i="6"/>
  <c r="H10" i="6"/>
  <c r="D10" i="6"/>
  <c r="C10" i="6"/>
  <c r="D2" i="6"/>
  <c r="D21" i="6" s="1"/>
  <c r="J21" i="6" s="1"/>
  <c r="J22" i="6" s="1"/>
  <c r="C2" i="6"/>
  <c r="C21" i="6" s="1"/>
  <c r="I21" i="6" s="1"/>
  <c r="I22" i="6" s="1"/>
  <c r="B2" i="6"/>
  <c r="E2" i="6" l="1"/>
  <c r="F2" i="6"/>
  <c r="G9" i="6"/>
</calcChain>
</file>

<file path=xl/sharedStrings.xml><?xml version="1.0" encoding="utf-8"?>
<sst xmlns="http://schemas.openxmlformats.org/spreadsheetml/2006/main" count="5323" uniqueCount="2633">
  <si>
    <t>Ticker</t>
  </si>
  <si>
    <t>AAPL</t>
  </si>
  <si>
    <t>ABNB</t>
  </si>
  <si>
    <t>ADBE</t>
  </si>
  <si>
    <t>ADI</t>
  </si>
  <si>
    <t>ADP</t>
  </si>
  <si>
    <t>ADSK</t>
  </si>
  <si>
    <t>AEP</t>
  </si>
  <si>
    <t>AMAT</t>
  </si>
  <si>
    <t>AMD</t>
  </si>
  <si>
    <t>AMGN</t>
  </si>
  <si>
    <t>AMZN</t>
  </si>
  <si>
    <t>APP</t>
  </si>
  <si>
    <t>ARM</t>
  </si>
  <si>
    <t>ASML</t>
  </si>
  <si>
    <t>AVGO</t>
  </si>
  <si>
    <t>AXON</t>
  </si>
  <si>
    <t>AZN</t>
  </si>
  <si>
    <t>BIIB</t>
  </si>
  <si>
    <t>BKNG</t>
  </si>
  <si>
    <t>BKR</t>
  </si>
  <si>
    <t>CCEP</t>
  </si>
  <si>
    <t>CDNS</t>
  </si>
  <si>
    <t>CDW</t>
  </si>
  <si>
    <t>CEG</t>
  </si>
  <si>
    <t>CHTR</t>
  </si>
  <si>
    <t>CMCSA</t>
  </si>
  <si>
    <t>COST</t>
  </si>
  <si>
    <t>CPRT</t>
  </si>
  <si>
    <t>CRWD</t>
  </si>
  <si>
    <t>CSCO</t>
  </si>
  <si>
    <t>CSGP</t>
  </si>
  <si>
    <t>CSX</t>
  </si>
  <si>
    <t>CTAS</t>
  </si>
  <si>
    <t>CTSH</t>
  </si>
  <si>
    <t>DASH</t>
  </si>
  <si>
    <t>DDOG</t>
  </si>
  <si>
    <t>DXCM</t>
  </si>
  <si>
    <t>EA</t>
  </si>
  <si>
    <t>EXC</t>
  </si>
  <si>
    <t>FANG</t>
  </si>
  <si>
    <t>FAST</t>
  </si>
  <si>
    <t>FTNT</t>
  </si>
  <si>
    <t>GEHC</t>
  </si>
  <si>
    <t>GFS</t>
  </si>
  <si>
    <t>GILD</t>
  </si>
  <si>
    <t>GOOG</t>
  </si>
  <si>
    <t>GOOGL</t>
  </si>
  <si>
    <t>HON</t>
  </si>
  <si>
    <t>IDXX</t>
  </si>
  <si>
    <t>INTC</t>
  </si>
  <si>
    <t>INTU</t>
  </si>
  <si>
    <t>ISRG</t>
  </si>
  <si>
    <t>KDP</t>
  </si>
  <si>
    <t>KHC</t>
  </si>
  <si>
    <t>KLAC</t>
  </si>
  <si>
    <t>LIN</t>
  </si>
  <si>
    <t>LRCX</t>
  </si>
  <si>
    <t>LULU</t>
  </si>
  <si>
    <t>MAR</t>
  </si>
  <si>
    <t>MCHP</t>
  </si>
  <si>
    <t>MDLZ</t>
  </si>
  <si>
    <t>MELI</t>
  </si>
  <si>
    <t>META</t>
  </si>
  <si>
    <t>MNST</t>
  </si>
  <si>
    <t>MRVL</t>
  </si>
  <si>
    <t>MSFT</t>
  </si>
  <si>
    <t>MSTR</t>
  </si>
  <si>
    <t>MU</t>
  </si>
  <si>
    <t>NFLX</t>
  </si>
  <si>
    <t>NVDA</t>
  </si>
  <si>
    <t>NXPI</t>
  </si>
  <si>
    <t>ODFL</t>
  </si>
  <si>
    <t>ON</t>
  </si>
  <si>
    <t>ORLY</t>
  </si>
  <si>
    <t>PANW</t>
  </si>
  <si>
    <t>PAYX</t>
  </si>
  <si>
    <t>PCAR</t>
  </si>
  <si>
    <t>PDD</t>
  </si>
  <si>
    <t>PEP</t>
  </si>
  <si>
    <t>PLTR</t>
  </si>
  <si>
    <t>PYPL</t>
  </si>
  <si>
    <t>QCOM</t>
  </si>
  <si>
    <t>REGN</t>
  </si>
  <si>
    <t>ROP</t>
  </si>
  <si>
    <t>ROST</t>
  </si>
  <si>
    <t>SBUX</t>
  </si>
  <si>
    <t>SHOP</t>
  </si>
  <si>
    <t>SNPS</t>
  </si>
  <si>
    <t>TEAM</t>
  </si>
  <si>
    <t>TMUS</t>
  </si>
  <si>
    <t>TRI</t>
  </si>
  <si>
    <t>TSLA</t>
  </si>
  <si>
    <t>TTD</t>
  </si>
  <si>
    <t>TTWO</t>
  </si>
  <si>
    <t>TXN</t>
  </si>
  <si>
    <t>VRSK</t>
  </si>
  <si>
    <t>VRTX</t>
  </si>
  <si>
    <t>WBD</t>
  </si>
  <si>
    <t>WDAY</t>
  </si>
  <si>
    <t>XEL</t>
  </si>
  <si>
    <t>ZS</t>
  </si>
  <si>
    <t>MMM</t>
  </si>
  <si>
    <t>AOS</t>
  </si>
  <si>
    <t>ABT</t>
  </si>
  <si>
    <t>ABBV</t>
  </si>
  <si>
    <t>ACN</t>
  </si>
  <si>
    <t>AES</t>
  </si>
  <si>
    <t>AFL</t>
  </si>
  <si>
    <t>A</t>
  </si>
  <si>
    <t>APD</t>
  </si>
  <si>
    <t>AKAM</t>
  </si>
  <si>
    <t>ALB</t>
  </si>
  <si>
    <t>ARE</t>
  </si>
  <si>
    <t>ALGN</t>
  </si>
  <si>
    <t>ALLE</t>
  </si>
  <si>
    <t>LNT</t>
  </si>
  <si>
    <t>ALL</t>
  </si>
  <si>
    <t>MO</t>
  </si>
  <si>
    <t>AMCR</t>
  </si>
  <si>
    <t>AEE</t>
  </si>
  <si>
    <t>AXP</t>
  </si>
  <si>
    <t>AIG</t>
  </si>
  <si>
    <t>AMT</t>
  </si>
  <si>
    <t>AWK</t>
  </si>
  <si>
    <t>AMP</t>
  </si>
  <si>
    <t>AME</t>
  </si>
  <si>
    <t>APH</t>
  </si>
  <si>
    <t>AON</t>
  </si>
  <si>
    <t>APA</t>
  </si>
  <si>
    <t>APO</t>
  </si>
  <si>
    <t>APTV</t>
  </si>
  <si>
    <t>ACGL</t>
  </si>
  <si>
    <t>ADM</t>
  </si>
  <si>
    <t>ANET</t>
  </si>
  <si>
    <t>AJG</t>
  </si>
  <si>
    <t>AIZ</t>
  </si>
  <si>
    <t>T</t>
  </si>
  <si>
    <t>ATO</t>
  </si>
  <si>
    <t>AZO</t>
  </si>
  <si>
    <t>AVB</t>
  </si>
  <si>
    <t>AVY</t>
  </si>
  <si>
    <t>BALL</t>
  </si>
  <si>
    <t>BAC</t>
  </si>
  <si>
    <t>BAX</t>
  </si>
  <si>
    <t>BDX</t>
  </si>
  <si>
    <t>BRK.B</t>
  </si>
  <si>
    <t>BBY</t>
  </si>
  <si>
    <t>TECH</t>
  </si>
  <si>
    <t>BLK</t>
  </si>
  <si>
    <t>BX</t>
  </si>
  <si>
    <t>XYZ</t>
  </si>
  <si>
    <t>BK</t>
  </si>
  <si>
    <t>BA</t>
  </si>
  <si>
    <t>BSX</t>
  </si>
  <si>
    <t>BMY</t>
  </si>
  <si>
    <t>BR</t>
  </si>
  <si>
    <t>BRO</t>
  </si>
  <si>
    <t>BF.B</t>
  </si>
  <si>
    <t>BLDR</t>
  </si>
  <si>
    <t>BG</t>
  </si>
  <si>
    <t>BXP</t>
  </si>
  <si>
    <t>CHRW</t>
  </si>
  <si>
    <t>CZR</t>
  </si>
  <si>
    <t>CPT</t>
  </si>
  <si>
    <t>CPB</t>
  </si>
  <si>
    <t>COF</t>
  </si>
  <si>
    <t>CAH</t>
  </si>
  <si>
    <t>KMX</t>
  </si>
  <si>
    <t>CCL</t>
  </si>
  <si>
    <t>CARR</t>
  </si>
  <si>
    <t>CAT</t>
  </si>
  <si>
    <t>CBOE</t>
  </si>
  <si>
    <t>CBRE</t>
  </si>
  <si>
    <t>COR</t>
  </si>
  <si>
    <t>CNC</t>
  </si>
  <si>
    <t>CNP</t>
  </si>
  <si>
    <t>CF</t>
  </si>
  <si>
    <t>CRL</t>
  </si>
  <si>
    <t>SCHW</t>
  </si>
  <si>
    <t>CVX</t>
  </si>
  <si>
    <t>CMG</t>
  </si>
  <si>
    <t>CB</t>
  </si>
  <si>
    <t>CHD</t>
  </si>
  <si>
    <t>CI</t>
  </si>
  <si>
    <t>CINF</t>
  </si>
  <si>
    <t>C</t>
  </si>
  <si>
    <t>CFG</t>
  </si>
  <si>
    <t>CLX</t>
  </si>
  <si>
    <t>CME</t>
  </si>
  <si>
    <t>CMS</t>
  </si>
  <si>
    <t>KO</t>
  </si>
  <si>
    <t>COIN</t>
  </si>
  <si>
    <t>CL</t>
  </si>
  <si>
    <t>CAG</t>
  </si>
  <si>
    <t>COP</t>
  </si>
  <si>
    <t>ED</t>
  </si>
  <si>
    <t>STZ</t>
  </si>
  <si>
    <t>COO</t>
  </si>
  <si>
    <t>GLW</t>
  </si>
  <si>
    <t>CPAY</t>
  </si>
  <si>
    <t>CTVA</t>
  </si>
  <si>
    <t>CTRA</t>
  </si>
  <si>
    <t>CCI</t>
  </si>
  <si>
    <t>CMI</t>
  </si>
  <si>
    <t>CVS</t>
  </si>
  <si>
    <t>DHR</t>
  </si>
  <si>
    <t>DRI</t>
  </si>
  <si>
    <t>DVA</t>
  </si>
  <si>
    <t>DAY</t>
  </si>
  <si>
    <t>DECK</t>
  </si>
  <si>
    <t>DE</t>
  </si>
  <si>
    <t>DELL</t>
  </si>
  <si>
    <t>DAL</t>
  </si>
  <si>
    <t>DVN</t>
  </si>
  <si>
    <t>DLR</t>
  </si>
  <si>
    <t>DG</t>
  </si>
  <si>
    <t>DLTR</t>
  </si>
  <si>
    <t>D</t>
  </si>
  <si>
    <t>DPZ</t>
  </si>
  <si>
    <t>DOV</t>
  </si>
  <si>
    <t>DOW</t>
  </si>
  <si>
    <t>DHI</t>
  </si>
  <si>
    <t>DTE</t>
  </si>
  <si>
    <t>DUK</t>
  </si>
  <si>
    <t>DD</t>
  </si>
  <si>
    <t>EMN</t>
  </si>
  <si>
    <t>ETN</t>
  </si>
  <si>
    <t>EBAY</t>
  </si>
  <si>
    <t>ECL</t>
  </si>
  <si>
    <t>EIX</t>
  </si>
  <si>
    <t>EW</t>
  </si>
  <si>
    <t>ELV</t>
  </si>
  <si>
    <t>EMR</t>
  </si>
  <si>
    <t>ENPH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</si>
  <si>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</si>
  <si>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</si>
  <si>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</si>
  <si>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</si>
  <si>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</si>
  <si>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</si>
  <si>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</si>
  <si>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</si>
  <si>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</si>
  <si>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</si>
  <si>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</si>
  <si>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</si>
  <si>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</si>
  <si>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EXE</t>
  </si>
  <si>
    <t>EXPE</t>
  </si>
  <si>
    <t>EXPD</t>
  </si>
  <si>
    <t>EXR</t>
  </si>
  <si>
    <t>XOM</t>
  </si>
  <si>
    <t>FFIV</t>
  </si>
  <si>
    <t>FDS</t>
  </si>
  <si>
    <t>FICO</t>
  </si>
  <si>
    <t>FRT</t>
  </si>
  <si>
    <t>FDX</t>
  </si>
  <si>
    <t>FIS</t>
  </si>
  <si>
    <t>FITB</t>
  </si>
  <si>
    <t>FSLR</t>
  </si>
  <si>
    <t>FE</t>
  </si>
  <si>
    <t>FI</t>
  </si>
  <si>
    <t>F</t>
  </si>
  <si>
    <t>FTV</t>
  </si>
  <si>
    <t>FOXA</t>
  </si>
  <si>
    <t>FOX</t>
  </si>
  <si>
    <t>BEN</t>
  </si>
  <si>
    <t>FCX</t>
  </si>
  <si>
    <t>GRMN</t>
  </si>
  <si>
    <t>IT</t>
  </si>
  <si>
    <t>GE</t>
  </si>
  <si>
    <t>GEV</t>
  </si>
  <si>
    <t>GEN</t>
  </si>
  <si>
    <t>GNRC</t>
  </si>
  <si>
    <t>GD</t>
  </si>
  <si>
    <t>GIS</t>
  </si>
  <si>
    <t>GM</t>
  </si>
  <si>
    <t>GPC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</si>
  <si>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</si>
  <si>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</si>
  <si>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</si>
  <si>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</si>
  <si>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</si>
  <si>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</si>
  <si>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</si>
  <si>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</si>
  <si>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</si>
  <si>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</si>
  <si>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</si>
  <si>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</si>
  <si>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</si>
  <si>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</si>
  <si>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</si>
  <si>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</si>
  <si>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</si>
  <si>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</si>
  <si>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</si>
  <si>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</si>
  <si>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</si>
  <si>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</si>
  <si>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</si>
  <si>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</si>
  <si>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</si>
  <si>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ITW</t>
  </si>
  <si>
    <t>INCY</t>
  </si>
  <si>
    <t>IR</t>
  </si>
  <si>
    <t>PODD</t>
  </si>
  <si>
    <t>ICE</t>
  </si>
  <si>
    <t>IFF</t>
  </si>
  <si>
    <t>IP</t>
  </si>
  <si>
    <t>IPG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</si>
  <si>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</si>
  <si>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</si>
  <si>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</si>
  <si>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</si>
  <si>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</si>
  <si>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</si>
  <si>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</si>
  <si>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</si>
  <si>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</si>
  <si>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</si>
  <si>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</si>
  <si>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</t>
  </si>
  <si>
    <t>KVUE</t>
  </si>
  <si>
    <t>KEY</t>
  </si>
  <si>
    <t>KEYS</t>
  </si>
  <si>
    <t>KMB</t>
  </si>
  <si>
    <t>KIM</t>
  </si>
  <si>
    <t>KMI</t>
  </si>
  <si>
    <t>KKR</t>
  </si>
  <si>
    <t>KR</t>
  </si>
  <si>
    <t>LHX</t>
  </si>
  <si>
    <t>LH</t>
  </si>
  <si>
    <t>LW</t>
  </si>
  <si>
    <t>LVS</t>
  </si>
  <si>
    <t>LDOS</t>
  </si>
  <si>
    <t>LEN</t>
  </si>
  <si>
    <t>LII</t>
  </si>
  <si>
    <t>LLY</t>
  </si>
  <si>
    <t>LYV</t>
  </si>
  <si>
    <t>LKQ</t>
  </si>
  <si>
    <t>LMT</t>
  </si>
  <si>
    <t>L</t>
  </si>
  <si>
    <t>LOW</t>
  </si>
  <si>
    <t>LYB</t>
  </si>
  <si>
    <t>MTB</t>
  </si>
  <si>
    <t>MPC</t>
  </si>
  <si>
    <t>MKTX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</si>
  <si>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</si>
  <si>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</si>
  <si>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</si>
  <si>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</si>
  <si>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</si>
  <si>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</si>
  <si>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</si>
  <si>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</si>
  <si>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</si>
  <si>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</si>
  <si>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</t>
  </si>
  <si>
    <t>MTD</t>
  </si>
  <si>
    <t>MGM</t>
  </si>
  <si>
    <t>MAA</t>
  </si>
  <si>
    <t>MRNA</t>
  </si>
  <si>
    <t>MHK</t>
  </si>
  <si>
    <t>MOH</t>
  </si>
  <si>
    <t>TAP</t>
  </si>
  <si>
    <t>MPWR</t>
  </si>
  <si>
    <t>MCO</t>
  </si>
  <si>
    <t>MS</t>
  </si>
  <si>
    <t>MOS</t>
  </si>
  <si>
    <t>MSI</t>
  </si>
  <si>
    <t>MSCI</t>
  </si>
  <si>
    <t>NDAQ</t>
  </si>
  <si>
    <t>NTAP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</si>
  <si>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</si>
  <si>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</si>
  <si>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</si>
  <si>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</si>
  <si>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</si>
  <si>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</si>
  <si>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</si>
  <si>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</si>
  <si>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</si>
  <si>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</si>
  <si>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</si>
  <si>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</si>
  <si>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</si>
  <si>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NVR</t>
  </si>
  <si>
    <t>OXY</t>
  </si>
  <si>
    <t>OMC</t>
  </si>
  <si>
    <t>OKE</t>
  </si>
  <si>
    <t>ORCL</t>
  </si>
  <si>
    <t>OTIS</t>
  </si>
  <si>
    <t>PKG</t>
  </si>
  <si>
    <t>PSKY</t>
  </si>
  <si>
    <t>PH</t>
  </si>
  <si>
    <t>PAYC</t>
  </si>
  <si>
    <t>PNR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</si>
  <si>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</si>
  <si>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</si>
  <si>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</si>
  <si>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</si>
  <si>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</si>
  <si>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</si>
  <si>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</si>
  <si>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</si>
  <si>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</si>
  <si>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</si>
  <si>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</si>
  <si>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</si>
  <si>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</si>
  <si>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</si>
  <si>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</si>
  <si>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</si>
  <si>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</si>
  <si>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</si>
  <si>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</si>
  <si>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DGX</t>
  </si>
  <si>
    <t>RL</t>
  </si>
  <si>
    <t>RJF</t>
  </si>
  <si>
    <t>RTX</t>
  </si>
  <si>
    <t>O</t>
  </si>
  <si>
    <t>REG</t>
  </si>
  <si>
    <t>RF</t>
  </si>
  <si>
    <t>RSG</t>
  </si>
  <si>
    <t>RMD</t>
  </si>
  <si>
    <t>RVTY</t>
  </si>
  <si>
    <t>ROK</t>
  </si>
  <si>
    <t>ROL</t>
  </si>
  <si>
    <t>RCL</t>
  </si>
  <si>
    <t>SPGI</t>
  </si>
  <si>
    <t>CRM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</si>
  <si>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</si>
  <si>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</si>
  <si>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</si>
  <si>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</si>
  <si>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</si>
  <si>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</si>
  <si>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</si>
  <si>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</si>
  <si>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</si>
  <si>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</si>
  <si>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</si>
  <si>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</si>
  <si>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</si>
  <si>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</si>
  <si>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</si>
  <si>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STT</t>
  </si>
  <si>
    <t>STLD</t>
  </si>
  <si>
    <t>STE</t>
  </si>
  <si>
    <t>SYK</t>
  </si>
  <si>
    <t>SMCI</t>
  </si>
  <si>
    <t>SYF</t>
  </si>
  <si>
    <t>SYY</t>
  </si>
  <si>
    <t>TROW</t>
  </si>
  <si>
    <t>TPR</t>
  </si>
  <si>
    <t>TRGP</t>
  </si>
  <si>
    <t>TGT</t>
  </si>
  <si>
    <t>TEL</t>
  </si>
  <si>
    <t>TDY</t>
  </si>
  <si>
    <t>TER</t>
  </si>
  <si>
    <t>TPL</t>
  </si>
  <si>
    <t>TXT</t>
  </si>
  <si>
    <t>TMO</t>
  </si>
  <si>
    <t>TJX</t>
  </si>
  <si>
    <t>TKO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</si>
  <si>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</si>
  <si>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</si>
  <si>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</si>
  <si>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</si>
  <si>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</si>
  <si>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</si>
  <si>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</si>
  <si>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</si>
  <si>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</si>
  <si>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</si>
  <si>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</si>
  <si>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</si>
  <si>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</si>
  <si>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</si>
  <si>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</si>
  <si>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</si>
  <si>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</si>
  <si>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</si>
  <si>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</si>
  <si>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</si>
  <si>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</si>
  <si>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</si>
  <si>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VZ</t>
  </si>
  <si>
    <t>VTRS</t>
  </si>
  <si>
    <t>VICI</t>
  </si>
  <si>
    <t>V</t>
  </si>
  <si>
    <t>VST</t>
  </si>
  <si>
    <t>VMC</t>
  </si>
  <si>
    <t>WRB</t>
  </si>
  <si>
    <t>GWW</t>
  </si>
  <si>
    <t>WAB</t>
  </si>
  <si>
    <t>WBA</t>
  </si>
  <si>
    <t>WMT</t>
  </si>
  <si>
    <t>DIS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</si>
  <si>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</si>
  <si>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</si>
  <si>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</si>
  <si>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</si>
  <si>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</si>
  <si>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</si>
  <si>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</si>
  <si>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</si>
  <si>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</si>
  <si>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</si>
  <si>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</si>
  <si>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WYNN</t>
  </si>
  <si>
    <t>XYL</t>
  </si>
  <si>
    <t>YUM</t>
  </si>
  <si>
    <t>ZBRA</t>
  </si>
  <si>
    <t>ZBH</t>
  </si>
  <si>
    <t>ZTS</t>
  </si>
  <si>
    <t>AA</t>
  </si>
  <si>
    <t>AACT</t>
  </si>
  <si>
    <t>AAM</t>
  </si>
  <si>
    <t>AAMI</t>
  </si>
  <si>
    <t>AAP</t>
  </si>
  <si>
    <t>AAT</t>
  </si>
  <si>
    <t>AAUC</t>
  </si>
  <si>
    <t>AB</t>
  </si>
  <si>
    <t>ABCB</t>
  </si>
  <si>
    <t>ABEV</t>
  </si>
  <si>
    <t>ABG</t>
  </si>
  <si>
    <t>ABM</t>
  </si>
  <si>
    <t>ABR</t>
  </si>
  <si>
    <t>AC</t>
  </si>
  <si>
    <t>ACA</t>
  </si>
  <si>
    <t>ACCO</t>
  </si>
  <si>
    <t>ACEL</t>
  </si>
  <si>
    <t>ACHR</t>
  </si>
  <si>
    <t>ACI</t>
  </si>
  <si>
    <t>ACM</t>
  </si>
  <si>
    <t>ACP</t>
  </si>
  <si>
    <t>ACR</t>
  </si>
  <si>
    <t>ACRE</t>
  </si>
  <si>
    <t>ACV</t>
  </si>
  <si>
    <t>ACVA</t>
  </si>
  <si>
    <t>AD</t>
  </si>
  <si>
    <t>ADC</t>
  </si>
  <si>
    <t>ADCT</t>
  </si>
  <si>
    <t>ADNT</t>
  </si>
  <si>
    <t>ADT</t>
  </si>
  <si>
    <t>ADX</t>
  </si>
  <si>
    <t>AEFC</t>
  </si>
  <si>
    <t>AEG</t>
  </si>
  <si>
    <t>AEM</t>
  </si>
  <si>
    <t>AEO</t>
  </si>
  <si>
    <t>AER</t>
  </si>
  <si>
    <t>AESI</t>
  </si>
  <si>
    <t>AFB</t>
  </si>
  <si>
    <t>AFG</t>
  </si>
  <si>
    <t>AFGB</t>
  </si>
  <si>
    <t>AFGC</t>
  </si>
  <si>
    <t>AFGD</t>
  </si>
  <si>
    <t>AFGE</t>
  </si>
  <si>
    <t>AG</t>
  </si>
  <si>
    <t>AGCO</t>
  </si>
  <si>
    <t>AGD</t>
  </si>
  <si>
    <t>AGI</t>
  </si>
  <si>
    <t>AGL</t>
  </si>
  <si>
    <t>AGM</t>
  </si>
  <si>
    <t>AGO</t>
  </si>
  <si>
    <t>AGRO</t>
  </si>
  <si>
    <t>AGX</t>
  </si>
  <si>
    <t>AHH</t>
  </si>
  <si>
    <t>AHL</t>
  </si>
  <si>
    <t>AHR</t>
  </si>
  <si>
    <t>AHT</t>
  </si>
  <si>
    <t>AI</t>
  </si>
  <si>
    <t>AII</t>
  </si>
  <si>
    <t>AIN</t>
  </si>
  <si>
    <t>AIO</t>
  </si>
  <si>
    <t>AIR</t>
  </si>
  <si>
    <t>AIT</t>
  </si>
  <si>
    <t>AIV</t>
  </si>
  <si>
    <t>AIZN</t>
  </si>
  <si>
    <t>AKA</t>
  </si>
  <si>
    <t>AKR</t>
  </si>
  <si>
    <t>AL</t>
  </si>
  <si>
    <t>ALC</t>
  </si>
  <si>
    <t>ALE</t>
  </si>
  <si>
    <t>ALEX</t>
  </si>
  <si>
    <t>ALG</t>
  </si>
  <si>
    <t>ALIT</t>
  </si>
  <si>
    <t>ALK</t>
  </si>
  <si>
    <t>ALLY</t>
  </si>
  <si>
    <t>ALSN</t>
  </si>
  <si>
    <t>ALTG</t>
  </si>
  <si>
    <t>ALUR</t>
  </si>
  <si>
    <t>ALV</t>
  </si>
  <si>
    <t>ALX</t>
  </si>
  <si>
    <t>AM</t>
  </si>
  <si>
    <t>AMBC</t>
  </si>
  <si>
    <t>AMBP</t>
  </si>
  <si>
    <t>AMBQ</t>
  </si>
  <si>
    <t>AMC</t>
  </si>
  <si>
    <t>AMG</t>
  </si>
  <si>
    <t>AMH</t>
  </si>
  <si>
    <t>AMN</t>
  </si>
  <si>
    <t>AMPX</t>
  </si>
  <si>
    <t>AMPY</t>
  </si>
  <si>
    <t>AMR</t>
  </si>
  <si>
    <t>AMRC</t>
  </si>
  <si>
    <t>AMRZ</t>
  </si>
  <si>
    <t>AMTB</t>
  </si>
  <si>
    <t>AMTD</t>
  </si>
  <si>
    <t>AMTM</t>
  </si>
  <si>
    <t>AMWL</t>
  </si>
  <si>
    <t>AMX</t>
  </si>
  <si>
    <t>AN</t>
  </si>
  <si>
    <t>ANF</t>
  </si>
  <si>
    <t>ANRO</t>
  </si>
  <si>
    <t>ANVS</t>
  </si>
  <si>
    <t>AOD</t>
  </si>
  <si>
    <t>AOMD</t>
  </si>
  <si>
    <t>AOMN</t>
  </si>
  <si>
    <t>AOMR</t>
  </si>
  <si>
    <t>AORT</t>
  </si>
  <si>
    <t>AP</t>
  </si>
  <si>
    <t>APAM</t>
  </si>
  <si>
    <t>APG</t>
  </si>
  <si>
    <t>APLE</t>
  </si>
  <si>
    <t>APOS</t>
  </si>
  <si>
    <t>AQN</t>
  </si>
  <si>
    <t>AQNB</t>
  </si>
  <si>
    <t>AR</t>
  </si>
  <si>
    <t>ARCO</t>
  </si>
  <si>
    <t>ARDC</t>
  </si>
  <si>
    <t>ARDT</t>
  </si>
  <si>
    <t>ARES</t>
  </si>
  <si>
    <t>ARGD</t>
  </si>
  <si>
    <t>ARI</t>
  </si>
  <si>
    <t>ARIS</t>
  </si>
  <si>
    <t>ARL</t>
  </si>
  <si>
    <t>ARLO</t>
  </si>
  <si>
    <t>ARMK</t>
  </si>
  <si>
    <t>AROC</t>
  </si>
  <si>
    <t>ARR</t>
  </si>
  <si>
    <t>ARW</t>
  </si>
  <si>
    <t>ARX</t>
  </si>
  <si>
    <t>AS</t>
  </si>
  <si>
    <t>ASA</t>
  </si>
  <si>
    <t>ASAN</t>
  </si>
  <si>
    <t>ASB</t>
  </si>
  <si>
    <t>ASBA</t>
  </si>
  <si>
    <t>ASC</t>
  </si>
  <si>
    <t>ASG</t>
  </si>
  <si>
    <t>ASGI</t>
  </si>
  <si>
    <t>ASGN</t>
  </si>
  <si>
    <t>ASH</t>
  </si>
  <si>
    <t>ASIC</t>
  </si>
  <si>
    <t>ASIX</t>
  </si>
  <si>
    <t>ASPN</t>
  </si>
  <si>
    <t>ASR</t>
  </si>
  <si>
    <t>ASX</t>
  </si>
  <si>
    <t>ATEN</t>
  </si>
  <si>
    <t>ATGE</t>
  </si>
  <si>
    <t>ATHM</t>
  </si>
  <si>
    <t>ATHS</t>
  </si>
  <si>
    <t>ATI</t>
  </si>
  <si>
    <t>ATKR</t>
  </si>
  <si>
    <t>ATMU</t>
  </si>
  <si>
    <t>ATR</t>
  </si>
  <si>
    <t>ATS</t>
  </si>
  <si>
    <t>ATUS</t>
  </si>
  <si>
    <t>AU</t>
  </si>
  <si>
    <t>AUB</t>
  </si>
  <si>
    <t>AUNA</t>
  </si>
  <si>
    <t>AVA</t>
  </si>
  <si>
    <t>AVAL</t>
  </si>
  <si>
    <t>AVBC</t>
  </si>
  <si>
    <t>AVD</t>
  </si>
  <si>
    <t>AVK</t>
  </si>
  <si>
    <t>AVNS</t>
  </si>
  <si>
    <t>AVNT</t>
  </si>
  <si>
    <t>AVTR</t>
  </si>
  <si>
    <t>AWF</t>
  </si>
  <si>
    <t>AWI</t>
  </si>
  <si>
    <t>AWP</t>
  </si>
  <si>
    <t>AWR</t>
  </si>
  <si>
    <t>AX</t>
  </si>
  <si>
    <t>AXL</t>
  </si>
  <si>
    <t>AXR</t>
  </si>
  <si>
    <t>AXS</t>
  </si>
  <si>
    <t>AXTA</t>
  </si>
  <si>
    <t>AYI</t>
  </si>
  <si>
    <t>AZZ</t>
  </si>
  <si>
    <t>B</t>
  </si>
  <si>
    <t>BABA</t>
  </si>
  <si>
    <t>BAH</t>
  </si>
  <si>
    <t>BAK</t>
  </si>
  <si>
    <t>BALY</t>
  </si>
  <si>
    <t>BAM</t>
  </si>
  <si>
    <t>BANC</t>
  </si>
  <si>
    <t>BAP</t>
  </si>
  <si>
    <t>BARK</t>
  </si>
  <si>
    <t>BB</t>
  </si>
  <si>
    <t>BBAI</t>
  </si>
  <si>
    <t>BBAR</t>
  </si>
  <si>
    <t>BBD</t>
  </si>
  <si>
    <t>BBDC</t>
  </si>
  <si>
    <t>BBDO</t>
  </si>
  <si>
    <t>BBN</t>
  </si>
  <si>
    <t>BBU</t>
  </si>
  <si>
    <t>BBUC</t>
  </si>
  <si>
    <t>BBVA</t>
  </si>
  <si>
    <t>BBW</t>
  </si>
  <si>
    <t>BBWI</t>
  </si>
  <si>
    <t>BC</t>
  </si>
  <si>
    <t>BCAT</t>
  </si>
  <si>
    <t>BCC</t>
  </si>
  <si>
    <t>BCE</t>
  </si>
  <si>
    <t>BCH</t>
  </si>
  <si>
    <t>BCO</t>
  </si>
  <si>
    <t>BCS</t>
  </si>
  <si>
    <t>BCSF</t>
  </si>
  <si>
    <t>BCX</t>
  </si>
  <si>
    <t>BDC</t>
  </si>
  <si>
    <t>BDJ</t>
  </si>
  <si>
    <t>BDN</t>
  </si>
  <si>
    <t>BE</t>
  </si>
  <si>
    <t>BEDU</t>
  </si>
  <si>
    <t>BEKE</t>
  </si>
  <si>
    <t>BEP</t>
  </si>
  <si>
    <t>BEPC</t>
  </si>
  <si>
    <t>BEPH</t>
  </si>
  <si>
    <t>BEPI</t>
  </si>
  <si>
    <t>BEPJ</t>
  </si>
  <si>
    <t>BFAM</t>
  </si>
  <si>
    <t>BFH</t>
  </si>
  <si>
    <t>BFK</t>
  </si>
  <si>
    <t>BFLY</t>
  </si>
  <si>
    <t>BFS</t>
  </si>
  <si>
    <t>BFZ</t>
  </si>
  <si>
    <t>BGB</t>
  </si>
  <si>
    <t>BGH</t>
  </si>
  <si>
    <t>BGR</t>
  </si>
  <si>
    <t>BGS</t>
  </si>
  <si>
    <t>BGSF</t>
  </si>
  <si>
    <t>BGT</t>
  </si>
  <si>
    <t>BGX</t>
  </si>
  <si>
    <t>BGY</t>
  </si>
  <si>
    <t>BH</t>
  </si>
  <si>
    <t>BHC</t>
  </si>
  <si>
    <t>BHE</t>
  </si>
  <si>
    <t>BHK</t>
  </si>
  <si>
    <t>BHLB</t>
  </si>
  <si>
    <t>BHP</t>
  </si>
  <si>
    <t>BHR</t>
  </si>
  <si>
    <t>BHV</t>
  </si>
  <si>
    <t>BHVN</t>
  </si>
  <si>
    <t>BILL</t>
  </si>
  <si>
    <t>BIO</t>
  </si>
  <si>
    <t>BIP</t>
  </si>
  <si>
    <t>BIPC</t>
  </si>
  <si>
    <t>BIPH</t>
  </si>
  <si>
    <t>BIPI</t>
  </si>
  <si>
    <t>BIPJ</t>
  </si>
  <si>
    <t>BIRK</t>
  </si>
  <si>
    <t>BIT</t>
  </si>
  <si>
    <t>BJ</t>
  </si>
  <si>
    <t>BKD</t>
  </si>
  <si>
    <t>BKE</t>
  </si>
  <si>
    <t>BKH</t>
  </si>
  <si>
    <t>BKKT</t>
  </si>
  <si>
    <t>BKN</t>
  </si>
  <si>
    <t>BKSY</t>
  </si>
  <si>
    <t>BKT</t>
  </si>
  <si>
    <t>BKU</t>
  </si>
  <si>
    <t>BKV</t>
  </si>
  <si>
    <t>BLCO</t>
  </si>
  <si>
    <t>BLD</t>
  </si>
  <si>
    <t>BLE</t>
  </si>
  <si>
    <t>BLND</t>
  </si>
  <si>
    <t>BLSH</t>
  </si>
  <si>
    <t>BLW</t>
  </si>
  <si>
    <t>BLX</t>
  </si>
  <si>
    <t>BMA</t>
  </si>
  <si>
    <t>BME</t>
  </si>
  <si>
    <t>BMEZ</t>
  </si>
  <si>
    <t>BMI</t>
  </si>
  <si>
    <t>BMN</t>
  </si>
  <si>
    <t>BMO</t>
  </si>
  <si>
    <t>BN</t>
  </si>
  <si>
    <t>BNED</t>
  </si>
  <si>
    <t>BNH</t>
  </si>
  <si>
    <t>BNJ</t>
  </si>
  <si>
    <t>BNL</t>
  </si>
  <si>
    <t>BNS</t>
  </si>
  <si>
    <t>BNT</t>
  </si>
  <si>
    <t>BNY</t>
  </si>
  <si>
    <t>BOC</t>
  </si>
  <si>
    <t>BODI</t>
  </si>
  <si>
    <t>BOE</t>
  </si>
  <si>
    <t>BOH</t>
  </si>
  <si>
    <t>BOOT</t>
  </si>
  <si>
    <t>BORR</t>
  </si>
  <si>
    <t>BOW</t>
  </si>
  <si>
    <t>BOX</t>
  </si>
  <si>
    <t>BP</t>
  </si>
  <si>
    <t>BRBR</t>
  </si>
  <si>
    <t>BRC</t>
  </si>
  <si>
    <t>BRCC</t>
  </si>
  <si>
    <t>BRDG</t>
  </si>
  <si>
    <t>BRFS</t>
  </si>
  <si>
    <t>BROS</t>
  </si>
  <si>
    <t>BRSL</t>
  </si>
  <si>
    <t>BRSP</t>
  </si>
  <si>
    <t>BRT</t>
  </si>
  <si>
    <t>BRW</t>
  </si>
  <si>
    <t>BRX</t>
  </si>
  <si>
    <t>BSAC</t>
  </si>
  <si>
    <t>BSBR</t>
  </si>
  <si>
    <t>BSL</t>
  </si>
  <si>
    <t>BSM</t>
  </si>
  <si>
    <t>BST</t>
  </si>
  <si>
    <t>BSTZ</t>
  </si>
  <si>
    <t>BTA</t>
  </si>
  <si>
    <t>BTCM</t>
  </si>
  <si>
    <t>BTE</t>
  </si>
  <si>
    <t>BTI</t>
  </si>
  <si>
    <t>BTO</t>
  </si>
  <si>
    <t>BTT</t>
  </si>
  <si>
    <t>BTU</t>
  </si>
  <si>
    <t>BTX</t>
  </si>
  <si>
    <t>BTZ</t>
  </si>
  <si>
    <t>BUD</t>
  </si>
  <si>
    <t>BUI</t>
  </si>
  <si>
    <t>BUR</t>
  </si>
  <si>
    <t>BURL</t>
  </si>
  <si>
    <t>BV</t>
  </si>
  <si>
    <t>BVN</t>
  </si>
  <si>
    <t>BW</t>
  </si>
  <si>
    <t>BWA</t>
  </si>
  <si>
    <t>BWG</t>
  </si>
  <si>
    <t>BWLP</t>
  </si>
  <si>
    <t>BWMX</t>
  </si>
  <si>
    <t>BWNB</t>
  </si>
  <si>
    <t>BWSN</t>
  </si>
  <si>
    <t>BWXT</t>
  </si>
  <si>
    <t>BXC</t>
  </si>
  <si>
    <t>BXMT</t>
  </si>
  <si>
    <t>BXMX</t>
  </si>
  <si>
    <t>BXSL</t>
  </si>
  <si>
    <t>BY</t>
  </si>
  <si>
    <t>BYD</t>
  </si>
  <si>
    <t>BYM</t>
  </si>
  <si>
    <t>BYON</t>
  </si>
  <si>
    <t>BZH</t>
  </si>
  <si>
    <t>CAAP</t>
  </si>
  <si>
    <t>CABO</t>
  </si>
  <si>
    <t>CACI</t>
  </si>
  <si>
    <t>CADE</t>
  </si>
  <si>
    <t>CAE</t>
  </si>
  <si>
    <t>CAF</t>
  </si>
  <si>
    <t>CAL</t>
  </si>
  <si>
    <t>CALX</t>
  </si>
  <si>
    <t>CANG</t>
  </si>
  <si>
    <t>CAPL</t>
  </si>
  <si>
    <t>CARS</t>
  </si>
  <si>
    <t>CATO</t>
  </si>
  <si>
    <t>CAVA</t>
  </si>
  <si>
    <t>CBAN</t>
  </si>
  <si>
    <t>CBL</t>
  </si>
  <si>
    <t>CBNA</t>
  </si>
  <si>
    <t>CBT</t>
  </si>
  <si>
    <t>CBU</t>
  </si>
  <si>
    <t>CBZ</t>
  </si>
  <si>
    <t>CC</t>
  </si>
  <si>
    <t>CCIA</t>
  </si>
  <si>
    <t>CCIF</t>
  </si>
  <si>
    <t>CCJ</t>
  </si>
  <si>
    <t>CCK</t>
  </si>
  <si>
    <t>CCM</t>
  </si>
  <si>
    <t>CCO</t>
  </si>
  <si>
    <t>CCRD</t>
  </si>
  <si>
    <t>CCS</t>
  </si>
  <si>
    <t>CCU</t>
  </si>
  <si>
    <t>CCZ</t>
  </si>
  <si>
    <t>CDE</t>
  </si>
  <si>
    <t>CDLR</t>
  </si>
  <si>
    <t>CDP</t>
  </si>
  <si>
    <t>CDRE</t>
  </si>
  <si>
    <t>CE</t>
  </si>
  <si>
    <t>CEE</t>
  </si>
  <si>
    <t>CEPU</t>
  </si>
  <si>
    <t>CFND</t>
  </si>
  <si>
    <t>CFR</t>
  </si>
  <si>
    <t>CGAU</t>
  </si>
  <si>
    <t>CHCT</t>
  </si>
  <si>
    <t>CHE</t>
  </si>
  <si>
    <t>CHGG</t>
  </si>
  <si>
    <t>CHH</t>
  </si>
  <si>
    <t>CHMI</t>
  </si>
  <si>
    <t>CHN</t>
  </si>
  <si>
    <t>CHPT</t>
  </si>
  <si>
    <t>CHT</t>
  </si>
  <si>
    <t>CHWY</t>
  </si>
  <si>
    <t>CIA</t>
  </si>
  <si>
    <t>CIB</t>
  </si>
  <si>
    <t>CICB</t>
  </si>
  <si>
    <t>CIEN</t>
  </si>
  <si>
    <t>CIF</t>
  </si>
  <si>
    <t>CIG</t>
  </si>
  <si>
    <t>CII</t>
  </si>
  <si>
    <t>CIM</t>
  </si>
  <si>
    <t>CIMN</t>
  </si>
  <si>
    <t>CIMO</t>
  </si>
  <si>
    <t>CINT</t>
  </si>
  <si>
    <t>CIO</t>
  </si>
  <si>
    <t>CION</t>
  </si>
  <si>
    <t>CIVI</t>
  </si>
  <si>
    <t>CLB</t>
  </si>
  <si>
    <t>CLCO</t>
  </si>
  <si>
    <t>CLDT</t>
  </si>
  <si>
    <t>CLF</t>
  </si>
  <si>
    <t>CLH</t>
  </si>
  <si>
    <t>CLPR</t>
  </si>
  <si>
    <t>CLS</t>
  </si>
  <si>
    <t>CLVT</t>
  </si>
  <si>
    <t>CLW</t>
  </si>
  <si>
    <t>CM</t>
  </si>
  <si>
    <t>CMA</t>
  </si>
  <si>
    <t>CMBT</t>
  </si>
  <si>
    <t>CMC</t>
  </si>
  <si>
    <t>CMCM</t>
  </si>
  <si>
    <t>CMDB</t>
  </si>
  <si>
    <t>CMP</t>
  </si>
  <si>
    <t>CMRE</t>
  </si>
  <si>
    <t>CMSA</t>
  </si>
  <si>
    <t>CMSC</t>
  </si>
  <si>
    <t>CMSD</t>
  </si>
  <si>
    <t>CMTG</t>
  </si>
  <si>
    <t>CMU</t>
  </si>
  <si>
    <t>CNA</t>
  </si>
  <si>
    <t>CNF</t>
  </si>
  <si>
    <t>CNH</t>
  </si>
  <si>
    <t>CNI</t>
  </si>
  <si>
    <t>CNK</t>
  </si>
  <si>
    <t>CNM</t>
  </si>
  <si>
    <t>CNMD</t>
  </si>
  <si>
    <t>CNNE</t>
  </si>
  <si>
    <t>CNO</t>
  </si>
  <si>
    <t>CNQ</t>
  </si>
  <si>
    <t>CNR</t>
  </si>
  <si>
    <t>CNS</t>
  </si>
  <si>
    <t>CNX</t>
  </si>
  <si>
    <t>CODI</t>
  </si>
  <si>
    <t>COHR</t>
  </si>
  <si>
    <t>COLD</t>
  </si>
  <si>
    <t>COMP</t>
  </si>
  <si>
    <t>CON</t>
  </si>
  <si>
    <t>COOK</t>
  </si>
  <si>
    <t>COPL</t>
  </si>
  <si>
    <t>COSO</t>
  </si>
  <si>
    <t>COTY</t>
  </si>
  <si>
    <t>COUR</t>
  </si>
  <si>
    <t>CP</t>
  </si>
  <si>
    <t>CPA</t>
  </si>
  <si>
    <t>CPAC</t>
  </si>
  <si>
    <t>CPF</t>
  </si>
  <si>
    <t>CPK</t>
  </si>
  <si>
    <t>CPNG</t>
  </si>
  <si>
    <t>CPRI</t>
  </si>
  <si>
    <t>CPS</t>
  </si>
  <si>
    <t>CQP</t>
  </si>
  <si>
    <t>CR</t>
  </si>
  <si>
    <t>CRBD</t>
  </si>
  <si>
    <t>CRBG</t>
  </si>
  <si>
    <t>CRC</t>
  </si>
  <si>
    <t>CRCL</t>
  </si>
  <si>
    <t>CRGY</t>
  </si>
  <si>
    <t>CRH</t>
  </si>
  <si>
    <t>CRI</t>
  </si>
  <si>
    <t>CRK</t>
  </si>
  <si>
    <t>CRS</t>
  </si>
  <si>
    <t>CRT</t>
  </si>
  <si>
    <t>CSAN</t>
  </si>
  <si>
    <t>CSL</t>
  </si>
  <si>
    <t>CSR</t>
  </si>
  <si>
    <t>CSTM</t>
  </si>
  <si>
    <t>CSV</t>
  </si>
  <si>
    <t>CSW</t>
  </si>
  <si>
    <t>CTBB</t>
  </si>
  <si>
    <t>CTDD</t>
  </si>
  <si>
    <t>CTEV</t>
  </si>
  <si>
    <t>CTO</t>
  </si>
  <si>
    <t>CTOS</t>
  </si>
  <si>
    <t>CTRE</t>
  </si>
  <si>
    <t>CTRI</t>
  </si>
  <si>
    <t>CTS</t>
  </si>
  <si>
    <t>CUBB</t>
  </si>
  <si>
    <t>CUBE</t>
  </si>
  <si>
    <t>CUBI</t>
  </si>
  <si>
    <t>CUK</t>
  </si>
  <si>
    <t>CULP</t>
  </si>
  <si>
    <t>CURB</t>
  </si>
  <si>
    <t>CURV</t>
  </si>
  <si>
    <t>CUZ</t>
  </si>
  <si>
    <t>CVE</t>
  </si>
  <si>
    <t>CVEO</t>
  </si>
  <si>
    <t>CVI</t>
  </si>
  <si>
    <t>CVLG</t>
  </si>
  <si>
    <t>CVNA</t>
  </si>
  <si>
    <t>CW</t>
  </si>
  <si>
    <t>CWAN</t>
  </si>
  <si>
    <t>CWEN</t>
  </si>
  <si>
    <t>CWH</t>
  </si>
  <si>
    <t>CWK</t>
  </si>
  <si>
    <t>CWT</t>
  </si>
  <si>
    <t>CX</t>
  </si>
  <si>
    <t>CXE</t>
  </si>
  <si>
    <t>CXH</t>
  </si>
  <si>
    <t>CXM</t>
  </si>
  <si>
    <t>CXT</t>
  </si>
  <si>
    <t>CXW</t>
  </si>
  <si>
    <t>CYD</t>
  </si>
  <si>
    <t>CYH</t>
  </si>
  <si>
    <t>DAC</t>
  </si>
  <si>
    <t>DAN</t>
  </si>
  <si>
    <t>DAO</t>
  </si>
  <si>
    <t>DAR</t>
  </si>
  <si>
    <t>DAVA</t>
  </si>
  <si>
    <t>DB</t>
  </si>
  <si>
    <t>DBD</t>
  </si>
  <si>
    <t>DBI</t>
  </si>
  <si>
    <t>DBL</t>
  </si>
  <si>
    <t>DBRG</t>
  </si>
  <si>
    <t>DCI</t>
  </si>
  <si>
    <t>DCO</t>
  </si>
  <si>
    <t>DDD</t>
  </si>
  <si>
    <t>DDL</t>
  </si>
  <si>
    <t>DDS</t>
  </si>
  <si>
    <t>DDT</t>
  </si>
  <si>
    <t>DEA</t>
  </si>
  <si>
    <t>DEC</t>
  </si>
  <si>
    <t>DEI</t>
  </si>
  <si>
    <t>DEO</t>
  </si>
  <si>
    <t>DFH</t>
  </si>
  <si>
    <t>DFIN</t>
  </si>
  <si>
    <t>DFP</t>
  </si>
  <si>
    <t>DHF</t>
  </si>
  <si>
    <t>DHT</t>
  </si>
  <si>
    <t>DHX</t>
  </si>
  <si>
    <t>DIAX</t>
  </si>
  <si>
    <t>DIN</t>
  </si>
  <si>
    <t>DINO</t>
  </si>
  <si>
    <t>DK</t>
  </si>
  <si>
    <t>DKL</t>
  </si>
  <si>
    <t>DKS</t>
  </si>
  <si>
    <t>DLB</t>
  </si>
  <si>
    <t>DLNG</t>
  </si>
  <si>
    <t>DLX</t>
  </si>
  <si>
    <t>DLY</t>
  </si>
  <si>
    <t>DMA</t>
  </si>
  <si>
    <t>DMB</t>
  </si>
  <si>
    <t>DMO</t>
  </si>
  <si>
    <t>DNA</t>
  </si>
  <si>
    <t>DNB</t>
  </si>
  <si>
    <t>DNOW</t>
  </si>
  <si>
    <t>DNP</t>
  </si>
  <si>
    <t>DOCN</t>
  </si>
  <si>
    <t>DOCS</t>
  </si>
  <si>
    <t>DOLE</t>
  </si>
  <si>
    <t>DOUG</t>
  </si>
  <si>
    <t>DPG</t>
  </si>
  <si>
    <t>DQ</t>
  </si>
  <si>
    <t>DRD</t>
  </si>
  <si>
    <t>DRH</t>
  </si>
  <si>
    <t>DSL</t>
  </si>
  <si>
    <t>DSM</t>
  </si>
  <si>
    <t>DSU</t>
  </si>
  <si>
    <t>DSX</t>
  </si>
  <si>
    <t>DT</t>
  </si>
  <si>
    <t>DTB</t>
  </si>
  <si>
    <t>DTF</t>
  </si>
  <si>
    <t>DTG</t>
  </si>
  <si>
    <t>DTM</t>
  </si>
  <si>
    <t>DTW</t>
  </si>
  <si>
    <t>DUKB</t>
  </si>
  <si>
    <t>DV</t>
  </si>
  <si>
    <t>DX</t>
  </si>
  <si>
    <t>DXC</t>
  </si>
  <si>
    <t>DXYZ</t>
  </si>
  <si>
    <t>DY</t>
  </si>
  <si>
    <t>E</t>
  </si>
  <si>
    <t>EAF</t>
  </si>
  <si>
    <t>EAI</t>
  </si>
  <si>
    <t>EARN</t>
  </si>
  <si>
    <t>EAT</t>
  </si>
  <si>
    <t>EB</t>
  </si>
  <si>
    <t>EBF</t>
  </si>
  <si>
    <t>EBR</t>
  </si>
  <si>
    <t>EBS</t>
  </si>
  <si>
    <t>EC</t>
  </si>
  <si>
    <t>ECAT</t>
  </si>
  <si>
    <t>ECC</t>
  </si>
  <si>
    <t>ECCC</t>
  </si>
  <si>
    <t>ECCF</t>
  </si>
  <si>
    <t>ECCU</t>
  </si>
  <si>
    <t>ECCV</t>
  </si>
  <si>
    <t>ECCW</t>
  </si>
  <si>
    <t>ECCX</t>
  </si>
  <si>
    <t>ECG</t>
  </si>
  <si>
    <t>ECO</t>
  </si>
  <si>
    <t>ECVT</t>
  </si>
  <si>
    <t>EDD</t>
  </si>
  <si>
    <t>EDF</t>
  </si>
  <si>
    <t>EDN</t>
  </si>
  <si>
    <t>EDU</t>
  </si>
  <si>
    <t>EE</t>
  </si>
  <si>
    <t>EEA</t>
  </si>
  <si>
    <t>EEX</t>
  </si>
  <si>
    <t>EFC</t>
  </si>
  <si>
    <t>EFR</t>
  </si>
  <si>
    <t>EFT</t>
  </si>
  <si>
    <t>EFXT</t>
  </si>
  <si>
    <t>EGO</t>
  </si>
  <si>
    <t>EGP</t>
  </si>
  <si>
    <t>EGY</t>
  </si>
  <si>
    <t>EHAB</t>
  </si>
  <si>
    <t>EHC</t>
  </si>
  <si>
    <t>EHI</t>
  </si>
  <si>
    <t>EIC</t>
  </si>
  <si>
    <t>EICA</t>
  </si>
  <si>
    <t>EICB</t>
  </si>
  <si>
    <t>EICC</t>
  </si>
  <si>
    <t>EIG</t>
  </si>
  <si>
    <t>EIIA</t>
  </si>
  <si>
    <t>ELAN</t>
  </si>
  <si>
    <t>ELC</t>
  </si>
  <si>
    <t>ELF</t>
  </si>
  <si>
    <t>ELME</t>
  </si>
  <si>
    <t>ELP</t>
  </si>
  <si>
    <t>ELPC</t>
  </si>
  <si>
    <t>ELS</t>
  </si>
  <si>
    <t>EMA</t>
  </si>
  <si>
    <t>EMD</t>
  </si>
  <si>
    <t>EME</t>
  </si>
  <si>
    <t>EMF</t>
  </si>
  <si>
    <t>EMO</t>
  </si>
  <si>
    <t>EMP</t>
  </si>
  <si>
    <t>ENB</t>
  </si>
  <si>
    <t>ENFY</t>
  </si>
  <si>
    <t>ENIC</t>
  </si>
  <si>
    <t>ENJ</t>
  </si>
  <si>
    <t>ENO</t>
  </si>
  <si>
    <t>ENOV</t>
  </si>
  <si>
    <t>ENR</t>
  </si>
  <si>
    <t>ENS</t>
  </si>
  <si>
    <t>ENVA</t>
  </si>
  <si>
    <t>EOD</t>
  </si>
  <si>
    <t>EOI</t>
  </si>
  <si>
    <t>EOS</t>
  </si>
  <si>
    <t>EOT</t>
  </si>
  <si>
    <t>EPAC</t>
  </si>
  <si>
    <t>EPC</t>
  </si>
  <si>
    <t>EPD</t>
  </si>
  <si>
    <t>EPR</t>
  </si>
  <si>
    <t>EPRT</t>
  </si>
  <si>
    <t>EQBK</t>
  </si>
  <si>
    <t>EQH</t>
  </si>
  <si>
    <t>EQNR</t>
  </si>
  <si>
    <t>EQS</t>
  </si>
  <si>
    <t>EQV</t>
  </si>
  <si>
    <t>ERJ</t>
  </si>
  <si>
    <t>ERO</t>
  </si>
  <si>
    <t>ESAB</t>
  </si>
  <si>
    <t>ESE</t>
  </si>
  <si>
    <t>ESI</t>
  </si>
  <si>
    <t>ESNT</t>
  </si>
  <si>
    <t>ESRT</t>
  </si>
  <si>
    <t>ESTC</t>
  </si>
  <si>
    <t>ET</t>
  </si>
  <si>
    <t>ETB</t>
  </si>
  <si>
    <t>ETD</t>
  </si>
  <si>
    <t>ETG</t>
  </si>
  <si>
    <t>ETJ</t>
  </si>
  <si>
    <t>ETO</t>
  </si>
  <si>
    <t>ETV</t>
  </si>
  <si>
    <t>ETW</t>
  </si>
  <si>
    <t>ETX</t>
  </si>
  <si>
    <t>ETY</t>
  </si>
  <si>
    <t>EVC</t>
  </si>
  <si>
    <t>EVEX</t>
  </si>
  <si>
    <t>EVF</t>
  </si>
  <si>
    <t>EVG</t>
  </si>
  <si>
    <t>EVH</t>
  </si>
  <si>
    <t>EVN</t>
  </si>
  <si>
    <t>EVR</t>
  </si>
  <si>
    <t>EVT</t>
  </si>
  <si>
    <t>EVTC</t>
  </si>
  <si>
    <t>EVTL</t>
  </si>
  <si>
    <t>EXG</t>
  </si>
  <si>
    <t>EXK</t>
  </si>
  <si>
    <t>EXP</t>
  </si>
  <si>
    <t>FAF</t>
  </si>
  <si>
    <t>FBIN</t>
  </si>
  <si>
    <t>FBK</t>
  </si>
  <si>
    <t>FBP</t>
  </si>
  <si>
    <t>FBRT</t>
  </si>
  <si>
    <t>FC</t>
  </si>
  <si>
    <t>FCF</t>
  </si>
  <si>
    <t>FCN</t>
  </si>
  <si>
    <t>FCPT</t>
  </si>
  <si>
    <t>FCRX</t>
  </si>
  <si>
    <t>FCT</t>
  </si>
  <si>
    <t>FDP</t>
  </si>
  <si>
    <t>FEDU</t>
  </si>
  <si>
    <t>FENG</t>
  </si>
  <si>
    <t>FERG</t>
  </si>
  <si>
    <t>FET</t>
  </si>
  <si>
    <t>FF</t>
  </si>
  <si>
    <t>FFA</t>
  </si>
  <si>
    <t>FFC</t>
  </si>
  <si>
    <t>FFWM</t>
  </si>
  <si>
    <t>FG</t>
  </si>
  <si>
    <t>FGN</t>
  </si>
  <si>
    <t>FGSN</t>
  </si>
  <si>
    <t>FHI</t>
  </si>
  <si>
    <t>FHN</t>
  </si>
  <si>
    <t>FIG</t>
  </si>
  <si>
    <t>FIGS</t>
  </si>
  <si>
    <t>FIHL</t>
  </si>
  <si>
    <t>FINS</t>
  </si>
  <si>
    <t>FINV</t>
  </si>
  <si>
    <t>FIX</t>
  </si>
  <si>
    <t>FL</t>
  </si>
  <si>
    <t>FLC</t>
  </si>
  <si>
    <t>FLG</t>
  </si>
  <si>
    <t>FLNG</t>
  </si>
  <si>
    <t>FLO</t>
  </si>
  <si>
    <t>FLOC</t>
  </si>
  <si>
    <t>FLR</t>
  </si>
  <si>
    <t>FLS</t>
  </si>
  <si>
    <t>FLUT</t>
  </si>
  <si>
    <t>FMC</t>
  </si>
  <si>
    <t>FMN</t>
  </si>
  <si>
    <t>FMS</t>
  </si>
  <si>
    <t>FMX</t>
  </si>
  <si>
    <t>FMY</t>
  </si>
  <si>
    <t>FN</t>
  </si>
  <si>
    <t>FNB</t>
  </si>
  <si>
    <t>FND</t>
  </si>
  <si>
    <t>FNF</t>
  </si>
  <si>
    <t>FNV</t>
  </si>
  <si>
    <t>FOA</t>
  </si>
  <si>
    <t>FOF</t>
  </si>
  <si>
    <t>FOR</t>
  </si>
  <si>
    <t>FOUR</t>
  </si>
  <si>
    <t>FPF</t>
  </si>
  <si>
    <t>FPH</t>
  </si>
  <si>
    <t>FPI</t>
  </si>
  <si>
    <t>FR</t>
  </si>
  <si>
    <t>FRA</t>
  </si>
  <si>
    <t>FRGE</t>
  </si>
  <si>
    <t>FRO</t>
  </si>
  <si>
    <t>FSCO</t>
  </si>
  <si>
    <t>FSK</t>
  </si>
  <si>
    <t>FSLY</t>
  </si>
  <si>
    <t>FSM</t>
  </si>
  <si>
    <t>FSS</t>
  </si>
  <si>
    <t>FT</t>
  </si>
  <si>
    <t>FTHY</t>
  </si>
  <si>
    <t>FTI</t>
  </si>
  <si>
    <t>FTK</t>
  </si>
  <si>
    <t>FTS</t>
  </si>
  <si>
    <t>FUBO</t>
  </si>
  <si>
    <t>FUL</t>
  </si>
  <si>
    <t>FUN</t>
  </si>
  <si>
    <t>FVR</t>
  </si>
  <si>
    <t>FVRR</t>
  </si>
  <si>
    <t>G</t>
  </si>
  <si>
    <t>GAB</t>
  </si>
  <si>
    <t>GAM</t>
  </si>
  <si>
    <t>GAP</t>
  </si>
  <si>
    <t>GATX</t>
  </si>
  <si>
    <t>GBAB</t>
  </si>
  <si>
    <t>GBCI</t>
  </si>
  <si>
    <t>GBLI</t>
  </si>
  <si>
    <t>GBTG</t>
  </si>
  <si>
    <t>GBX</t>
  </si>
  <si>
    <t>GCI</t>
  </si>
  <si>
    <t>GCO</t>
  </si>
  <si>
    <t>GCTS</t>
  </si>
  <si>
    <t>GCV</t>
  </si>
  <si>
    <t>GDL</t>
  </si>
  <si>
    <t>GDO</t>
  </si>
  <si>
    <t>GDOT</t>
  </si>
  <si>
    <t>GDV</t>
  </si>
  <si>
    <t>GEF</t>
  </si>
  <si>
    <t>GEL</t>
  </si>
  <si>
    <t>GENI</t>
  </si>
  <si>
    <t>GEO</t>
  </si>
  <si>
    <t>GES</t>
  </si>
  <si>
    <t>GETY</t>
  </si>
  <si>
    <t>GF</t>
  </si>
  <si>
    <t>GFF</t>
  </si>
  <si>
    <t>GFI</t>
  </si>
  <si>
    <t>GFL</t>
  </si>
  <si>
    <t>GFR</t>
  </si>
  <si>
    <t>GGB</t>
  </si>
  <si>
    <t>GGG</t>
  </si>
  <si>
    <t>GGT</t>
  </si>
  <si>
    <t>GGZ</t>
  </si>
  <si>
    <t>GHC</t>
  </si>
  <si>
    <t>GHG</t>
  </si>
  <si>
    <t>GHI</t>
  </si>
  <si>
    <t>GHLD</t>
  </si>
  <si>
    <t>GHM</t>
  </si>
  <si>
    <t>GHY</t>
  </si>
  <si>
    <t>GIB</t>
  </si>
  <si>
    <t>GIC</t>
  </si>
  <si>
    <t>GIL</t>
  </si>
  <si>
    <t>GJH</t>
  </si>
  <si>
    <t>GJO</t>
  </si>
  <si>
    <t>GJP</t>
  </si>
  <si>
    <t>GJR</t>
  </si>
  <si>
    <t>GJS</t>
  </si>
  <si>
    <t>GKOS</t>
  </si>
  <si>
    <t>GLOB</t>
  </si>
  <si>
    <t>GLP</t>
  </si>
  <si>
    <t>GME</t>
  </si>
  <si>
    <t>GMED</t>
  </si>
  <si>
    <t>GMRE</t>
  </si>
  <si>
    <t>GMS</t>
  </si>
  <si>
    <t>GNE</t>
  </si>
  <si>
    <t>GNK</t>
  </si>
  <si>
    <t>GNL</t>
  </si>
  <si>
    <t>GNT</t>
  </si>
  <si>
    <t>GNTY</t>
  </si>
  <si>
    <t>GNW</t>
  </si>
  <si>
    <t>GOF</t>
  </si>
  <si>
    <t>GOLF</t>
  </si>
  <si>
    <t>GOOS</t>
  </si>
  <si>
    <t>GOTU</t>
  </si>
  <si>
    <t>GPI</t>
  </si>
  <si>
    <t>GPJA</t>
  </si>
  <si>
    <t>GPK</t>
  </si>
  <si>
    <t>GPMT</t>
  </si>
  <si>
    <t>GPOR</t>
  </si>
  <si>
    <t>GPRK</t>
  </si>
  <si>
    <t>GRBK</t>
  </si>
  <si>
    <t>GRC</t>
  </si>
  <si>
    <t>GRDN</t>
  </si>
  <si>
    <t>GRND</t>
  </si>
  <si>
    <t>GRNT</t>
  </si>
  <si>
    <t>GROV</t>
  </si>
  <si>
    <t>GRX</t>
  </si>
  <si>
    <t>GSBD</t>
  </si>
  <si>
    <t>GSK</t>
  </si>
  <si>
    <t>GSL</t>
  </si>
  <si>
    <t>GTES</t>
  </si>
  <si>
    <t>GTLS</t>
  </si>
  <si>
    <t>GTN</t>
  </si>
  <si>
    <t>GTY</t>
  </si>
  <si>
    <t>GUG</t>
  </si>
  <si>
    <t>GUT</t>
  </si>
  <si>
    <t>GVA</t>
  </si>
  <si>
    <t>GWH</t>
  </si>
  <si>
    <t>GWRE</t>
  </si>
  <si>
    <t>GXO</t>
  </si>
  <si>
    <t>H</t>
  </si>
  <si>
    <t>HAE</t>
  </si>
  <si>
    <t>HAFN</t>
  </si>
  <si>
    <t>HASI</t>
  </si>
  <si>
    <t>HAYW</t>
  </si>
  <si>
    <t>HBB</t>
  </si>
  <si>
    <t>HBI</t>
  </si>
  <si>
    <t>HBM</t>
  </si>
  <si>
    <t>HCC</t>
  </si>
  <si>
    <t>HCI</t>
  </si>
  <si>
    <t>HCXY</t>
  </si>
  <si>
    <t>HDB</t>
  </si>
  <si>
    <t>HE</t>
  </si>
  <si>
    <t>HEI</t>
  </si>
  <si>
    <t>HEQ</t>
  </si>
  <si>
    <t>HESM</t>
  </si>
  <si>
    <t>HFRO</t>
  </si>
  <si>
    <t>HG</t>
  </si>
  <si>
    <t>HGLB</t>
  </si>
  <si>
    <t>HGTY</t>
  </si>
  <si>
    <t>HGV</t>
  </si>
  <si>
    <t>HHH</t>
  </si>
  <si>
    <t>HI</t>
  </si>
  <si>
    <t>HIMS</t>
  </si>
  <si>
    <t>HIO</t>
  </si>
  <si>
    <t>HIPO</t>
  </si>
  <si>
    <t>HIW</t>
  </si>
  <si>
    <t>HIX</t>
  </si>
  <si>
    <t>HKD</t>
  </si>
  <si>
    <t>HL</t>
  </si>
  <si>
    <t>HLF</t>
  </si>
  <si>
    <t>HLI</t>
  </si>
  <si>
    <t>HLIO</t>
  </si>
  <si>
    <t>HLLY</t>
  </si>
  <si>
    <t>HLN</t>
  </si>
  <si>
    <t>HLX</t>
  </si>
  <si>
    <t>HMC</t>
  </si>
  <si>
    <t>HMN</t>
  </si>
  <si>
    <t>HMY</t>
  </si>
  <si>
    <t>HNGE</t>
  </si>
  <si>
    <t>HNI</t>
  </si>
  <si>
    <t>HOG</t>
  </si>
  <si>
    <t>HOMB</t>
  </si>
  <si>
    <t>HOUS</t>
  </si>
  <si>
    <t>HOV</t>
  </si>
  <si>
    <t>HP</t>
  </si>
  <si>
    <t>HPF</t>
  </si>
  <si>
    <t>HPI</t>
  </si>
  <si>
    <t>HPP</t>
  </si>
  <si>
    <t>HPS</t>
  </si>
  <si>
    <t>HQH</t>
  </si>
  <si>
    <t>HQL</t>
  </si>
  <si>
    <t>HR</t>
  </si>
  <si>
    <t>HRB</t>
  </si>
  <si>
    <t>HRI</t>
  </si>
  <si>
    <t>HRTG</t>
  </si>
  <si>
    <t>HSBC</t>
  </si>
  <si>
    <t>HSHP</t>
  </si>
  <si>
    <t>HTB</t>
  </si>
  <si>
    <t>HTD</t>
  </si>
  <si>
    <t>HTFB</t>
  </si>
  <si>
    <t>HTFC</t>
  </si>
  <si>
    <t>HTGC</t>
  </si>
  <si>
    <t>HTH</t>
  </si>
  <si>
    <t>HUBS</t>
  </si>
  <si>
    <t>HUN</t>
  </si>
  <si>
    <t>HUYA</t>
  </si>
  <si>
    <t>HVT</t>
  </si>
  <si>
    <t>HXL</t>
  </si>
  <si>
    <t>HY</t>
  </si>
  <si>
    <t>HYAC</t>
  </si>
  <si>
    <t>HYI</t>
  </si>
  <si>
    <t>HYT</t>
  </si>
  <si>
    <t>HZO</t>
  </si>
  <si>
    <t>IAE</t>
  </si>
  <si>
    <t>IAG</t>
  </si>
  <si>
    <t>IBN</t>
  </si>
  <si>
    <t>IBP</t>
  </si>
  <si>
    <t>IBTA</t>
  </si>
  <si>
    <t>ICL</t>
  </si>
  <si>
    <t>IDA</t>
  </si>
  <si>
    <t>IDE</t>
  </si>
  <si>
    <t>IDT</t>
  </si>
  <si>
    <t>IFN</t>
  </si>
  <si>
    <t>IFS</t>
  </si>
  <si>
    <t>IGA</t>
  </si>
  <si>
    <t>IGD</t>
  </si>
  <si>
    <t>IGI</t>
  </si>
  <si>
    <t>IGR</t>
  </si>
  <si>
    <t>IH</t>
  </si>
  <si>
    <t>IHD</t>
  </si>
  <si>
    <t>IHG</t>
  </si>
  <si>
    <t>IHS</t>
  </si>
  <si>
    <t>IIF</t>
  </si>
  <si>
    <t>IIIN</t>
  </si>
  <si>
    <t>IIM</t>
  </si>
  <si>
    <t>IIPR</t>
  </si>
  <si>
    <t>IMAX</t>
  </si>
  <si>
    <t>INFA</t>
  </si>
  <si>
    <t>INFY</t>
  </si>
  <si>
    <t>ING</t>
  </si>
  <si>
    <t>INGM</t>
  </si>
  <si>
    <t>INGR</t>
  </si>
  <si>
    <t>INN</t>
  </si>
  <si>
    <t>INR</t>
  </si>
  <si>
    <t>INSP</t>
  </si>
  <si>
    <t>INSW</t>
  </si>
  <si>
    <t>INVX</t>
  </si>
  <si>
    <t>IONQ</t>
  </si>
  <si>
    <t>IOT</t>
  </si>
  <si>
    <t>IPI</t>
  </si>
  <si>
    <t>IQI</t>
  </si>
  <si>
    <t>IRS</t>
  </si>
  <si>
    <t>IRT</t>
  </si>
  <si>
    <t>ISD</t>
  </si>
  <si>
    <t>ITGR</t>
  </si>
  <si>
    <t>ITT</t>
  </si>
  <si>
    <t>ITUB</t>
  </si>
  <si>
    <t>IVR</t>
  </si>
  <si>
    <t>IVT</t>
  </si>
  <si>
    <t>IX</t>
  </si>
  <si>
    <t>JACS</t>
  </si>
  <si>
    <t>JBGS</t>
  </si>
  <si>
    <t>JBI</t>
  </si>
  <si>
    <t>JBK</t>
  </si>
  <si>
    <t>JBS</t>
  </si>
  <si>
    <t>JBTM</t>
  </si>
  <si>
    <t>JCE</t>
  </si>
  <si>
    <t>JEF</t>
  </si>
  <si>
    <t>JELD</t>
  </si>
  <si>
    <t>JENA</t>
  </si>
  <si>
    <t>JEQ</t>
  </si>
  <si>
    <t>JFR</t>
  </si>
  <si>
    <t>JGH</t>
  </si>
  <si>
    <t>JHG</t>
  </si>
  <si>
    <t>JHI</t>
  </si>
  <si>
    <t>JHS</t>
  </si>
  <si>
    <t>JHX</t>
  </si>
  <si>
    <t>JILL</t>
  </si>
  <si>
    <t>JKS</t>
  </si>
  <si>
    <t>JLL</t>
  </si>
  <si>
    <t>JLS</t>
  </si>
  <si>
    <t>JMIA</t>
  </si>
  <si>
    <t>JMM</t>
  </si>
  <si>
    <t>JOBY</t>
  </si>
  <si>
    <t>JOE</t>
  </si>
  <si>
    <t>JOF</t>
  </si>
  <si>
    <t>JPC</t>
  </si>
  <si>
    <t>JPI</t>
  </si>
  <si>
    <t>JQC</t>
  </si>
  <si>
    <t>JRI</t>
  </si>
  <si>
    <t>JRS</t>
  </si>
  <si>
    <t>JXN</t>
  </si>
  <si>
    <t>KAI</t>
  </si>
  <si>
    <t>KAR</t>
  </si>
  <si>
    <t>KB</t>
  </si>
  <si>
    <t>KBDC</t>
  </si>
  <si>
    <t>KBH</t>
  </si>
  <si>
    <t>KBR</t>
  </si>
  <si>
    <t>KD</t>
  </si>
  <si>
    <t>KEN</t>
  </si>
  <si>
    <t>KEP</t>
  </si>
  <si>
    <t>KEX</t>
  </si>
  <si>
    <t>KF</t>
  </si>
  <si>
    <t>KFRC</t>
  </si>
  <si>
    <t>KFS</t>
  </si>
  <si>
    <t>KFY</t>
  </si>
  <si>
    <t>KGC</t>
  </si>
  <si>
    <t>KGS</t>
  </si>
  <si>
    <t>KIO</t>
  </si>
  <si>
    <t>KKRS</t>
  </si>
  <si>
    <t>KKRT</t>
  </si>
  <si>
    <t>KLC</t>
  </si>
  <si>
    <t>KLG</t>
  </si>
  <si>
    <t>KMPB</t>
  </si>
  <si>
    <t>KMPR</t>
  </si>
  <si>
    <t>KMT</t>
  </si>
  <si>
    <t>KN</t>
  </si>
  <si>
    <t>KNF</t>
  </si>
  <si>
    <t>KNOP</t>
  </si>
  <si>
    <t>KNSL</t>
  </si>
  <si>
    <t>KNTK</t>
  </si>
  <si>
    <t>KNX</t>
  </si>
  <si>
    <t>KODK</t>
  </si>
  <si>
    <t>KOF</t>
  </si>
  <si>
    <t>KOP</t>
  </si>
  <si>
    <t>KORE</t>
  </si>
  <si>
    <t>KOS</t>
  </si>
  <si>
    <t>KRC</t>
  </si>
  <si>
    <t>KREF</t>
  </si>
  <si>
    <t>KRG</t>
  </si>
  <si>
    <t>KRMN</t>
  </si>
  <si>
    <t>KRO</t>
  </si>
  <si>
    <t>KRP</t>
  </si>
  <si>
    <t>KSS</t>
  </si>
  <si>
    <t>KT</t>
  </si>
  <si>
    <t>KTB</t>
  </si>
  <si>
    <t>KTF</t>
  </si>
  <si>
    <t>KTH</t>
  </si>
  <si>
    <t>KTN</t>
  </si>
  <si>
    <t>KUKE</t>
  </si>
  <si>
    <t>KVYO</t>
  </si>
  <si>
    <t>KW</t>
  </si>
  <si>
    <t>KWR</t>
  </si>
  <si>
    <t>KYN</t>
  </si>
  <si>
    <t>LAC</t>
  </si>
  <si>
    <t>LAD</t>
  </si>
  <si>
    <t>LADR</t>
  </si>
  <si>
    <t>LANV</t>
  </si>
  <si>
    <t>LAR</t>
  </si>
  <si>
    <t>LAW</t>
  </si>
  <si>
    <t>LAZ</t>
  </si>
  <si>
    <t>LB</t>
  </si>
  <si>
    <t>LBRT</t>
  </si>
  <si>
    <t>LC</t>
  </si>
  <si>
    <t>LCII</t>
  </si>
  <si>
    <t>LDI</t>
  </si>
  <si>
    <t>LDP</t>
  </si>
  <si>
    <t>LEA</t>
  </si>
  <si>
    <t>LEG</t>
  </si>
  <si>
    <t>LEO</t>
  </si>
  <si>
    <t>LEVI</t>
  </si>
  <si>
    <t>LFT</t>
  </si>
  <si>
    <t>LGI</t>
  </si>
  <si>
    <t>LION</t>
  </si>
  <si>
    <t>LITB</t>
  </si>
  <si>
    <t>LMND</t>
  </si>
  <si>
    <t>LNC</t>
  </si>
  <si>
    <t>LND</t>
  </si>
  <si>
    <t>LNG</t>
  </si>
  <si>
    <t>LNN</t>
  </si>
  <si>
    <t>LOAR</t>
  </si>
  <si>
    <t>LOB</t>
  </si>
  <si>
    <t>LOCL</t>
  </si>
  <si>
    <t>LOMA</t>
  </si>
  <si>
    <t>LPG</t>
  </si>
  <si>
    <t>LPL</t>
  </si>
  <si>
    <t>LPX</t>
  </si>
  <si>
    <t>LRN</t>
  </si>
  <si>
    <t>LSPD</t>
  </si>
  <si>
    <t>LTC</t>
  </si>
  <si>
    <t>LTH</t>
  </si>
  <si>
    <t>LTM</t>
  </si>
  <si>
    <t>LU</t>
  </si>
  <si>
    <t>LUCK</t>
  </si>
  <si>
    <t>LUMN</t>
  </si>
  <si>
    <t>LUXE</t>
  </si>
  <si>
    <t>LVWR</t>
  </si>
  <si>
    <t>LXP</t>
  </si>
  <si>
    <t>LXU</t>
  </si>
  <si>
    <t>LYG</t>
  </si>
  <si>
    <t>LZB</t>
  </si>
  <si>
    <t>LZM</t>
  </si>
  <si>
    <t>M</t>
  </si>
  <si>
    <t>MAC</t>
  </si>
  <si>
    <t>MAGN</t>
  </si>
  <si>
    <t>MAIN</t>
  </si>
  <si>
    <t>MAN</t>
  </si>
  <si>
    <t>MANU</t>
  </si>
  <si>
    <t>MATV</t>
  </si>
  <si>
    <t>MATX</t>
  </si>
  <si>
    <t>MAV</t>
  </si>
  <si>
    <t>MAX</t>
  </si>
  <si>
    <t>MBC</t>
  </si>
  <si>
    <t>MBI</t>
  </si>
  <si>
    <t>MC</t>
  </si>
  <si>
    <t>MCB</t>
  </si>
  <si>
    <t>MCI</t>
  </si>
  <si>
    <t>MCN</t>
  </si>
  <si>
    <t>MCR</t>
  </si>
  <si>
    <t>MCS</t>
  </si>
  <si>
    <t>MCY</t>
  </si>
  <si>
    <t>MD</t>
  </si>
  <si>
    <t>MDU</t>
  </si>
  <si>
    <t>MDV</t>
  </si>
  <si>
    <t>MEC</t>
  </si>
  <si>
    <t>MED</t>
  </si>
  <si>
    <t>MEG</t>
  </si>
  <si>
    <t>MEGI</t>
  </si>
  <si>
    <t>MEI</t>
  </si>
  <si>
    <t>MFA</t>
  </si>
  <si>
    <t>MFAN</t>
  </si>
  <si>
    <t>MFAO</t>
  </si>
  <si>
    <t>MFC</t>
  </si>
  <si>
    <t>MFG</t>
  </si>
  <si>
    <t>MFM</t>
  </si>
  <si>
    <t>MG</t>
  </si>
  <si>
    <t>MGA</t>
  </si>
  <si>
    <t>MGF</t>
  </si>
  <si>
    <t>MGR</t>
  </si>
  <si>
    <t>MGRB</t>
  </si>
  <si>
    <t>MGRD</t>
  </si>
  <si>
    <t>MGRE</t>
  </si>
  <si>
    <t>MGY</t>
  </si>
  <si>
    <t>MH</t>
  </si>
  <si>
    <t>MHD</t>
  </si>
  <si>
    <t>MHF</t>
  </si>
  <si>
    <t>MHI</t>
  </si>
  <si>
    <t>MHLA</t>
  </si>
  <si>
    <t>MHN</t>
  </si>
  <si>
    <t>MHNC</t>
  </si>
  <si>
    <t>MHO</t>
  </si>
  <si>
    <t>MIAX</t>
  </si>
  <si>
    <t>MIN</t>
  </si>
  <si>
    <t>MIO</t>
  </si>
  <si>
    <t>MIR</t>
  </si>
  <si>
    <t>MITN</t>
  </si>
  <si>
    <t>MITP</t>
  </si>
  <si>
    <t>MITT</t>
  </si>
  <si>
    <t>MIY</t>
  </si>
  <si>
    <t>MKL</t>
  </si>
  <si>
    <t>MLI</t>
  </si>
  <si>
    <t>MLNK</t>
  </si>
  <si>
    <t>MLP</t>
  </si>
  <si>
    <t>MLR</t>
  </si>
  <si>
    <t>MMD</t>
  </si>
  <si>
    <t>MMI</t>
  </si>
  <si>
    <t>MMS</t>
  </si>
  <si>
    <t>MMT</t>
  </si>
  <si>
    <t>MMU</t>
  </si>
  <si>
    <t>MNR</t>
  </si>
  <si>
    <t>MNSO</t>
  </si>
  <si>
    <t>MNTN</t>
  </si>
  <si>
    <t>MOD</t>
  </si>
  <si>
    <t>MODG</t>
  </si>
  <si>
    <t>MOGU</t>
  </si>
  <si>
    <t>MOV</t>
  </si>
  <si>
    <t>MP</t>
  </si>
  <si>
    <t>MPA</t>
  </si>
  <si>
    <t>MPLX</t>
  </si>
  <si>
    <t>MPV</t>
  </si>
  <si>
    <t>MPW</t>
  </si>
  <si>
    <t>MPX</t>
  </si>
  <si>
    <t>MQT</t>
  </si>
  <si>
    <t>MQY</t>
  </si>
  <si>
    <t>MRC</t>
  </si>
  <si>
    <t>MRP</t>
  </si>
  <si>
    <t>MSA</t>
  </si>
  <si>
    <t>MSB</t>
  </si>
  <si>
    <t>MSC</t>
  </si>
  <si>
    <t>MSD</t>
  </si>
  <si>
    <t>MSDL</t>
  </si>
  <si>
    <t>MSGE</t>
  </si>
  <si>
    <t>MSGS</t>
  </si>
  <si>
    <t>MSIF</t>
  </si>
  <si>
    <t>MSM</t>
  </si>
  <si>
    <t>MT</t>
  </si>
  <si>
    <t>MTAL</t>
  </si>
  <si>
    <t>MTDR</t>
  </si>
  <si>
    <t>MTG</t>
  </si>
  <si>
    <t>MTH</t>
  </si>
  <si>
    <t>MTN</t>
  </si>
  <si>
    <t>MTR</t>
  </si>
  <si>
    <t>MTRN</t>
  </si>
  <si>
    <t>MTUS</t>
  </si>
  <si>
    <t>MTW</t>
  </si>
  <si>
    <t>MTX</t>
  </si>
  <si>
    <t>MTZ</t>
  </si>
  <si>
    <t>MUA</t>
  </si>
  <si>
    <t>MUC</t>
  </si>
  <si>
    <t>MUE</t>
  </si>
  <si>
    <t>MUFG</t>
  </si>
  <si>
    <t>MUJ</t>
  </si>
  <si>
    <t>MUR</t>
  </si>
  <si>
    <t>MUSA</t>
  </si>
  <si>
    <t>MUX</t>
  </si>
  <si>
    <t>MVF</t>
  </si>
  <si>
    <t>MVO</t>
  </si>
  <si>
    <t>MVT</t>
  </si>
  <si>
    <t>MWA</t>
  </si>
  <si>
    <t>MX</t>
  </si>
  <si>
    <t>MXE</t>
  </si>
  <si>
    <t>MXF</t>
  </si>
  <si>
    <t>MYD</t>
  </si>
  <si>
    <t>MYE</t>
  </si>
  <si>
    <t>MYI</t>
  </si>
  <si>
    <t>MYN</t>
  </si>
  <si>
    <t>NABL</t>
  </si>
  <si>
    <t>NAC</t>
  </si>
  <si>
    <t>NAD</t>
  </si>
  <si>
    <t>NAN</t>
  </si>
  <si>
    <t>NAT</t>
  </si>
  <si>
    <t>NATL</t>
  </si>
  <si>
    <t>NAZ</t>
  </si>
  <si>
    <t>NBB</t>
  </si>
  <si>
    <t>NBHC</t>
  </si>
  <si>
    <t>NBR</t>
  </si>
  <si>
    <t>NBXG</t>
  </si>
  <si>
    <t>NC</t>
  </si>
  <si>
    <t>NCA</t>
  </si>
  <si>
    <t>NCDL</t>
  </si>
  <si>
    <t>NCV</t>
  </si>
  <si>
    <t>NCZ</t>
  </si>
  <si>
    <t>NDMO</t>
  </si>
  <si>
    <t>NE</t>
  </si>
  <si>
    <t>NEA</t>
  </si>
  <si>
    <t>NET</t>
  </si>
  <si>
    <t>NEU</t>
  </si>
  <si>
    <t>NEUE</t>
  </si>
  <si>
    <t>NEXA</t>
  </si>
  <si>
    <t>NFG</t>
  </si>
  <si>
    <t>NFJ</t>
  </si>
  <si>
    <t>NGG</t>
  </si>
  <si>
    <t>NGL</t>
  </si>
  <si>
    <t>NGS</t>
  </si>
  <si>
    <t>NGVC</t>
  </si>
  <si>
    <t>NGVT</t>
  </si>
  <si>
    <t>NHI</t>
  </si>
  <si>
    <t>NIC</t>
  </si>
  <si>
    <t>NIE</t>
  </si>
  <si>
    <t>NIM</t>
  </si>
  <si>
    <t>NINE</t>
  </si>
  <si>
    <t>NIO</t>
  </si>
  <si>
    <t>NIQ</t>
  </si>
  <si>
    <t>NJR</t>
  </si>
  <si>
    <t>NKX</t>
  </si>
  <si>
    <t>NL</t>
  </si>
  <si>
    <t>NLOP</t>
  </si>
  <si>
    <t>NLY</t>
  </si>
  <si>
    <t>NMAI</t>
  </si>
  <si>
    <t>NMAX</t>
  </si>
  <si>
    <t>NMCO</t>
  </si>
  <si>
    <t>NMG</t>
  </si>
  <si>
    <t>NMI</t>
  </si>
  <si>
    <t>NMM</t>
  </si>
  <si>
    <t>NMR</t>
  </si>
  <si>
    <t>NMS</t>
  </si>
  <si>
    <t>NMT</t>
  </si>
  <si>
    <t>NMZ</t>
  </si>
  <si>
    <t>NNI</t>
  </si>
  <si>
    <t>NNN</t>
  </si>
  <si>
    <t>NNY</t>
  </si>
  <si>
    <t>NOA</t>
  </si>
  <si>
    <t>NOAH</t>
  </si>
  <si>
    <t>NOG</t>
  </si>
  <si>
    <t>NOK</t>
  </si>
  <si>
    <t>NOM</t>
  </si>
  <si>
    <t>NOMD</t>
  </si>
  <si>
    <t>NOTE</t>
  </si>
  <si>
    <t>NOV</t>
  </si>
  <si>
    <t>NPB</t>
  </si>
  <si>
    <t>NPCT</t>
  </si>
  <si>
    <t>NPFD</t>
  </si>
  <si>
    <t>NPK</t>
  </si>
  <si>
    <t>NPKI</t>
  </si>
  <si>
    <t>NPO</t>
  </si>
  <si>
    <t>NPV</t>
  </si>
  <si>
    <t>NPWR</t>
  </si>
  <si>
    <t>NQP</t>
  </si>
  <si>
    <t>NRDY</t>
  </si>
  <si>
    <t>NREF</t>
  </si>
  <si>
    <t>NRGV</t>
  </si>
  <si>
    <t>NRK</t>
  </si>
  <si>
    <t>NRP</t>
  </si>
  <si>
    <t>NRT</t>
  </si>
  <si>
    <t>NRUC</t>
  </si>
  <si>
    <t>NSA</t>
  </si>
  <si>
    <t>NSP</t>
  </si>
  <si>
    <t>NTB</t>
  </si>
  <si>
    <t>NTR</t>
  </si>
  <si>
    <t>NTST</t>
  </si>
  <si>
    <t>NTZ</t>
  </si>
  <si>
    <t>NU</t>
  </si>
  <si>
    <t>NUS</t>
  </si>
  <si>
    <t>NUV</t>
  </si>
  <si>
    <t>NUVB</t>
  </si>
  <si>
    <t>NUW</t>
  </si>
  <si>
    <t>NVG</t>
  </si>
  <si>
    <t>NVGS</t>
  </si>
  <si>
    <t>NVO</t>
  </si>
  <si>
    <t>NVRI</t>
  </si>
  <si>
    <t>NVS</t>
  </si>
  <si>
    <t>NVST</t>
  </si>
  <si>
    <t>NVT</t>
  </si>
  <si>
    <t>NWG</t>
  </si>
  <si>
    <t>NWN</t>
  </si>
  <si>
    <t>NX</t>
  </si>
  <si>
    <t>NXC</t>
  </si>
  <si>
    <t>NXDR</t>
  </si>
  <si>
    <t>NXDT</t>
  </si>
  <si>
    <t>NXE</t>
  </si>
  <si>
    <t>NXG</t>
  </si>
  <si>
    <t>NXJ</t>
  </si>
  <si>
    <t>NXN</t>
  </si>
  <si>
    <t>NXP</t>
  </si>
  <si>
    <t>NXRT</t>
  </si>
  <si>
    <t>NYC</t>
  </si>
  <si>
    <t>NYT</t>
  </si>
  <si>
    <t>NZF</t>
  </si>
  <si>
    <t>OBDC</t>
  </si>
  <si>
    <t>OBK</t>
  </si>
  <si>
    <t>OC</t>
  </si>
  <si>
    <t>OCFT</t>
  </si>
  <si>
    <t>ODC</t>
  </si>
  <si>
    <t>ODV</t>
  </si>
  <si>
    <t>OEC</t>
  </si>
  <si>
    <t>OFG</t>
  </si>
  <si>
    <t>OGE</t>
  </si>
  <si>
    <t>OGN</t>
  </si>
  <si>
    <t>OGS</t>
  </si>
  <si>
    <t>OHI</t>
  </si>
  <si>
    <t>OI</t>
  </si>
  <si>
    <t>OIA</t>
  </si>
  <si>
    <t>OII</t>
  </si>
  <si>
    <t>OIS</t>
  </si>
  <si>
    <t>OKLO</t>
  </si>
  <si>
    <t>OLN</t>
  </si>
  <si>
    <t>OLO</t>
  </si>
  <si>
    <t>OLP</t>
  </si>
  <si>
    <t>OMF</t>
  </si>
  <si>
    <t>OMI</t>
  </si>
  <si>
    <t>ONIT</t>
  </si>
  <si>
    <t>ONL</t>
  </si>
  <si>
    <t>ONON</t>
  </si>
  <si>
    <t>ONTF</t>
  </si>
  <si>
    <t>ONTO</t>
  </si>
  <si>
    <t>OOMA</t>
  </si>
  <si>
    <t>OPAD</t>
  </si>
  <si>
    <t>OPFI</t>
  </si>
  <si>
    <t>OPP</t>
  </si>
  <si>
    <t>OPY</t>
  </si>
  <si>
    <t>OR</t>
  </si>
  <si>
    <t>ORA</t>
  </si>
  <si>
    <t>ORC</t>
  </si>
  <si>
    <t>ORI</t>
  </si>
  <si>
    <t>ORN</t>
  </si>
  <si>
    <t>OSCR</t>
  </si>
  <si>
    <t>OSK</t>
  </si>
  <si>
    <t>OTF</t>
  </si>
  <si>
    <t>OUT</t>
  </si>
  <si>
    <t>OVV</t>
  </si>
  <si>
    <t>OWL</t>
  </si>
  <si>
    <t>OWLT</t>
  </si>
  <si>
    <t>OXM</t>
  </si>
  <si>
    <t>PAAS</t>
  </si>
  <si>
    <t>PAC</t>
  </si>
  <si>
    <t>PACK</t>
  </si>
  <si>
    <t>PACS</t>
  </si>
  <si>
    <t>PAG</t>
  </si>
  <si>
    <t>PAGS</t>
  </si>
  <si>
    <t>PAI</t>
  </si>
  <si>
    <t>PAM</t>
  </si>
  <si>
    <t>PAR</t>
  </si>
  <si>
    <t>PARR</t>
  </si>
  <si>
    <t>PATH</t>
  </si>
  <si>
    <t>PAXS</t>
  </si>
  <si>
    <t>PAY</t>
  </si>
  <si>
    <t>PB</t>
  </si>
  <si>
    <t>PBA</t>
  </si>
  <si>
    <t>PBF</t>
  </si>
  <si>
    <t>PBH</t>
  </si>
  <si>
    <t>PBI</t>
  </si>
  <si>
    <t>PBR</t>
  </si>
  <si>
    <t>PBT</t>
  </si>
  <si>
    <t>PCF</t>
  </si>
  <si>
    <t>PCM</t>
  </si>
  <si>
    <t>PCN</t>
  </si>
  <si>
    <t>PCOR</t>
  </si>
  <si>
    <t>PCQ</t>
  </si>
  <si>
    <t>PD</t>
  </si>
  <si>
    <t>PDCC</t>
  </si>
  <si>
    <t>PDI</t>
  </si>
  <si>
    <t>PDM</t>
  </si>
  <si>
    <t>PDO</t>
  </si>
  <si>
    <t>PDPA</t>
  </si>
  <si>
    <t>PDS</t>
  </si>
  <si>
    <t>PDT</t>
  </si>
  <si>
    <t>PDX</t>
  </si>
  <si>
    <t>PEB</t>
  </si>
  <si>
    <t>PEN</t>
  </si>
  <si>
    <t>PEO</t>
  </si>
  <si>
    <t>PERF</t>
  </si>
  <si>
    <t>PEW</t>
  </si>
  <si>
    <t>PFD</t>
  </si>
  <si>
    <t>PFGC</t>
  </si>
  <si>
    <t>PFH</t>
  </si>
  <si>
    <t>PFL</t>
  </si>
  <si>
    <t>PFLT</t>
  </si>
  <si>
    <t>PFN</t>
  </si>
  <si>
    <t>PFO</t>
  </si>
  <si>
    <t>PFS</t>
  </si>
  <si>
    <t>PFSI</t>
  </si>
  <si>
    <t>PGP</t>
  </si>
  <si>
    <t>PGRE</t>
  </si>
  <si>
    <t>PGZ</t>
  </si>
  <si>
    <t>PHD</t>
  </si>
  <si>
    <t>PHG</t>
  </si>
  <si>
    <t>PHI</t>
  </si>
  <si>
    <t>PHIN</t>
  </si>
  <si>
    <t>PHK</t>
  </si>
  <si>
    <t>PHR</t>
  </si>
  <si>
    <t>PHT</t>
  </si>
  <si>
    <t>PII</t>
  </si>
  <si>
    <t>PIM</t>
  </si>
  <si>
    <t>PINE</t>
  </si>
  <si>
    <t>PINS</t>
  </si>
  <si>
    <t>PIPR</t>
  </si>
  <si>
    <t>PJT</t>
  </si>
  <si>
    <t>PK</t>
  </si>
  <si>
    <t>PKE</t>
  </si>
  <si>
    <t>PKST</t>
  </si>
  <si>
    <t>PKX</t>
  </si>
  <si>
    <t>PL</t>
  </si>
  <si>
    <t>PLNT</t>
  </si>
  <si>
    <t>PLOW</t>
  </si>
  <si>
    <t>PLYM</t>
  </si>
  <si>
    <t>PML</t>
  </si>
  <si>
    <t>PMM</t>
  </si>
  <si>
    <t>PMO</t>
  </si>
  <si>
    <t>PMT</t>
  </si>
  <si>
    <t>PMTU</t>
  </si>
  <si>
    <t>PMTV</t>
  </si>
  <si>
    <t>PMTW</t>
  </si>
  <si>
    <t>PNI</t>
  </si>
  <si>
    <t>PNNT</t>
  </si>
  <si>
    <t>POR</t>
  </si>
  <si>
    <t>POST</t>
  </si>
  <si>
    <t>PPT</t>
  </si>
  <si>
    <t>PR</t>
  </si>
  <si>
    <t>PRA</t>
  </si>
  <si>
    <t>PRG</t>
  </si>
  <si>
    <t>PRGO</t>
  </si>
  <si>
    <t>PRH</t>
  </si>
  <si>
    <t>PRI</t>
  </si>
  <si>
    <t>PRIM</t>
  </si>
  <si>
    <t>PRKS</t>
  </si>
  <si>
    <t>PRLB</t>
  </si>
  <si>
    <t>PRM</t>
  </si>
  <si>
    <t>PRMB</t>
  </si>
  <si>
    <t>PRO</t>
  </si>
  <si>
    <t>PRS</t>
  </si>
  <si>
    <t>PRSU</t>
  </si>
  <si>
    <t>PRT</t>
  </si>
  <si>
    <t>PSBD</t>
  </si>
  <si>
    <t>PSF</t>
  </si>
  <si>
    <t>PSFE</t>
  </si>
  <si>
    <t>PSN</t>
  </si>
  <si>
    <t>PSO</t>
  </si>
  <si>
    <t>PSQH</t>
  </si>
  <si>
    <t>PSTG</t>
  </si>
  <si>
    <t>PSTL</t>
  </si>
  <si>
    <t>PTA</t>
  </si>
  <si>
    <t>PTY</t>
  </si>
  <si>
    <t>PUK</t>
  </si>
  <si>
    <t>PUMP</t>
  </si>
  <si>
    <t>PVH</t>
  </si>
  <si>
    <t>PVL</t>
  </si>
  <si>
    <t>PX</t>
  </si>
  <si>
    <t>PYT</t>
  </si>
  <si>
    <t>QBTS</t>
  </si>
  <si>
    <t>QD</t>
  </si>
  <si>
    <t>QGEN</t>
  </si>
  <si>
    <t>QS</t>
  </si>
  <si>
    <t>QSR</t>
  </si>
  <si>
    <t>QTWO</t>
  </si>
  <si>
    <t>QUAD</t>
  </si>
  <si>
    <t>QVCC</t>
  </si>
  <si>
    <t>QVCD</t>
  </si>
  <si>
    <t>QXO</t>
  </si>
  <si>
    <t>R</t>
  </si>
  <si>
    <t>RA</t>
  </si>
  <si>
    <t>RAC</t>
  </si>
  <si>
    <t>RACE</t>
  </si>
  <si>
    <t>RAL</t>
  </si>
  <si>
    <t>RAMP</t>
  </si>
  <si>
    <t>RBA</t>
  </si>
  <si>
    <t>RBC</t>
  </si>
  <si>
    <t>RBLX</t>
  </si>
  <si>
    <t>RBOT</t>
  </si>
  <si>
    <t>RBRK</t>
  </si>
  <si>
    <t>RC</t>
  </si>
  <si>
    <t>RCB</t>
  </si>
  <si>
    <t>RCC</t>
  </si>
  <si>
    <t>RCD</t>
  </si>
  <si>
    <t>RCI</t>
  </si>
  <si>
    <t>RCS</t>
  </si>
  <si>
    <t>RCUS</t>
  </si>
  <si>
    <t>RDDT</t>
  </si>
  <si>
    <t>RDN</t>
  </si>
  <si>
    <t>RDW</t>
  </si>
  <si>
    <t>RDY</t>
  </si>
  <si>
    <t>RELX</t>
  </si>
  <si>
    <t>RERE</t>
  </si>
  <si>
    <t>RES</t>
  </si>
  <si>
    <t>REVG</t>
  </si>
  <si>
    <t>REX</t>
  </si>
  <si>
    <t>REXR</t>
  </si>
  <si>
    <t>REZI</t>
  </si>
  <si>
    <t>RFI</t>
  </si>
  <si>
    <t>RFL</t>
  </si>
  <si>
    <t>RFM</t>
  </si>
  <si>
    <t>RFMZ</t>
  </si>
  <si>
    <t>RGA</t>
  </si>
  <si>
    <t>RGR</t>
  </si>
  <si>
    <t>RGT</t>
  </si>
  <si>
    <t>RH</t>
  </si>
  <si>
    <t>RHI</t>
  </si>
  <si>
    <t>RHP</t>
  </si>
  <si>
    <t>RIG</t>
  </si>
  <si>
    <t>RIO</t>
  </si>
  <si>
    <t>RITM</t>
  </si>
  <si>
    <t>RIV</t>
  </si>
  <si>
    <t>RKT</t>
  </si>
  <si>
    <t>RLI</t>
  </si>
  <si>
    <t>RLJ</t>
  </si>
  <si>
    <t>RLTY</t>
  </si>
  <si>
    <t>RLX</t>
  </si>
  <si>
    <t>RM</t>
  </si>
  <si>
    <t>RMAX</t>
  </si>
  <si>
    <t>RMI</t>
  </si>
  <si>
    <t>RMM</t>
  </si>
  <si>
    <t>RMMZ</t>
  </si>
  <si>
    <t>RMT</t>
  </si>
  <si>
    <t>RNG</t>
  </si>
  <si>
    <t>RNGR</t>
  </si>
  <si>
    <t>RNP</t>
  </si>
  <si>
    <t>RNR</t>
  </si>
  <si>
    <t>RNST</t>
  </si>
  <si>
    <t>ROG</t>
  </si>
  <si>
    <t>RPM</t>
  </si>
  <si>
    <t>RPT</t>
  </si>
  <si>
    <t>RQI</t>
  </si>
  <si>
    <t>RRC</t>
  </si>
  <si>
    <t>RRX</t>
  </si>
  <si>
    <t>RS</t>
  </si>
  <si>
    <t>RSF</t>
  </si>
  <si>
    <t>RSI</t>
  </si>
  <si>
    <t>RSKD</t>
  </si>
  <si>
    <t>RTO</t>
  </si>
  <si>
    <t>RVLV</t>
  </si>
  <si>
    <t>RVT</t>
  </si>
  <si>
    <t>RWT</t>
  </si>
  <si>
    <t>RWTN</t>
  </si>
  <si>
    <t>RWTO</t>
  </si>
  <si>
    <t>RWTP</t>
  </si>
  <si>
    <t>RXO</t>
  </si>
  <si>
    <t>RY</t>
  </si>
  <si>
    <t>RYAM</t>
  </si>
  <si>
    <t>RYAN</t>
  </si>
  <si>
    <t>RYI</t>
  </si>
  <si>
    <t>RYN</t>
  </si>
  <si>
    <t>RZB</t>
  </si>
  <si>
    <t>RZC</t>
  </si>
  <si>
    <t>S</t>
  </si>
  <si>
    <t>SA</t>
  </si>
  <si>
    <t>SABA</t>
  </si>
  <si>
    <t>SAFE</t>
  </si>
  <si>
    <t>SAH</t>
  </si>
  <si>
    <t>SAJ</t>
  </si>
  <si>
    <t>SAM</t>
  </si>
  <si>
    <t>SAN</t>
  </si>
  <si>
    <t>SAND</t>
  </si>
  <si>
    <t>SAP</t>
  </si>
  <si>
    <t>SAR</t>
  </si>
  <si>
    <t>SARO</t>
  </si>
  <si>
    <t>SAT</t>
  </si>
  <si>
    <t>SAY</t>
  </si>
  <si>
    <t>SAZ</t>
  </si>
  <si>
    <t>SB</t>
  </si>
  <si>
    <t>SBDS</t>
  </si>
  <si>
    <t>SBH</t>
  </si>
  <si>
    <t>SBI</t>
  </si>
  <si>
    <t>SBR</t>
  </si>
  <si>
    <t>SBS</t>
  </si>
  <si>
    <t>SBSI</t>
  </si>
  <si>
    <t>SBSW</t>
  </si>
  <si>
    <t>SBXD</t>
  </si>
  <si>
    <t>SCCO</t>
  </si>
  <si>
    <t>SCD</t>
  </si>
  <si>
    <t>SCI</t>
  </si>
  <si>
    <t>SCL</t>
  </si>
  <si>
    <t>SCM</t>
  </si>
  <si>
    <t>SCS</t>
  </si>
  <si>
    <t>SD</t>
  </si>
  <si>
    <t>SDHC</t>
  </si>
  <si>
    <t>SDHY</t>
  </si>
  <si>
    <t>SDRL</t>
  </si>
  <si>
    <t>SE</t>
  </si>
  <si>
    <t>SEE</t>
  </si>
  <si>
    <t>SEG</t>
  </si>
  <si>
    <t>SEI</t>
  </si>
  <si>
    <t>SEM</t>
  </si>
  <si>
    <t>SEMR</t>
  </si>
  <si>
    <t>SES</t>
  </si>
  <si>
    <t>SF</t>
  </si>
  <si>
    <t>SFB</t>
  </si>
  <si>
    <t>SFBS</t>
  </si>
  <si>
    <t>SFL</t>
  </si>
  <si>
    <t>SG</t>
  </si>
  <si>
    <t>SGHC</t>
  </si>
  <si>
    <t>SGI</t>
  </si>
  <si>
    <t>SGU</t>
  </si>
  <si>
    <t>SHAK</t>
  </si>
  <si>
    <t>SHCO</t>
  </si>
  <si>
    <t>SHEL</t>
  </si>
  <si>
    <t>SHG</t>
  </si>
  <si>
    <t>SHO</t>
  </si>
  <si>
    <t>SI</t>
  </si>
  <si>
    <t>SID</t>
  </si>
  <si>
    <t>SIG</t>
  </si>
  <si>
    <t>SII</t>
  </si>
  <si>
    <t>SILA</t>
  </si>
  <si>
    <t>SITC</t>
  </si>
  <si>
    <t>SITE</t>
  </si>
  <si>
    <t>SJT</t>
  </si>
  <si>
    <t>SKE</t>
  </si>
  <si>
    <t>SKIL</t>
  </si>
  <si>
    <t>SKLZ</t>
  </si>
  <si>
    <t>SKM</t>
  </si>
  <si>
    <t>SKT</t>
  </si>
  <si>
    <t>SKX</t>
  </si>
  <si>
    <t>SKY</t>
  </si>
  <si>
    <t>SKYH</t>
  </si>
  <si>
    <t>SLF</t>
  </si>
  <si>
    <t>SLG</t>
  </si>
  <si>
    <t>SLGN</t>
  </si>
  <si>
    <t>SLQT</t>
  </si>
  <si>
    <t>SLVM</t>
  </si>
  <si>
    <t>SM</t>
  </si>
  <si>
    <t>SMA</t>
  </si>
  <si>
    <t>SMBK</t>
  </si>
  <si>
    <t>SMC</t>
  </si>
  <si>
    <t>SMFG</t>
  </si>
  <si>
    <t>SMG</t>
  </si>
  <si>
    <t>SMHI</t>
  </si>
  <si>
    <t>SMR</t>
  </si>
  <si>
    <t>SMRT</t>
  </si>
  <si>
    <t>SMWB</t>
  </si>
  <si>
    <t>SN</t>
  </si>
  <si>
    <t>SNAP</t>
  </si>
  <si>
    <t>SNDA</t>
  </si>
  <si>
    <t>SNDR</t>
  </si>
  <si>
    <t>SNN</t>
  </si>
  <si>
    <t>SNOW</t>
  </si>
  <si>
    <t>SNV</t>
  </si>
  <si>
    <t>SNX</t>
  </si>
  <si>
    <t>SOBO</t>
  </si>
  <si>
    <t>SOC</t>
  </si>
  <si>
    <t>SOJC</t>
  </si>
  <si>
    <t>SOJD</t>
  </si>
  <si>
    <t>SOJE</t>
  </si>
  <si>
    <t>SOJF</t>
  </si>
  <si>
    <t>SOL</t>
  </si>
  <si>
    <t>SON</t>
  </si>
  <si>
    <t>SONY</t>
  </si>
  <si>
    <t>SOR</t>
  </si>
  <si>
    <t>SOS</t>
  </si>
  <si>
    <t>SOUL</t>
  </si>
  <si>
    <t>SPB</t>
  </si>
  <si>
    <t>SPCE</t>
  </si>
  <si>
    <t>SPE</t>
  </si>
  <si>
    <t>SPH</t>
  </si>
  <si>
    <t>SPHR</t>
  </si>
  <si>
    <t>SPIR</t>
  </si>
  <si>
    <t>SPMA</t>
  </si>
  <si>
    <t>SPMC</t>
  </si>
  <si>
    <t>SPME</t>
  </si>
  <si>
    <t>SPNT</t>
  </si>
  <si>
    <t>SPOT</t>
  </si>
  <si>
    <t>SPR</t>
  </si>
  <si>
    <t>SPRU</t>
  </si>
  <si>
    <t>SPXC</t>
  </si>
  <si>
    <t>SPXX</t>
  </si>
  <si>
    <t>SQM</t>
  </si>
  <si>
    <t>SQNS</t>
  </si>
  <si>
    <t>SR</t>
  </si>
  <si>
    <t>SREA</t>
  </si>
  <si>
    <t>SRFM</t>
  </si>
  <si>
    <t>SRG</t>
  </si>
  <si>
    <t>SRI</t>
  </si>
  <si>
    <t>SRL</t>
  </si>
  <si>
    <t>SRV</t>
  </si>
  <si>
    <t>SSB</t>
  </si>
  <si>
    <t>SSD</t>
  </si>
  <si>
    <t>SSL</t>
  </si>
  <si>
    <t>SST</t>
  </si>
  <si>
    <t>SSTK</t>
  </si>
  <si>
    <t>ST</t>
  </si>
  <si>
    <t>STAG</t>
  </si>
  <si>
    <t>STC</t>
  </si>
  <si>
    <t>STEL</t>
  </si>
  <si>
    <t>STEM</t>
  </si>
  <si>
    <t>STEW</t>
  </si>
  <si>
    <t>STG</t>
  </si>
  <si>
    <t>STK</t>
  </si>
  <si>
    <t>STLA</t>
  </si>
  <si>
    <t>STM</t>
  </si>
  <si>
    <t>STN</t>
  </si>
  <si>
    <t>STNG</t>
  </si>
  <si>
    <t>STVN</t>
  </si>
  <si>
    <t>STWD</t>
  </si>
  <si>
    <t>SU</t>
  </si>
  <si>
    <t>SUI</t>
  </si>
  <si>
    <t>SUN</t>
  </si>
  <si>
    <t>SUPV</t>
  </si>
  <si>
    <t>SUZ</t>
  </si>
  <si>
    <t>SVV</t>
  </si>
  <si>
    <t>SWX</t>
  </si>
  <si>
    <t>SWZ</t>
  </si>
  <si>
    <t>SXC</t>
  </si>
  <si>
    <t>SXI</t>
  </si>
  <si>
    <t>SXT</t>
  </si>
  <si>
    <t>TAC</t>
  </si>
  <si>
    <t>TAK</t>
  </si>
  <si>
    <t>TAL</t>
  </si>
  <si>
    <t>TALO</t>
  </si>
  <si>
    <t>TBB</t>
  </si>
  <si>
    <t>TBBB</t>
  </si>
  <si>
    <t>TBI</t>
  </si>
  <si>
    <t>TBN</t>
  </si>
  <si>
    <t>TCI</t>
  </si>
  <si>
    <t>TD</t>
  </si>
  <si>
    <t>TDC</t>
  </si>
  <si>
    <t>TDF</t>
  </si>
  <si>
    <t>TDOC</t>
  </si>
  <si>
    <t>TDS</t>
  </si>
  <si>
    <t>TDW</t>
  </si>
  <si>
    <t>TE</t>
  </si>
  <si>
    <t>TEAF</t>
  </si>
  <si>
    <t>TECK</t>
  </si>
  <si>
    <t>TEF</t>
  </si>
  <si>
    <t>TEI</t>
  </si>
  <si>
    <t>TEN</t>
  </si>
  <si>
    <t>TEO</t>
  </si>
  <si>
    <t>TEVA</t>
  </si>
  <si>
    <t>TEX</t>
  </si>
  <si>
    <t>TFII</t>
  </si>
  <si>
    <t>TFIN</t>
  </si>
  <si>
    <t>TFPM</t>
  </si>
  <si>
    <t>TFSA</t>
  </si>
  <si>
    <t>TFX</t>
  </si>
  <si>
    <t>TG</t>
  </si>
  <si>
    <t>TGE</t>
  </si>
  <si>
    <t>TGLS</t>
  </si>
  <si>
    <t>TGNA</t>
  </si>
  <si>
    <t>TGS</t>
  </si>
  <si>
    <t>THC</t>
  </si>
  <si>
    <t>THG</t>
  </si>
  <si>
    <t>THO</t>
  </si>
  <si>
    <t>THQ</t>
  </si>
  <si>
    <t>THR</t>
  </si>
  <si>
    <t>THS</t>
  </si>
  <si>
    <t>THW</t>
  </si>
  <si>
    <t>TIC</t>
  </si>
  <si>
    <t>TIMB</t>
  </si>
  <si>
    <t>TISI</t>
  </si>
  <si>
    <t>TIXT</t>
  </si>
  <si>
    <t>TK</t>
  </si>
  <si>
    <t>TKC</t>
  </si>
  <si>
    <t>TKR</t>
  </si>
  <si>
    <t>TLK</t>
  </si>
  <si>
    <t>TLYS</t>
  </si>
  <si>
    <t>TM</t>
  </si>
  <si>
    <t>TME</t>
  </si>
  <si>
    <t>TMHC</t>
  </si>
  <si>
    <t>TNC</t>
  </si>
  <si>
    <t>TNET</t>
  </si>
  <si>
    <t>TNK</t>
  </si>
  <si>
    <t>TNL</t>
  </si>
  <si>
    <t>TOL</t>
  </si>
  <si>
    <t>TOST</t>
  </si>
  <si>
    <t>TPB</t>
  </si>
  <si>
    <t>TPC</t>
  </si>
  <si>
    <t>TPH</t>
  </si>
  <si>
    <t>TPTA</t>
  </si>
  <si>
    <t>TPVG</t>
  </si>
  <si>
    <t>TR</t>
  </si>
  <si>
    <t>TRAK</t>
  </si>
  <si>
    <t>TRC</t>
  </si>
  <si>
    <t>TREX</t>
  </si>
  <si>
    <t>TRN</t>
  </si>
  <si>
    <t>TRNO</t>
  </si>
  <si>
    <t>TROX</t>
  </si>
  <si>
    <t>TRP</t>
  </si>
  <si>
    <t>TRTX</t>
  </si>
  <si>
    <t>TRU</t>
  </si>
  <si>
    <t>TS</t>
  </si>
  <si>
    <t>TSE</t>
  </si>
  <si>
    <t>TSI</t>
  </si>
  <si>
    <t>TSLX</t>
  </si>
  <si>
    <t>TSM</t>
  </si>
  <si>
    <t>TSQ</t>
  </si>
  <si>
    <t>TTAM</t>
  </si>
  <si>
    <t>TTC</t>
  </si>
  <si>
    <t>TTE</t>
  </si>
  <si>
    <t>TTI</t>
  </si>
  <si>
    <t>TU</t>
  </si>
  <si>
    <t>TUYA</t>
  </si>
  <si>
    <t>TV</t>
  </si>
  <si>
    <t>TVC</t>
  </si>
  <si>
    <t>TVE</t>
  </si>
  <si>
    <t>TWI</t>
  </si>
  <si>
    <t>TWLO</t>
  </si>
  <si>
    <t>TWN</t>
  </si>
  <si>
    <t>TWO</t>
  </si>
  <si>
    <t>TWOD</t>
  </si>
  <si>
    <t>TX</t>
  </si>
  <si>
    <t>TXNM</t>
  </si>
  <si>
    <t>TXO</t>
  </si>
  <si>
    <t>TY</t>
  </si>
  <si>
    <t>TYG</t>
  </si>
  <si>
    <t>U</t>
  </si>
  <si>
    <t>UA</t>
  </si>
  <si>
    <t>UAA</t>
  </si>
  <si>
    <t>UAN</t>
  </si>
  <si>
    <t>UBS</t>
  </si>
  <si>
    <t>UCB</t>
  </si>
  <si>
    <t>UE</t>
  </si>
  <si>
    <t>UFI</t>
  </si>
  <si>
    <t>UGI</t>
  </si>
  <si>
    <t>UGP</t>
  </si>
  <si>
    <t>UHAL</t>
  </si>
  <si>
    <t>UHT</t>
  </si>
  <si>
    <t>UI</t>
  </si>
  <si>
    <t>UIS</t>
  </si>
  <si>
    <t>UL</t>
  </si>
  <si>
    <t>ULS</t>
  </si>
  <si>
    <t>UMC</t>
  </si>
  <si>
    <t>UMH</t>
  </si>
  <si>
    <t>UNF</t>
  </si>
  <si>
    <t>UNFI</t>
  </si>
  <si>
    <t>UNM</t>
  </si>
  <si>
    <t>UNMA</t>
  </si>
  <si>
    <t>UP</t>
  </si>
  <si>
    <t>USA</t>
  </si>
  <si>
    <t>USAC</t>
  </si>
  <si>
    <t>USFD</t>
  </si>
  <si>
    <t>USNA</t>
  </si>
  <si>
    <t>USPH</t>
  </si>
  <si>
    <t>UTF</t>
  </si>
  <si>
    <t>UTI</t>
  </si>
  <si>
    <t>UTL</t>
  </si>
  <si>
    <t>UTZ</t>
  </si>
  <si>
    <t>UVE</t>
  </si>
  <si>
    <t>UVV</t>
  </si>
  <si>
    <t>UWMC</t>
  </si>
  <si>
    <t>UZD</t>
  </si>
  <si>
    <t>UZE</t>
  </si>
  <si>
    <t>UZF</t>
  </si>
  <si>
    <t>VAC</t>
  </si>
  <si>
    <t>VAL</t>
  </si>
  <si>
    <t>VALE</t>
  </si>
  <si>
    <t>VATE</t>
  </si>
  <si>
    <t>VBF</t>
  </si>
  <si>
    <t>VCV</t>
  </si>
  <si>
    <t>VEEV</t>
  </si>
  <si>
    <t>VEL</t>
  </si>
  <si>
    <t>VET</t>
  </si>
  <si>
    <t>VFC</t>
  </si>
  <si>
    <t>VG</t>
  </si>
  <si>
    <t>VGI</t>
  </si>
  <si>
    <t>VGM</t>
  </si>
  <si>
    <t>VHC</t>
  </si>
  <si>
    <t>VHI</t>
  </si>
  <si>
    <t>VIK</t>
  </si>
  <si>
    <t>VIPS</t>
  </si>
  <si>
    <t>VIRT</t>
  </si>
  <si>
    <t>VIST</t>
  </si>
  <si>
    <t>VIV</t>
  </si>
  <si>
    <t>VKQ</t>
  </si>
  <si>
    <t>VLN</t>
  </si>
  <si>
    <t>VLRS</t>
  </si>
  <si>
    <t>VLT</t>
  </si>
  <si>
    <t>VMI</t>
  </si>
  <si>
    <t>VMO</t>
  </si>
  <si>
    <t>VNCE</t>
  </si>
  <si>
    <t>VNO</t>
  </si>
  <si>
    <t>VNT</t>
  </si>
  <si>
    <t>VOC</t>
  </si>
  <si>
    <t>VOYA</t>
  </si>
  <si>
    <t>VOYG</t>
  </si>
  <si>
    <t>VPG</t>
  </si>
  <si>
    <t>VPV</t>
  </si>
  <si>
    <t>VRE</t>
  </si>
  <si>
    <t>VRT</t>
  </si>
  <si>
    <t>VRTS</t>
  </si>
  <si>
    <t>VSCO</t>
  </si>
  <si>
    <t>VSH</t>
  </si>
  <si>
    <t>VSTS</t>
  </si>
  <si>
    <t>VTEX</t>
  </si>
  <si>
    <t>VTLE</t>
  </si>
  <si>
    <t>VTMX</t>
  </si>
  <si>
    <t>VTN</t>
  </si>
  <si>
    <t>VTOL</t>
  </si>
  <si>
    <t>VTS</t>
  </si>
  <si>
    <t>VVR</t>
  </si>
  <si>
    <t>VVV</t>
  </si>
  <si>
    <t>VVX</t>
  </si>
  <si>
    <t>VYX</t>
  </si>
  <si>
    <t>W</t>
  </si>
  <si>
    <t>WAL</t>
  </si>
  <si>
    <t>WBS</t>
  </si>
  <si>
    <t>WBX</t>
  </si>
  <si>
    <t>WCC</t>
  </si>
  <si>
    <t>WCN</t>
  </si>
  <si>
    <t>WD</t>
  </si>
  <si>
    <t>WDH</t>
  </si>
  <si>
    <t>WDI</t>
  </si>
  <si>
    <t>WDS</t>
  </si>
  <si>
    <t>WEA</t>
  </si>
  <si>
    <t>WEAV</t>
  </si>
  <si>
    <t>WES</t>
  </si>
  <si>
    <t>WEX</t>
  </si>
  <si>
    <t>WF</t>
  </si>
  <si>
    <t>WFG</t>
  </si>
  <si>
    <t>WGO</t>
  </si>
  <si>
    <t>WH</t>
  </si>
  <si>
    <t>WHD</t>
  </si>
  <si>
    <t>WHG</t>
  </si>
  <si>
    <t>WHR</t>
  </si>
  <si>
    <t>WIA</t>
  </si>
  <si>
    <t>WIT</t>
  </si>
  <si>
    <t>WIW</t>
  </si>
  <si>
    <t>WK</t>
  </si>
  <si>
    <t>WKC</t>
  </si>
  <si>
    <t>WLK</t>
  </si>
  <si>
    <t>WLKP</t>
  </si>
  <si>
    <t>WLY</t>
  </si>
  <si>
    <t>WLYB</t>
  </si>
  <si>
    <t>WMK</t>
  </si>
  <si>
    <t>WMS</t>
  </si>
  <si>
    <t>WNC</t>
  </si>
  <si>
    <t>WNS</t>
  </si>
  <si>
    <t>WOLF</t>
  </si>
  <si>
    <t>WOR</t>
  </si>
  <si>
    <t>WOW</t>
  </si>
  <si>
    <t>WPC</t>
  </si>
  <si>
    <t>WPM</t>
  </si>
  <si>
    <t>WPP</t>
  </si>
  <si>
    <t>WRBY</t>
  </si>
  <si>
    <t>WS</t>
  </si>
  <si>
    <t>WSO</t>
  </si>
  <si>
    <t>WSR</t>
  </si>
  <si>
    <t>WT</t>
  </si>
  <si>
    <t>WTI</t>
  </si>
  <si>
    <t>WTM</t>
  </si>
  <si>
    <t>WTRG</t>
  </si>
  <si>
    <t>WTS</t>
  </si>
  <si>
    <t>WTTR</t>
  </si>
  <si>
    <t>WU</t>
  </si>
  <si>
    <t>WWW</t>
  </si>
  <si>
    <t>XFLT</t>
  </si>
  <si>
    <t>XHR</t>
  </si>
  <si>
    <t>XIFR</t>
  </si>
  <si>
    <t>XIN</t>
  </si>
  <si>
    <t>XPER</t>
  </si>
  <si>
    <t>XPEV</t>
  </si>
  <si>
    <t>XPO</t>
  </si>
  <si>
    <t>XPOF</t>
  </si>
  <si>
    <t>XPRO</t>
  </si>
  <si>
    <t>XYF</t>
  </si>
  <si>
    <t>YALA</t>
  </si>
  <si>
    <t>YELP</t>
  </si>
  <si>
    <t>YETI</t>
  </si>
  <si>
    <t>YEXT</t>
  </si>
  <si>
    <t>YMM</t>
  </si>
  <si>
    <t>YOU</t>
  </si>
  <si>
    <t>YPF</t>
  </si>
  <si>
    <t>YRD</t>
  </si>
  <si>
    <t>YSG</t>
  </si>
  <si>
    <t>YUMC</t>
  </si>
  <si>
    <t>ZEPP</t>
  </si>
  <si>
    <t>ZETA</t>
  </si>
  <si>
    <t>ZGN</t>
  </si>
  <si>
    <t>ZH</t>
  </si>
  <si>
    <t>ZIM</t>
  </si>
  <si>
    <t>ZIP</t>
  </si>
  <si>
    <t>ZK</t>
  </si>
  <si>
    <t>ZKH</t>
  </si>
  <si>
    <t>ZTO</t>
  </si>
  <si>
    <t>ZTR</t>
  </si>
  <si>
    <t>ZVIA</t>
  </si>
  <si>
    <t>ZWS</t>
  </si>
  <si>
    <t>Price_0</t>
  </si>
  <si>
    <t>Price_1m</t>
  </si>
  <si>
    <t>Price_3m</t>
  </si>
  <si>
    <t>Price_6m</t>
  </si>
  <si>
    <t>Price_12m</t>
  </si>
  <si>
    <t>SMA50</t>
  </si>
  <si>
    <t>SMA200</t>
  </si>
  <si>
    <t>Ret1m</t>
  </si>
  <si>
    <t>Ret3m</t>
  </si>
  <si>
    <t>Ret6m</t>
  </si>
  <si>
    <t>Ret12m</t>
  </si>
  <si>
    <t>Score_MOMO</t>
  </si>
  <si>
    <t>Rank</t>
  </si>
  <si>
    <t>Date In</t>
  </si>
  <si>
    <t xml:space="preserve">Ticker </t>
  </si>
  <si>
    <t xml:space="preserve">Qty </t>
  </si>
  <si>
    <t>Entry (USD)</t>
  </si>
  <si>
    <t>Stop@entry</t>
  </si>
  <si>
    <t>FX@entry</t>
  </si>
  <si>
    <t>Entry SEK</t>
  </si>
  <si>
    <t>Fee@entry SEK</t>
  </si>
  <si>
    <t>Date Out</t>
  </si>
  <si>
    <t>Exit (USD)</t>
  </si>
  <si>
    <t>FX@exit</t>
  </si>
  <si>
    <t xml:space="preserve">Exit SEK </t>
  </si>
  <si>
    <t>Fee@exit SEK</t>
  </si>
  <si>
    <t>P&amp;L SEK</t>
  </si>
  <si>
    <t>P&amp;L %</t>
  </si>
  <si>
    <t>Unnamed: 24</t>
  </si>
  <si>
    <t>OK</t>
  </si>
  <si>
    <t>24 sept</t>
  </si>
  <si>
    <t>Qty</t>
  </si>
  <si>
    <t>Date</t>
  </si>
  <si>
    <t>Entry SEK (tot)</t>
  </si>
  <si>
    <t>Price now</t>
  </si>
  <si>
    <t>FX now</t>
  </si>
  <si>
    <t>Value SEK</t>
  </si>
  <si>
    <t xml:space="preserve">StopLoss (USD) </t>
  </si>
  <si>
    <t xml:space="preserve">Score </t>
  </si>
  <si>
    <t xml:space="preserve">FundOK </t>
  </si>
  <si>
    <t xml:space="preserve">TrendOK </t>
  </si>
  <si>
    <t xml:space="preserve"> KÖP?</t>
  </si>
  <si>
    <t>MomentumOK</t>
  </si>
  <si>
    <t xml:space="preserve">Signal </t>
  </si>
  <si>
    <t>Orsak</t>
  </si>
  <si>
    <t>TrailStop (USD)</t>
  </si>
  <si>
    <t>USD_total</t>
  </si>
  <si>
    <t>Entry SEK exkl. avgift</t>
  </si>
  <si>
    <t>Avg Entry USD</t>
  </si>
  <si>
    <t>Value SEK.1</t>
  </si>
  <si>
    <t>SÄLJ</t>
  </si>
  <si>
    <t>Trend ned (pris≤SMA50 eller SMA50≤SMA200)</t>
  </si>
  <si>
    <t>HÅLL</t>
  </si>
  <si>
    <t>Trend &amp; momentum OK</t>
  </si>
  <si>
    <t>STOP</t>
  </si>
  <si>
    <t>Under stoploss</t>
  </si>
  <si>
    <t>Totalt</t>
  </si>
  <si>
    <t>Månad</t>
  </si>
  <si>
    <t>Portfölj %</t>
  </si>
  <si>
    <t>Nasdaq%</t>
  </si>
  <si>
    <t>OMXSPI%</t>
  </si>
  <si>
    <t>Edge Nasdaq %</t>
  </si>
  <si>
    <t>Edge OMXSPI %</t>
  </si>
  <si>
    <t>Sharpe</t>
  </si>
  <si>
    <t>Sortino</t>
  </si>
  <si>
    <t>Största drawdown</t>
  </si>
  <si>
    <t>Följde regler (Ja/Nej)</t>
  </si>
  <si>
    <t>Antal byten</t>
  </si>
  <si>
    <t>Känsla (1–5)</t>
  </si>
  <si>
    <t>Kommentar</t>
  </si>
  <si>
    <t>–5,46 % (HLIO)</t>
  </si>
  <si>
    <t>Ja</t>
  </si>
  <si>
    <t>Stabil månad, bättre än index</t>
  </si>
  <si>
    <t>Nasdaq %</t>
  </si>
  <si>
    <t>OMXSPI %</t>
  </si>
  <si>
    <t>Portfölj Ack</t>
  </si>
  <si>
    <t>Nasdaq Ack</t>
  </si>
  <si>
    <t>OMXSPI Ack</t>
  </si>
  <si>
    <t>Index %</t>
  </si>
  <si>
    <t>Överskott %</t>
  </si>
  <si>
    <t>Sept 2025</t>
  </si>
  <si>
    <t>Portföljvärde</t>
  </si>
  <si>
    <t>Antal positioner</t>
  </si>
  <si>
    <t>Stoploss %</t>
  </si>
  <si>
    <t>Min pris (USD)</t>
  </si>
  <si>
    <t>Min Ret12m</t>
  </si>
  <si>
    <t>Max Ret12m</t>
  </si>
  <si>
    <t>AlphaVantage API key</t>
  </si>
  <si>
    <t>YJVVUW84L3L04QWL</t>
  </si>
  <si>
    <t>Max kandidater för SMA</t>
  </si>
  <si>
    <t>Polygon API key</t>
  </si>
  <si>
    <t>XgTizua7KpKTAoLAx9mYuvbHI4uhunj1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</si>
</sst>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"/>
    <numFmt numFmtId="165" formatCode="mmm\ yyyy"/>
    <numFmt numFmtId="166" formatCode="yyyy\-mm\-dd"/>
    <numFmt numFmtId="167" formatCode="[=1]&quot;OK&quot;;[=0]&quot;&quot;;General"/>
    <numFmt numFmtId="168" formatCode="[=1]&quot;KÖP&quot;;[=0]&quot;&quot;;General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333333"/>
      <name val="Calibri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2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/>
    <xf numFmtId="10" fontId="0" fillId="0" borderId="0" xfId="0" applyNumberFormat="1"/>
    <xf numFmtId="166" fontId="0" fillId="0" borderId="0" xfId="0" applyNumberFormat="1"/>
    <xf numFmtId="4" fontId="0" fillId="0" borderId="0" xfId="0" applyNumberForma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top"/>
    </xf>
    <xf numFmtId="167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horizontal="center"/>
    </xf>
    <xf numFmtId="2" fontId="0" fillId="0" borderId="0" xfId="0" applyNumberFormat="1"/>
    <xf numFmtId="2" fontId="5" fillId="0" borderId="0" xfId="0" applyNumberFormat="1" applyFont="1" applyAlignment="1">
      <alignment horizontal="center"/>
    </xf>
    <xf numFmtId="10" fontId="0" fillId="0" borderId="0" xfId="2" applyNumberFormat="1" applyFont="1"/>
  </cellXfs>
  <cellStyles count="3">
    <cellStyle name="Normal" xfId="0" builtinId="0"/>
    <cellStyle name="Normal 2" xfId="1" xr:uid="{00000000-0005-0000-0000-000001000000}"/>
    <cellStyle name="Procent" xfId="2" builtinId="5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rgb="FF9FE37D"/>
        </patternFill>
      </fill>
    </dxf>
    <dxf>
      <fill>
        <patternFill>
          <bgColor rgb="FFFC948C"/>
        </patternFill>
      </fill>
    </dxf>
    <dxf>
      <fill>
        <patternFill>
          <bgColor rgb="FF9CE498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</dxfs>
  <tableStyles count="0" defaultTableStyle="TableStyleMedium2" defaultPivotStyle="PivotStyleLight16"/>
  <colors>
    <mruColors>
      <color rgb="FFFBBCAF"/>
      <color rgb="FFC0E399"/>
      <color rgb="FF9CE498"/>
      <color rgb="FFFC948C"/>
      <color rgb="FFFF5050"/>
      <color rgb="FF86C759"/>
      <color rgb="FF9FE37D"/>
      <color rgb="FF33CC33"/>
      <color rgb="FF98F37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97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45"/>
  <cols>
    <col min="1" max="1" width="18" customWidth="1"/>
    <col min="2" max="2" width="26" customWidth="1"/>
    <col min="3" max="6" width="18" customWidth="1"/>
    <col min="7" max="26" width="8.73046875" customWidth="1"/>
  </cols>
  <sheetData>
    <row r="1" spans="1:6" ht="14.25" x14ac:dyDescent="0.45">
      <c r="A1" s="1" t="s">
        <v>0</v>
      </c>
      <c r="B1" s="1"/>
      <c r="C1" s="1"/>
      <c r="D1" s="1"/>
      <c r="E1" s="1"/>
      <c r="F1" s="1"/>
    </row>
    <row r="2" spans="1:6" ht="14.25" x14ac:dyDescent="0.45">
      <c r="A2" s="2" t="s">
        <v>1</v>
      </c>
    </row>
    <row r="3" spans="1:6" ht="14.25" x14ac:dyDescent="0.45">
      <c r="A3" s="2" t="s">
        <v>2</v>
      </c>
    </row>
    <row r="4" spans="1:6" ht="14.25" x14ac:dyDescent="0.45">
      <c r="A4" s="2" t="s">
        <v>3</v>
      </c>
    </row>
    <row r="5" spans="1:6" ht="14.25" x14ac:dyDescent="0.45">
      <c r="A5" s="2" t="s">
        <v>4</v>
      </c>
    </row>
    <row r="6" spans="1:6" ht="14.25" x14ac:dyDescent="0.45">
      <c r="A6" s="2" t="s">
        <v>5</v>
      </c>
    </row>
    <row r="7" spans="1:6" ht="14.25" x14ac:dyDescent="0.45">
      <c r="A7" s="2" t="s">
        <v>6</v>
      </c>
    </row>
    <row r="8" spans="1:6" ht="14.25" x14ac:dyDescent="0.45">
      <c r="A8" s="2" t="s">
        <v>7</v>
      </c>
    </row>
    <row r="9" spans="1:6" ht="14.25" x14ac:dyDescent="0.45">
      <c r="A9" s="2" t="s">
        <v>8</v>
      </c>
    </row>
    <row r="10" spans="1:6" ht="14.25" x14ac:dyDescent="0.45">
      <c r="A10" s="2" t="s">
        <v>9</v>
      </c>
    </row>
    <row r="11" spans="1:6" ht="14.25" x14ac:dyDescent="0.45">
      <c r="A11" s="2" t="s">
        <v>10</v>
      </c>
    </row>
    <row r="12" spans="1:6" ht="14.25" x14ac:dyDescent="0.45">
      <c r="A12" s="2" t="s">
        <v>11</v>
      </c>
    </row>
    <row r="13" spans="1:6" ht="14.25" x14ac:dyDescent="0.45">
      <c r="A13" s="2" t="s">
        <v>12</v>
      </c>
    </row>
    <row r="14" spans="1:6" ht="14.25" x14ac:dyDescent="0.45">
      <c r="A14" s="2" t="s">
        <v>13</v>
      </c>
    </row>
    <row r="15" spans="1:6" ht="14.25" x14ac:dyDescent="0.45">
      <c r="A15" s="2" t="s">
        <v>14</v>
      </c>
    </row>
    <row r="16" spans="1:6" ht="14.25" x14ac:dyDescent="0.45">
      <c r="A16" s="2" t="s">
        <v>15</v>
      </c>
    </row>
    <row r="17" spans="1:1" ht="14.25" x14ac:dyDescent="0.45">
      <c r="A17" s="2" t="s">
        <v>16</v>
      </c>
    </row>
    <row r="18" spans="1:1" ht="14.25" x14ac:dyDescent="0.45">
      <c r="A18" s="2" t="s">
        <v>17</v>
      </c>
    </row>
    <row r="19" spans="1:1" ht="14.25" x14ac:dyDescent="0.45">
      <c r="A19" s="2" t="s">
        <v>18</v>
      </c>
    </row>
    <row r="20" spans="1:1" ht="15.75" customHeight="1" x14ac:dyDescent="0.45">
      <c r="A20" s="2" t="s">
        <v>19</v>
      </c>
    </row>
    <row r="21" spans="1:1" ht="15.75" customHeight="1" x14ac:dyDescent="0.45">
      <c r="A21" s="2" t="s">
        <v>20</v>
      </c>
    </row>
    <row r="22" spans="1:1" ht="15.75" customHeight="1" x14ac:dyDescent="0.45">
      <c r="A22" s="2" t="s">
        <v>21</v>
      </c>
    </row>
    <row r="23" spans="1:1" ht="15.75" customHeight="1" x14ac:dyDescent="0.45">
      <c r="A23" s="2" t="s">
        <v>22</v>
      </c>
    </row>
    <row r="24" spans="1:1" ht="15.75" customHeight="1" x14ac:dyDescent="0.45">
      <c r="A24" s="2" t="s">
        <v>23</v>
      </c>
    </row>
    <row r="25" spans="1:1" ht="15.75" customHeight="1" x14ac:dyDescent="0.45">
      <c r="A25" s="2" t="s">
        <v>24</v>
      </c>
    </row>
    <row r="26" spans="1:1" ht="15.75" customHeight="1" x14ac:dyDescent="0.45">
      <c r="A26" s="2" t="s">
        <v>25</v>
      </c>
    </row>
    <row r="27" spans="1:1" ht="15.75" customHeight="1" x14ac:dyDescent="0.45">
      <c r="A27" s="2" t="s">
        <v>26</v>
      </c>
    </row>
    <row r="28" spans="1:1" ht="15.75" customHeight="1" x14ac:dyDescent="0.45">
      <c r="A28" s="2" t="s">
        <v>27</v>
      </c>
    </row>
    <row r="29" spans="1:1" ht="15.75" customHeight="1" x14ac:dyDescent="0.45">
      <c r="A29" s="2" t="s">
        <v>28</v>
      </c>
    </row>
    <row r="30" spans="1:1" ht="15.75" customHeight="1" x14ac:dyDescent="0.45">
      <c r="A30" s="2" t="s">
        <v>29</v>
      </c>
    </row>
    <row r="31" spans="1:1" ht="15.75" customHeight="1" x14ac:dyDescent="0.45">
      <c r="A31" s="2" t="s">
        <v>30</v>
      </c>
    </row>
    <row r="32" spans="1:1" ht="15.75" customHeight="1" x14ac:dyDescent="0.45">
      <c r="A32" s="2" t="s">
        <v>31</v>
      </c>
    </row>
    <row r="33" spans="1:1" ht="15.75" customHeight="1" x14ac:dyDescent="0.45">
      <c r="A33" s="2" t="s">
        <v>32</v>
      </c>
    </row>
    <row r="34" spans="1:1" ht="15.75" customHeight="1" x14ac:dyDescent="0.45">
      <c r="A34" s="2" t="s">
        <v>33</v>
      </c>
    </row>
    <row r="35" spans="1:1" ht="15.75" customHeight="1" x14ac:dyDescent="0.45">
      <c r="A35" s="2" t="s">
        <v>34</v>
      </c>
    </row>
    <row r="36" spans="1:1" ht="15.75" customHeight="1" x14ac:dyDescent="0.45">
      <c r="A36" s="2" t="s">
        <v>35</v>
      </c>
    </row>
    <row r="37" spans="1:1" ht="15.75" customHeight="1" x14ac:dyDescent="0.45">
      <c r="A37" s="2" t="s">
        <v>36</v>
      </c>
    </row>
    <row r="38" spans="1:1" ht="15.75" customHeight="1" x14ac:dyDescent="0.45">
      <c r="A38" s="2" t="s">
        <v>37</v>
      </c>
    </row>
    <row r="39" spans="1:1" ht="15.75" customHeight="1" x14ac:dyDescent="0.45">
      <c r="A39" s="2" t="s">
        <v>38</v>
      </c>
    </row>
    <row r="40" spans="1:1" ht="15.75" customHeight="1" x14ac:dyDescent="0.45">
      <c r="A40" s="2" t="s">
        <v>39</v>
      </c>
    </row>
    <row r="41" spans="1:1" ht="15.75" customHeight="1" x14ac:dyDescent="0.45">
      <c r="A41" s="2" t="s">
        <v>40</v>
      </c>
    </row>
    <row r="42" spans="1:1" ht="15.75" customHeight="1" x14ac:dyDescent="0.45">
      <c r="A42" s="2" t="s">
        <v>41</v>
      </c>
    </row>
    <row r="43" spans="1:1" ht="15.75" customHeight="1" x14ac:dyDescent="0.45">
      <c r="A43" s="2" t="s">
        <v>42</v>
      </c>
    </row>
    <row r="44" spans="1:1" ht="15.75" customHeight="1" x14ac:dyDescent="0.45">
      <c r="A44" s="2" t="s">
        <v>43</v>
      </c>
    </row>
    <row r="45" spans="1:1" ht="15.75" customHeight="1" x14ac:dyDescent="0.45">
      <c r="A45" s="2" t="s">
        <v>44</v>
      </c>
    </row>
    <row r="46" spans="1:1" ht="15.75" customHeight="1" x14ac:dyDescent="0.45">
      <c r="A46" s="2" t="s">
        <v>45</v>
      </c>
    </row>
    <row r="47" spans="1:1" ht="15.75" customHeight="1" x14ac:dyDescent="0.45">
      <c r="A47" s="2" t="s">
        <v>46</v>
      </c>
    </row>
    <row r="48" spans="1:1" ht="15.75" customHeight="1" x14ac:dyDescent="0.45">
      <c r="A48" s="2" t="s">
        <v>47</v>
      </c>
    </row>
    <row r="49" spans="1:1" ht="15.75" customHeight="1" x14ac:dyDescent="0.45">
      <c r="A49" s="2" t="s">
        <v>48</v>
      </c>
    </row>
    <row r="50" spans="1:1" ht="15.75" customHeight="1" x14ac:dyDescent="0.45">
      <c r="A50" s="2" t="s">
        <v>49</v>
      </c>
    </row>
    <row r="51" spans="1:1" ht="15.75" customHeight="1" x14ac:dyDescent="0.45">
      <c r="A51" s="2" t="s">
        <v>50</v>
      </c>
    </row>
    <row r="52" spans="1:1" ht="15.75" customHeight="1" x14ac:dyDescent="0.45">
      <c r="A52" s="2" t="s">
        <v>51</v>
      </c>
    </row>
    <row r="53" spans="1:1" ht="15.75" customHeight="1" x14ac:dyDescent="0.45">
      <c r="A53" s="2" t="s">
        <v>52</v>
      </c>
    </row>
    <row r="54" spans="1:1" ht="15.75" customHeight="1" x14ac:dyDescent="0.45">
      <c r="A54" s="2" t="s">
        <v>53</v>
      </c>
    </row>
    <row r="55" spans="1:1" ht="15.75" customHeight="1" x14ac:dyDescent="0.45">
      <c r="A55" s="2" t="s">
        <v>54</v>
      </c>
    </row>
    <row r="56" spans="1:1" ht="15.75" customHeight="1" x14ac:dyDescent="0.45">
      <c r="A56" s="2" t="s">
        <v>55</v>
      </c>
    </row>
    <row r="57" spans="1:1" ht="15.75" customHeight="1" x14ac:dyDescent="0.45">
      <c r="A57" s="2" t="s">
        <v>56</v>
      </c>
    </row>
    <row r="58" spans="1:1" ht="15.75" customHeight="1" x14ac:dyDescent="0.45">
      <c r="A58" s="2" t="s">
        <v>57</v>
      </c>
    </row>
    <row r="59" spans="1:1" ht="15.75" customHeight="1" x14ac:dyDescent="0.45">
      <c r="A59" s="2" t="s">
        <v>58</v>
      </c>
    </row>
    <row r="60" spans="1:1" ht="15.75" customHeight="1" x14ac:dyDescent="0.45">
      <c r="A60" s="2" t="s">
        <v>59</v>
      </c>
    </row>
    <row r="61" spans="1:1" ht="15.75" customHeight="1" x14ac:dyDescent="0.45">
      <c r="A61" s="2" t="s">
        <v>60</v>
      </c>
    </row>
    <row r="62" spans="1:1" ht="15.75" customHeight="1" x14ac:dyDescent="0.45">
      <c r="A62" s="2" t="s">
        <v>61</v>
      </c>
    </row>
    <row r="63" spans="1:1" ht="15.75" customHeight="1" x14ac:dyDescent="0.45">
      <c r="A63" s="2" t="s">
        <v>62</v>
      </c>
    </row>
    <row r="64" spans="1:1" ht="15.75" customHeight="1" x14ac:dyDescent="0.45">
      <c r="A64" s="2" t="s">
        <v>63</v>
      </c>
    </row>
    <row r="65" spans="1:1" ht="15.75" customHeight="1" x14ac:dyDescent="0.45">
      <c r="A65" s="2" t="s">
        <v>64</v>
      </c>
    </row>
    <row r="66" spans="1:1" ht="15.75" customHeight="1" x14ac:dyDescent="0.45">
      <c r="A66" s="2" t="s">
        <v>65</v>
      </c>
    </row>
    <row r="67" spans="1:1" ht="15.75" customHeight="1" x14ac:dyDescent="0.45">
      <c r="A67" s="2" t="s">
        <v>66</v>
      </c>
    </row>
    <row r="68" spans="1:1" ht="15.75" customHeight="1" x14ac:dyDescent="0.45">
      <c r="A68" s="2" t="s">
        <v>67</v>
      </c>
    </row>
    <row r="69" spans="1:1" ht="15.75" customHeight="1" x14ac:dyDescent="0.45">
      <c r="A69" s="2" t="s">
        <v>68</v>
      </c>
    </row>
    <row r="70" spans="1:1" ht="15.75" customHeight="1" x14ac:dyDescent="0.45">
      <c r="A70" s="2" t="s">
        <v>69</v>
      </c>
    </row>
    <row r="71" spans="1:1" ht="15.75" customHeight="1" x14ac:dyDescent="0.45">
      <c r="A71" s="2" t="s">
        <v>70</v>
      </c>
    </row>
    <row r="72" spans="1:1" ht="15.75" customHeight="1" x14ac:dyDescent="0.45">
      <c r="A72" s="2" t="s">
        <v>71</v>
      </c>
    </row>
    <row r="73" spans="1:1" ht="15.75" customHeight="1" x14ac:dyDescent="0.45">
      <c r="A73" s="2" t="s">
        <v>72</v>
      </c>
    </row>
    <row r="74" spans="1:1" ht="15.75" customHeight="1" x14ac:dyDescent="0.45">
      <c r="A74" s="2" t="s">
        <v>73</v>
      </c>
    </row>
    <row r="75" spans="1:1" ht="15.75" customHeight="1" x14ac:dyDescent="0.45">
      <c r="A75" s="2" t="s">
        <v>74</v>
      </c>
    </row>
    <row r="76" spans="1:1" ht="15.75" customHeight="1" x14ac:dyDescent="0.45">
      <c r="A76" s="2" t="s">
        <v>75</v>
      </c>
    </row>
    <row r="77" spans="1:1" ht="15.75" customHeight="1" x14ac:dyDescent="0.45">
      <c r="A77" s="2" t="s">
        <v>76</v>
      </c>
    </row>
    <row r="78" spans="1:1" ht="15.75" customHeight="1" x14ac:dyDescent="0.45">
      <c r="A78" s="2" t="s">
        <v>77</v>
      </c>
    </row>
    <row r="79" spans="1:1" ht="15.75" customHeight="1" x14ac:dyDescent="0.45">
      <c r="A79" s="2" t="s">
        <v>78</v>
      </c>
    </row>
    <row r="80" spans="1:1" ht="15.75" customHeight="1" x14ac:dyDescent="0.45">
      <c r="A80" s="2" t="s">
        <v>79</v>
      </c>
    </row>
    <row r="81" spans="1:1" ht="15.75" customHeight="1" x14ac:dyDescent="0.45">
      <c r="A81" s="2" t="s">
        <v>80</v>
      </c>
    </row>
    <row r="82" spans="1:1" ht="15.75" customHeight="1" x14ac:dyDescent="0.45">
      <c r="A82" s="2" t="s">
        <v>81</v>
      </c>
    </row>
    <row r="83" spans="1:1" ht="15.75" customHeight="1" x14ac:dyDescent="0.45">
      <c r="A83" s="2" t="s">
        <v>82</v>
      </c>
    </row>
    <row r="84" spans="1:1" ht="15.75" customHeight="1" x14ac:dyDescent="0.45">
      <c r="A84" s="2" t="s">
        <v>83</v>
      </c>
    </row>
    <row r="85" spans="1:1" ht="15.75" customHeight="1" x14ac:dyDescent="0.45">
      <c r="A85" s="2" t="s">
        <v>84</v>
      </c>
    </row>
    <row r="86" spans="1:1" ht="15.75" customHeight="1" x14ac:dyDescent="0.45">
      <c r="A86" s="2" t="s">
        <v>85</v>
      </c>
    </row>
    <row r="87" spans="1:1" ht="15.75" customHeight="1" x14ac:dyDescent="0.45">
      <c r="A87" s="2" t="s">
        <v>86</v>
      </c>
    </row>
    <row r="88" spans="1:1" ht="15.75" customHeight="1" x14ac:dyDescent="0.45">
      <c r="A88" s="2" t="s">
        <v>87</v>
      </c>
    </row>
    <row r="89" spans="1:1" ht="15.75" customHeight="1" x14ac:dyDescent="0.45">
      <c r="A89" s="2" t="s">
        <v>88</v>
      </c>
    </row>
    <row r="90" spans="1:1" ht="15.75" customHeight="1" x14ac:dyDescent="0.45">
      <c r="A90" s="2" t="s">
        <v>89</v>
      </c>
    </row>
    <row r="91" spans="1:1" ht="15.75" customHeight="1" x14ac:dyDescent="0.45">
      <c r="A91" s="2" t="s">
        <v>90</v>
      </c>
    </row>
    <row r="92" spans="1:1" ht="15.75" customHeight="1" x14ac:dyDescent="0.45">
      <c r="A92" s="2" t="s">
        <v>91</v>
      </c>
    </row>
    <row r="93" spans="1:1" ht="15.75" customHeight="1" x14ac:dyDescent="0.45">
      <c r="A93" s="2" t="s">
        <v>92</v>
      </c>
    </row>
    <row r="94" spans="1:1" ht="15.75" customHeight="1" x14ac:dyDescent="0.45">
      <c r="A94" s="2" t="s">
        <v>93</v>
      </c>
    </row>
    <row r="95" spans="1:1" ht="15.75" customHeight="1" x14ac:dyDescent="0.45">
      <c r="A95" s="2" t="s">
        <v>94</v>
      </c>
    </row>
    <row r="96" spans="1:1" ht="15.75" customHeight="1" x14ac:dyDescent="0.45">
      <c r="A96" s="2" t="s">
        <v>95</v>
      </c>
    </row>
    <row r="97" spans="1:1" ht="15.75" customHeight="1" x14ac:dyDescent="0.45">
      <c r="A97" s="2" t="s">
        <v>96</v>
      </c>
    </row>
    <row r="98" spans="1:1" ht="15.75" customHeight="1" x14ac:dyDescent="0.45">
      <c r="A98" s="2" t="s">
        <v>97</v>
      </c>
    </row>
    <row r="99" spans="1:1" ht="15.75" customHeight="1" x14ac:dyDescent="0.45">
      <c r="A99" s="2" t="s">
        <v>98</v>
      </c>
    </row>
    <row r="100" spans="1:1" ht="15.75" customHeight="1" x14ac:dyDescent="0.45">
      <c r="A100" s="2" t="s">
        <v>99</v>
      </c>
    </row>
    <row r="101" spans="1:1" ht="15.75" customHeight="1" x14ac:dyDescent="0.45">
      <c r="A101" s="2" t="s">
        <v>100</v>
      </c>
    </row>
    <row r="102" spans="1:1" ht="15.75" customHeight="1" x14ac:dyDescent="0.45">
      <c r="A102" s="2" t="s">
        <v>101</v>
      </c>
    </row>
    <row r="103" spans="1:1" ht="15.75" customHeight="1" x14ac:dyDescent="0.45">
      <c r="A103" s="2" t="s">
        <v>102</v>
      </c>
    </row>
    <row r="104" spans="1:1" ht="15.75" customHeight="1" x14ac:dyDescent="0.45">
      <c r="A104" s="2" t="s">
        <v>103</v>
      </c>
    </row>
    <row r="105" spans="1:1" ht="15.75" customHeight="1" x14ac:dyDescent="0.45">
      <c r="A105" s="2" t="s">
        <v>104</v>
      </c>
    </row>
    <row r="106" spans="1:1" ht="15.75" customHeight="1" x14ac:dyDescent="0.45">
      <c r="A106" s="2" t="s">
        <v>105</v>
      </c>
    </row>
    <row r="107" spans="1:1" ht="15.75" customHeight="1" x14ac:dyDescent="0.45">
      <c r="A107" s="2" t="s">
        <v>106</v>
      </c>
    </row>
    <row r="108" spans="1:1" ht="15.75" customHeight="1" x14ac:dyDescent="0.45">
      <c r="A108" s="2" t="s">
        <v>107</v>
      </c>
    </row>
    <row r="109" spans="1:1" ht="15.75" customHeight="1" x14ac:dyDescent="0.45">
      <c r="A109" s="2" t="s">
        <v>108</v>
      </c>
    </row>
    <row r="110" spans="1:1" ht="15.75" customHeight="1" x14ac:dyDescent="0.45">
      <c r="A110" s="2" t="s">
        <v>109</v>
      </c>
    </row>
    <row r="111" spans="1:1" ht="15.75" customHeight="1" x14ac:dyDescent="0.45">
      <c r="A111" s="2" t="s">
        <v>110</v>
      </c>
    </row>
    <row r="112" spans="1:1" ht="15.75" customHeight="1" x14ac:dyDescent="0.45">
      <c r="A112" s="2" t="s">
        <v>111</v>
      </c>
    </row>
    <row r="113" spans="1:1" ht="15.75" customHeight="1" x14ac:dyDescent="0.45">
      <c r="A113" s="2" t="s">
        <v>112</v>
      </c>
    </row>
    <row r="114" spans="1:1" ht="15.75" customHeight="1" x14ac:dyDescent="0.45">
      <c r="A114" s="2" t="s">
        <v>113</v>
      </c>
    </row>
    <row r="115" spans="1:1" ht="15.75" customHeight="1" x14ac:dyDescent="0.45">
      <c r="A115" s="2" t="s">
        <v>114</v>
      </c>
    </row>
    <row r="116" spans="1:1" ht="15.75" customHeight="1" x14ac:dyDescent="0.45">
      <c r="A116" s="2" t="s">
        <v>115</v>
      </c>
    </row>
    <row r="117" spans="1:1" ht="15.75" customHeight="1" x14ac:dyDescent="0.45">
      <c r="A117" s="2" t="s">
        <v>116</v>
      </c>
    </row>
    <row r="118" spans="1:1" ht="15.75" customHeight="1" x14ac:dyDescent="0.45">
      <c r="A118" s="2" t="s">
        <v>117</v>
      </c>
    </row>
    <row r="119" spans="1:1" ht="15.75" customHeight="1" x14ac:dyDescent="0.45">
      <c r="A119" s="2" t="s">
        <v>118</v>
      </c>
    </row>
    <row r="120" spans="1:1" ht="15.75" customHeight="1" x14ac:dyDescent="0.45">
      <c r="A120" s="2" t="s">
        <v>119</v>
      </c>
    </row>
    <row r="121" spans="1:1" ht="15.75" customHeight="1" x14ac:dyDescent="0.45">
      <c r="A121" s="2" t="s">
        <v>120</v>
      </c>
    </row>
    <row r="122" spans="1:1" ht="15.75" customHeight="1" x14ac:dyDescent="0.45">
      <c r="A122" s="2" t="s">
        <v>121</v>
      </c>
    </row>
    <row r="123" spans="1:1" ht="15.75" customHeight="1" x14ac:dyDescent="0.45">
      <c r="A123" s="2" t="s">
        <v>122</v>
      </c>
    </row>
    <row r="124" spans="1:1" ht="15.75" customHeight="1" x14ac:dyDescent="0.45">
      <c r="A124" s="2" t="s">
        <v>123</v>
      </c>
    </row>
    <row r="125" spans="1:1" ht="15.75" customHeight="1" x14ac:dyDescent="0.45">
      <c r="A125" s="2" t="s">
        <v>124</v>
      </c>
    </row>
    <row r="126" spans="1:1" ht="15.75" customHeight="1" x14ac:dyDescent="0.45">
      <c r="A126" s="2" t="s">
        <v>125</v>
      </c>
    </row>
    <row r="127" spans="1:1" ht="15.75" customHeight="1" x14ac:dyDescent="0.45">
      <c r="A127" s="2" t="s">
        <v>126</v>
      </c>
    </row>
    <row r="128" spans="1:1" ht="15.75" customHeight="1" x14ac:dyDescent="0.45">
      <c r="A128" s="2" t="s">
        <v>127</v>
      </c>
    </row>
    <row r="129" spans="1:1" ht="15.75" customHeight="1" x14ac:dyDescent="0.45">
      <c r="A129" s="2" t="s">
        <v>128</v>
      </c>
    </row>
    <row r="130" spans="1:1" ht="15.75" customHeight="1" x14ac:dyDescent="0.45">
      <c r="A130" s="2" t="s">
        <v>129</v>
      </c>
    </row>
    <row r="131" spans="1:1" ht="15.75" customHeight="1" x14ac:dyDescent="0.45">
      <c r="A131" s="2" t="s">
        <v>130</v>
      </c>
    </row>
    <row r="132" spans="1:1" ht="15.75" customHeight="1" x14ac:dyDescent="0.45">
      <c r="A132" s="2" t="s">
        <v>131</v>
      </c>
    </row>
    <row r="133" spans="1:1" ht="15.75" customHeight="1" x14ac:dyDescent="0.45">
      <c r="A133" s="2" t="s">
        <v>132</v>
      </c>
    </row>
    <row r="134" spans="1:1" ht="15.75" customHeight="1" x14ac:dyDescent="0.45">
      <c r="A134" s="2" t="s">
        <v>133</v>
      </c>
    </row>
    <row r="135" spans="1:1" ht="15.75" customHeight="1" x14ac:dyDescent="0.45">
      <c r="A135" s="2" t="s">
        <v>134</v>
      </c>
    </row>
    <row r="136" spans="1:1" ht="15.75" customHeight="1" x14ac:dyDescent="0.45">
      <c r="A136" s="2" t="s">
        <v>135</v>
      </c>
    </row>
    <row r="137" spans="1:1" ht="15.75" customHeight="1" x14ac:dyDescent="0.45">
      <c r="A137" s="2" t="s">
        <v>136</v>
      </c>
    </row>
    <row r="138" spans="1:1" ht="15.75" customHeight="1" x14ac:dyDescent="0.45">
      <c r="A138" s="2" t="s">
        <v>137</v>
      </c>
    </row>
    <row r="139" spans="1:1" ht="15.75" customHeight="1" x14ac:dyDescent="0.45">
      <c r="A139" s="2" t="s">
        <v>138</v>
      </c>
    </row>
    <row r="140" spans="1:1" ht="15.75" customHeight="1" x14ac:dyDescent="0.45">
      <c r="A140" s="2" t="s">
        <v>139</v>
      </c>
    </row>
    <row r="141" spans="1:1" ht="15.75" customHeight="1" x14ac:dyDescent="0.45">
      <c r="A141" s="2" t="s">
        <v>140</v>
      </c>
    </row>
    <row r="142" spans="1:1" ht="15.75" customHeight="1" x14ac:dyDescent="0.45">
      <c r="A142" s="2" t="s">
        <v>141</v>
      </c>
    </row>
    <row r="143" spans="1:1" ht="15.75" customHeight="1" x14ac:dyDescent="0.45">
      <c r="A143" s="2" t="s">
        <v>142</v>
      </c>
    </row>
    <row r="144" spans="1:1" ht="15.75" customHeight="1" x14ac:dyDescent="0.45">
      <c r="A144" s="2" t="s">
        <v>143</v>
      </c>
    </row>
    <row r="145" spans="1:1" ht="15.75" customHeight="1" x14ac:dyDescent="0.45">
      <c r="A145" s="2" t="s">
        <v>144</v>
      </c>
    </row>
    <row r="146" spans="1:1" ht="15.75" customHeight="1" x14ac:dyDescent="0.45">
      <c r="A146" s="2" t="s">
        <v>145</v>
      </c>
    </row>
    <row r="147" spans="1:1" ht="15.75" customHeight="1" x14ac:dyDescent="0.45">
      <c r="A147" s="2" t="s">
        <v>146</v>
      </c>
    </row>
    <row r="148" spans="1:1" ht="15.75" customHeight="1" x14ac:dyDescent="0.45">
      <c r="A148" s="2" t="s">
        <v>147</v>
      </c>
    </row>
    <row r="149" spans="1:1" ht="15.75" customHeight="1" x14ac:dyDescent="0.45">
      <c r="A149" s="2" t="s">
        <v>148</v>
      </c>
    </row>
    <row r="150" spans="1:1" ht="15.75" customHeight="1" x14ac:dyDescent="0.45">
      <c r="A150" s="2" t="s">
        <v>149</v>
      </c>
    </row>
    <row r="151" spans="1:1" ht="15.75" customHeight="1" x14ac:dyDescent="0.45">
      <c r="A151" s="2" t="s">
        <v>150</v>
      </c>
    </row>
    <row r="152" spans="1:1" ht="15.75" customHeight="1" x14ac:dyDescent="0.45">
      <c r="A152" s="2" t="s">
        <v>151</v>
      </c>
    </row>
    <row r="153" spans="1:1" ht="15.75" customHeight="1" x14ac:dyDescent="0.45">
      <c r="A153" s="2" t="s">
        <v>152</v>
      </c>
    </row>
    <row r="154" spans="1:1" ht="15.75" customHeight="1" x14ac:dyDescent="0.45">
      <c r="A154" s="2" t="s">
        <v>153</v>
      </c>
    </row>
    <row r="155" spans="1:1" ht="15.75" customHeight="1" x14ac:dyDescent="0.45">
      <c r="A155" s="2" t="s">
        <v>154</v>
      </c>
    </row>
    <row r="156" spans="1:1" ht="15.75" customHeight="1" x14ac:dyDescent="0.45">
      <c r="A156" s="2" t="s">
        <v>155</v>
      </c>
    </row>
    <row r="157" spans="1:1" ht="15.75" customHeight="1" x14ac:dyDescent="0.45">
      <c r="A157" s="2" t="s">
        <v>156</v>
      </c>
    </row>
    <row r="158" spans="1:1" ht="15.75" customHeight="1" x14ac:dyDescent="0.45">
      <c r="A158" s="2" t="s">
        <v>157</v>
      </c>
    </row>
    <row r="159" spans="1:1" ht="15.75" customHeight="1" x14ac:dyDescent="0.45">
      <c r="A159" s="2" t="s">
        <v>158</v>
      </c>
    </row>
    <row r="160" spans="1:1" ht="15.75" customHeight="1" x14ac:dyDescent="0.45">
      <c r="A160" s="2" t="s">
        <v>159</v>
      </c>
    </row>
    <row r="161" spans="1:1" ht="15.75" customHeight="1" x14ac:dyDescent="0.45">
      <c r="A161" s="2" t="s">
        <v>160</v>
      </c>
    </row>
    <row r="162" spans="1:1" ht="15.75" customHeight="1" x14ac:dyDescent="0.45">
      <c r="A162" s="2" t="s">
        <v>161</v>
      </c>
    </row>
    <row r="163" spans="1:1" ht="15.75" customHeight="1" x14ac:dyDescent="0.45">
      <c r="A163" s="2" t="s">
        <v>162</v>
      </c>
    </row>
    <row r="164" spans="1:1" ht="15.75" customHeight="1" x14ac:dyDescent="0.45">
      <c r="A164" s="2" t="s">
        <v>163</v>
      </c>
    </row>
    <row r="165" spans="1:1" ht="15.75" customHeight="1" x14ac:dyDescent="0.45">
      <c r="A165" s="2" t="s">
        <v>164</v>
      </c>
    </row>
    <row r="166" spans="1:1" ht="15.75" customHeight="1" x14ac:dyDescent="0.45">
      <c r="A166" s="2" t="s">
        <v>165</v>
      </c>
    </row>
    <row r="167" spans="1:1" ht="15.75" customHeight="1" x14ac:dyDescent="0.45">
      <c r="A167" s="2" t="s">
        <v>166</v>
      </c>
    </row>
    <row r="168" spans="1:1" ht="15.75" customHeight="1" x14ac:dyDescent="0.45">
      <c r="A168" s="2" t="s">
        <v>167</v>
      </c>
    </row>
    <row r="169" spans="1:1" ht="15.75" customHeight="1" x14ac:dyDescent="0.45">
      <c r="A169" s="2" t="s">
        <v>168</v>
      </c>
    </row>
    <row r="170" spans="1:1" ht="15.75" customHeight="1" x14ac:dyDescent="0.45">
      <c r="A170" s="2" t="s">
        <v>169</v>
      </c>
    </row>
    <row r="171" spans="1:1" ht="15.75" customHeight="1" x14ac:dyDescent="0.45">
      <c r="A171" s="2" t="s">
        <v>170</v>
      </c>
    </row>
    <row r="172" spans="1:1" ht="15.75" customHeight="1" x14ac:dyDescent="0.45">
      <c r="A172" s="2" t="s">
        <v>171</v>
      </c>
    </row>
    <row r="173" spans="1:1" ht="15.75" customHeight="1" x14ac:dyDescent="0.45">
      <c r="A173" s="2" t="s">
        <v>172</v>
      </c>
    </row>
    <row r="174" spans="1:1" ht="15.75" customHeight="1" x14ac:dyDescent="0.45">
      <c r="A174" s="2" t="s">
        <v>173</v>
      </c>
    </row>
    <row r="175" spans="1:1" ht="15.75" customHeight="1" x14ac:dyDescent="0.45">
      <c r="A175" s="2" t="s">
        <v>174</v>
      </c>
    </row>
    <row r="176" spans="1:1" ht="15.75" customHeight="1" x14ac:dyDescent="0.45">
      <c r="A176" s="2" t="s">
        <v>175</v>
      </c>
    </row>
    <row r="177" spans="1:1" ht="15.75" customHeight="1" x14ac:dyDescent="0.45">
      <c r="A177" s="2" t="s">
        <v>176</v>
      </c>
    </row>
    <row r="178" spans="1:1" ht="15.75" customHeight="1" x14ac:dyDescent="0.45">
      <c r="A178" s="2" t="s">
        <v>177</v>
      </c>
    </row>
    <row r="179" spans="1:1" ht="15.75" customHeight="1" x14ac:dyDescent="0.45">
      <c r="A179" s="2" t="s">
        <v>178</v>
      </c>
    </row>
    <row r="180" spans="1:1" ht="15.75" customHeight="1" x14ac:dyDescent="0.45">
      <c r="A180" s="2" t="s">
        <v>179</v>
      </c>
    </row>
    <row r="181" spans="1:1" ht="15.75" customHeight="1" x14ac:dyDescent="0.45">
      <c r="A181" s="2" t="s">
        <v>180</v>
      </c>
    </row>
    <row r="182" spans="1:1" ht="15.75" customHeight="1" x14ac:dyDescent="0.45">
      <c r="A182" s="2" t="s">
        <v>181</v>
      </c>
    </row>
    <row r="183" spans="1:1" ht="15.75" customHeight="1" x14ac:dyDescent="0.45">
      <c r="A183" s="2" t="s">
        <v>182</v>
      </c>
    </row>
    <row r="184" spans="1:1" ht="15.75" customHeight="1" x14ac:dyDescent="0.45">
      <c r="A184" s="2" t="s">
        <v>183</v>
      </c>
    </row>
    <row r="185" spans="1:1" ht="15.75" customHeight="1" x14ac:dyDescent="0.45">
      <c r="A185" s="2" t="s">
        <v>184</v>
      </c>
    </row>
    <row r="186" spans="1:1" ht="15.75" customHeight="1" x14ac:dyDescent="0.45">
      <c r="A186" s="2" t="s">
        <v>185</v>
      </c>
    </row>
    <row r="187" spans="1:1" ht="15.75" customHeight="1" x14ac:dyDescent="0.45">
      <c r="A187" s="2" t="s">
        <v>186</v>
      </c>
    </row>
    <row r="188" spans="1:1" ht="15.75" customHeight="1" x14ac:dyDescent="0.45">
      <c r="A188" s="2" t="s">
        <v>187</v>
      </c>
    </row>
    <row r="189" spans="1:1" ht="15.75" customHeight="1" x14ac:dyDescent="0.45">
      <c r="A189" s="2" t="s">
        <v>188</v>
      </c>
    </row>
    <row r="190" spans="1:1" ht="15.75" customHeight="1" x14ac:dyDescent="0.45">
      <c r="A190" s="2" t="s">
        <v>189</v>
      </c>
    </row>
    <row r="191" spans="1:1" ht="15.75" customHeight="1" x14ac:dyDescent="0.45">
      <c r="A191" s="2" t="s">
        <v>190</v>
      </c>
    </row>
    <row r="192" spans="1:1" ht="15.75" customHeight="1" x14ac:dyDescent="0.45">
      <c r="A192" s="2" t="s">
        <v>191</v>
      </c>
    </row>
    <row r="193" spans="1:1" ht="15.75" customHeight="1" x14ac:dyDescent="0.45">
      <c r="A193" s="2" t="s">
        <v>192</v>
      </c>
    </row>
    <row r="194" spans="1:1" ht="15.75" customHeight="1" x14ac:dyDescent="0.45">
      <c r="A194" s="2" t="s">
        <v>193</v>
      </c>
    </row>
    <row r="195" spans="1:1" ht="15.75" customHeight="1" x14ac:dyDescent="0.45">
      <c r="A195" s="2" t="s">
        <v>194</v>
      </c>
    </row>
    <row r="196" spans="1:1" ht="15.75" customHeight="1" x14ac:dyDescent="0.45">
      <c r="A196" s="2" t="s">
        <v>195</v>
      </c>
    </row>
    <row r="197" spans="1:1" ht="15.75" customHeight="1" x14ac:dyDescent="0.45">
      <c r="A197" s="2" t="s">
        <v>196</v>
      </c>
    </row>
    <row r="198" spans="1:1" ht="15.75" customHeight="1" x14ac:dyDescent="0.45">
      <c r="A198" s="2" t="s">
        <v>197</v>
      </c>
    </row>
    <row r="199" spans="1:1" ht="15.75" customHeight="1" x14ac:dyDescent="0.45">
      <c r="A199" s="2" t="s">
        <v>198</v>
      </c>
    </row>
    <row r="200" spans="1:1" ht="15.75" customHeight="1" x14ac:dyDescent="0.45">
      <c r="A200" s="2" t="s">
        <v>199</v>
      </c>
    </row>
    <row r="201" spans="1:1" ht="15.75" customHeight="1" x14ac:dyDescent="0.45">
      <c r="A201" s="2" t="s">
        <v>200</v>
      </c>
    </row>
    <row r="202" spans="1:1" ht="15.75" customHeight="1" x14ac:dyDescent="0.45">
      <c r="A202" s="2" t="s">
        <v>201</v>
      </c>
    </row>
    <row r="203" spans="1:1" ht="15.75" customHeight="1" x14ac:dyDescent="0.45">
      <c r="A203" s="2" t="s">
        <v>202</v>
      </c>
    </row>
    <row r="204" spans="1:1" ht="15.75" customHeight="1" x14ac:dyDescent="0.45">
      <c r="A204" s="2" t="s">
        <v>203</v>
      </c>
    </row>
    <row r="205" spans="1:1" ht="15.75" customHeight="1" x14ac:dyDescent="0.45">
      <c r="A205" s="2" t="s">
        <v>204</v>
      </c>
    </row>
    <row r="206" spans="1:1" ht="15.75" customHeight="1" x14ac:dyDescent="0.45">
      <c r="A206" s="2" t="s">
        <v>205</v>
      </c>
    </row>
    <row r="207" spans="1:1" ht="15.75" customHeight="1" x14ac:dyDescent="0.45">
      <c r="A207" s="2" t="s">
        <v>206</v>
      </c>
    </row>
    <row r="208" spans="1:1" ht="15.75" customHeight="1" x14ac:dyDescent="0.45">
      <c r="A208" s="2" t="s">
        <v>207</v>
      </c>
    </row>
    <row r="209" spans="1:1" ht="15.75" customHeight="1" x14ac:dyDescent="0.45">
      <c r="A209" s="2" t="s">
        <v>208</v>
      </c>
    </row>
    <row r="210" spans="1:1" ht="15.75" customHeight="1" x14ac:dyDescent="0.45">
      <c r="A210" s="2" t="s">
        <v>209</v>
      </c>
    </row>
    <row r="211" spans="1:1" ht="15.75" customHeight="1" x14ac:dyDescent="0.45">
      <c r="A211" s="2" t="s">
        <v>210</v>
      </c>
    </row>
    <row r="212" spans="1:1" ht="15.75" customHeight="1" x14ac:dyDescent="0.45">
      <c r="A212" s="2" t="s">
        <v>211</v>
      </c>
    </row>
    <row r="213" spans="1:1" ht="15.75" customHeight="1" x14ac:dyDescent="0.45">
      <c r="A213" s="2" t="s">
        <v>212</v>
      </c>
    </row>
    <row r="214" spans="1:1" ht="15.75" customHeight="1" x14ac:dyDescent="0.45">
      <c r="A214" s="2" t="s">
        <v>213</v>
      </c>
    </row>
    <row r="215" spans="1:1" ht="15.75" customHeight="1" x14ac:dyDescent="0.45">
      <c r="A215" s="2" t="s">
        <v>214</v>
      </c>
    </row>
    <row r="216" spans="1:1" ht="15.75" customHeight="1" x14ac:dyDescent="0.45">
      <c r="A216" s="2" t="s">
        <v>215</v>
      </c>
    </row>
    <row r="217" spans="1:1" ht="15.75" customHeight="1" x14ac:dyDescent="0.45">
      <c r="A217" s="2" t="s">
        <v>216</v>
      </c>
    </row>
    <row r="218" spans="1:1" ht="15.75" customHeight="1" x14ac:dyDescent="0.45">
      <c r="A218" s="2" t="s">
        <v>217</v>
      </c>
    </row>
    <row r="219" spans="1:1" ht="15.75" customHeight="1" x14ac:dyDescent="0.45">
      <c r="A219" s="2" t="s">
        <v>218</v>
      </c>
    </row>
    <row r="220" spans="1:1" ht="15.75" customHeight="1" x14ac:dyDescent="0.45">
      <c r="A220" s="2" t="s">
        <v>219</v>
      </c>
    </row>
    <row r="221" spans="1:1" ht="15.75" customHeight="1" x14ac:dyDescent="0.45">
      <c r="A221" s="2" t="s">
        <v>220</v>
      </c>
    </row>
    <row r="222" spans="1:1" ht="15.75" customHeight="1" x14ac:dyDescent="0.45">
      <c r="A222" s="2" t="s">
        <v>221</v>
      </c>
    </row>
    <row r="223" spans="1:1" ht="15.75" customHeight="1" x14ac:dyDescent="0.45">
      <c r="A223" s="2" t="s">
        <v>222</v>
      </c>
    </row>
    <row r="224" spans="1:1" ht="15.75" customHeight="1" x14ac:dyDescent="0.45">
      <c r="A224" s="2" t="s">
        <v>223</v>
      </c>
    </row>
    <row r="225" spans="1:1" ht="15.75" customHeight="1" x14ac:dyDescent="0.45">
      <c r="A225" s="2" t="s">
        <v>224</v>
      </c>
    </row>
    <row r="226" spans="1:1" ht="15.75" customHeight="1" x14ac:dyDescent="0.45">
      <c r="A226" s="2" t="s">
        <v>225</v>
      </c>
    </row>
    <row r="227" spans="1:1" ht="15.75" customHeight="1" x14ac:dyDescent="0.45">
      <c r="A227" s="2" t="s">
        <v>226</v>
      </c>
    </row>
    <row r="228" spans="1:1" ht="15.75" customHeight="1" x14ac:dyDescent="0.45">
      <c r="A228" s="2" t="s">
        <v>227</v>
      </c>
    </row>
    <row r="229" spans="1:1" ht="15.75" customHeight="1" x14ac:dyDescent="0.45">
      <c r="A229" s="2" t="s">
        <v>228</v>
      </c>
    </row>
    <row r="230" spans="1:1" ht="15.75" customHeight="1" x14ac:dyDescent="0.45">
      <c r="A230" s="2" t="s">
        <v>229</v>
      </c>
    </row>
    <row r="231" spans="1:1" ht="15.75" customHeight="1" x14ac:dyDescent="0.45">
      <c r="A231" s="2" t="s">
        <v>230</v>
      </c>
    </row>
    <row r="232" spans="1:1" ht="15.75" customHeight="1" x14ac:dyDescent="0.45">
      <c r="A232" s="2" t="s">
        <v>231</v>
      </c>
    </row>
    <row r="233" spans="1:1" ht="15.75" customHeight="1" x14ac:dyDescent="0.45">
      <c r="A233" s="2" t="s">
        <v>232</v>
      </c>
    </row>
    <row r="234" spans="1:1" ht="15.75" customHeight="1" x14ac:dyDescent="0.45">
      <c r="A234" s="2" t="s">
        <v>233</v>
      </c>
    </row>
    <row r="235" spans="1:1" ht="15.75" customHeight="1" x14ac:dyDescent="0.45">
      <c r="A235" s="2" t="s">
        <v>234</v>
      </c>
    </row>
    <row r="236" spans="1:1" ht="15.75" customHeight="1" x14ac:dyDescent="0.45">
      <c r="A236" s="2" t="s">
        <v>235</v>
      </c>
    </row>
    <row r="237" spans="1:1" ht="15.75" customHeight="1" x14ac:dyDescent="0.45">
      <c r="A237" s="2" t="s">
        <v>236</v>
      </c>
    </row>
    <row r="238" spans="1:1" ht="15.75" customHeight="1" x14ac:dyDescent="0.45">
      <c r="A238" s="2" t="s">
        <v>237</v>
      </c>
    </row>
    <row r="239" spans="1:1" ht="15.75" customHeight="1" x14ac:dyDescent="0.45">
      <c r="A239" s="2" t="s">
        <v>238</v>
      </c>
    </row>
    <row r="240" spans="1:1" ht="15.75" customHeight="1" x14ac:dyDescent="0.45">
      <c r="A240" s="2" t="s">
        <v>239</v>
      </c>
    </row>
    <row r="241" spans="1:1" ht="15.75" customHeight="1" x14ac:dyDescent="0.45">
      <c r="A241" s="2" t="s">
        <v>240</v>
      </c>
    </row>
    <row r="242" spans="1:1" ht="15.75" customHeight="1" x14ac:dyDescent="0.45">
      <c r="A242" s="2" t="s">
        <v>241</v>
      </c>
    </row>
    <row r="243" spans="1:1" ht="15.75" customHeight="1" x14ac:dyDescent="0.45">
      <c r="A243" s="2" t="s">
        <v>242</v>
      </c>
    </row>
    <row r="244" spans="1:1" ht="15.75" customHeight="1" x14ac:dyDescent="0.45">
      <c r="A244" s="2" t="s">
        <v>243</v>
      </c>
    </row>
    <row r="245" spans="1:1" ht="15.75" customHeight="1" x14ac:dyDescent="0.45">
      <c r="A245" s="2" t="s">
        <v>244</v>
      </c>
    </row>
    <row r="246" spans="1:1" ht="15.75" customHeight="1" x14ac:dyDescent="0.45">
      <c r="A246" s="2" t="s">
        <v>245</v>
      </c>
    </row>
    <row r="247" spans="1:1" ht="15.75" customHeight="1" x14ac:dyDescent="0.45">
      <c r="A247" s="2" t="s">
        <v>246</v>
      </c>
    </row>
    <row r="248" spans="1:1" ht="15.75" customHeight="1" x14ac:dyDescent="0.45">
      <c r="A248" s="2" t="s">
        <v>247</v>
      </c>
    </row>
    <row r="249" spans="1:1" ht="15.75" customHeight="1" x14ac:dyDescent="0.45">
      <c r="A249" s="2" t="s">
        <v>248</v>
      </c>
    </row>
    <row r="250" spans="1:1" ht="15.75" customHeight="1" x14ac:dyDescent="0.45">
      <c r="A250" s="2" t="s">
        <v>249</v>
      </c>
    </row>
    <row r="251" spans="1:1" ht="15.75" customHeight="1" x14ac:dyDescent="0.45">
      <c r="A251" s="2" t="s">
        <v>250</v>
      </c>
    </row>
    <row r="252" spans="1:1" ht="15.75" customHeight="1" x14ac:dyDescent="0.45">
      <c r="A252" s="2" t="s">
        <v>251</v>
      </c>
    </row>
    <row r="253" spans="1:1" ht="15.75" customHeight="1" x14ac:dyDescent="0.45">
      <c r="A253" s="2" t="s">
        <v>252</v>
      </c>
    </row>
    <row r="254" spans="1:1" ht="15.75" customHeight="1" x14ac:dyDescent="0.45">
      <c r="A254" s="2" t="s">
        <v>253</v>
      </c>
    </row>
    <row r="255" spans="1:1" ht="15.75" customHeight="1" x14ac:dyDescent="0.45">
      <c r="A255" s="2" t="s">
        <v>254</v>
      </c>
    </row>
    <row r="256" spans="1:1" ht="15.75" customHeight="1" x14ac:dyDescent="0.45">
      <c r="A256" s="2" t="s">
        <v>255</v>
      </c>
    </row>
    <row r="257" spans="1:1" ht="15.75" customHeight="1" x14ac:dyDescent="0.45">
      <c r="A257" s="2" t="s">
        <v>256</v>
      </c>
    </row>
    <row r="258" spans="1:1" ht="15.75" customHeight="1" x14ac:dyDescent="0.45">
      <c r="A258" s="2" t="s">
        <v>257</v>
      </c>
    </row>
    <row r="259" spans="1:1" ht="15.75" customHeight="1" x14ac:dyDescent="0.45">
      <c r="A259" s="2" t="s">
        <v>258</v>
      </c>
    </row>
    <row r="260" spans="1:1" ht="15.75" customHeight="1" x14ac:dyDescent="0.45">
      <c r="A260" s="2" t="s">
        <v>259</v>
      </c>
    </row>
    <row r="261" spans="1:1" ht="15.75" customHeight="1" x14ac:dyDescent="0.45">
      <c r="A261" s="2" t="s">
        <v>260</v>
      </c>
    </row>
    <row r="262" spans="1:1" ht="15.75" customHeight="1" x14ac:dyDescent="0.45">
      <c r="A262" s="2" t="s">
        <v>261</v>
      </c>
    </row>
    <row r="263" spans="1:1" ht="15.75" customHeight="1" x14ac:dyDescent="0.45">
      <c r="A263" s="2" t="s">
        <v>262</v>
      </c>
    </row>
    <row r="264" spans="1:1" ht="15.75" customHeight="1" x14ac:dyDescent="0.45">
      <c r="A264" s="2" t="s">
        <v>263</v>
      </c>
    </row>
    <row r="265" spans="1:1" ht="15.75" customHeight="1" x14ac:dyDescent="0.45">
      <c r="A265" s="2" t="s">
        <v>264</v>
      </c>
    </row>
    <row r="266" spans="1:1" ht="15.75" customHeight="1" x14ac:dyDescent="0.45">
      <c r="A266" s="2" t="s">
        <v>265</v>
      </c>
    </row>
    <row r="267" spans="1:1" ht="15.75" customHeight="1" x14ac:dyDescent="0.45">
      <c r="A267" s="2" t="s">
        <v>266</v>
      </c>
    </row>
    <row r="268" spans="1:1" ht="15.75" customHeight="1" x14ac:dyDescent="0.45">
      <c r="A268" s="2" t="s">
        <v>267</v>
      </c>
    </row>
    <row r="269" spans="1:1" ht="15.75" customHeight="1" x14ac:dyDescent="0.45">
      <c r="A269" s="2" t="s">
        <v>268</v>
      </c>
    </row>
    <row r="270" spans="1:1" ht="15.75" customHeight="1" x14ac:dyDescent="0.45">
      <c r="A270" s="2" t="s">
        <v>269</v>
      </c>
    </row>
    <row r="271" spans="1:1" ht="15.75" customHeight="1" x14ac:dyDescent="0.45">
      <c r="A271" s="2" t="s">
        <v>270</v>
      </c>
    </row>
    <row r="272" spans="1:1" ht="15.75" customHeight="1" x14ac:dyDescent="0.45">
      <c r="A272" s="2" t="s">
        <v>271</v>
      </c>
    </row>
    <row r="273" spans="1:1" ht="15.75" customHeight="1" x14ac:dyDescent="0.45">
      <c r="A273" s="2" t="s">
        <v>272</v>
      </c>
    </row>
    <row r="274" spans="1:1" ht="15.75" customHeight="1" x14ac:dyDescent="0.45">
      <c r="A274" s="2" t="s">
        <v>273</v>
      </c>
    </row>
    <row r="275" spans="1:1" ht="15.75" customHeight="1" x14ac:dyDescent="0.45">
      <c r="A275" s="2" t="s">
        <v>274</v>
      </c>
    </row>
    <row r="276" spans="1:1" ht="15.75" customHeight="1" x14ac:dyDescent="0.45">
      <c r="A276" s="2" t="s">
        <v>275</v>
      </c>
    </row>
    <row r="277" spans="1:1" ht="15.75" customHeight="1" x14ac:dyDescent="0.45">
      <c r="A277" s="2" t="s">
        <v>276</v>
      </c>
    </row>
    <row r="278" spans="1:1" ht="15.75" customHeight="1" x14ac:dyDescent="0.45">
      <c r="A278" s="2" t="s">
        <v>277</v>
      </c>
    </row>
    <row r="279" spans="1:1" ht="15.75" customHeight="1" x14ac:dyDescent="0.45">
      <c r="A279" s="2" t="s">
        <v>278</v>
      </c>
    </row>
    <row r="280" spans="1:1" ht="15.75" customHeight="1" x14ac:dyDescent="0.45">
      <c r="A280" s="2" t="s">
        <v>279</v>
      </c>
    </row>
    <row r="281" spans="1:1" ht="15.75" customHeight="1" x14ac:dyDescent="0.45">
      <c r="A281" s="2" t="s">
        <v>280</v>
      </c>
    </row>
    <row r="282" spans="1:1" ht="15.75" customHeight="1" x14ac:dyDescent="0.45">
      <c r="A282" s="2" t="s">
        <v>281</v>
      </c>
    </row>
    <row r="283" spans="1:1" ht="15.75" customHeight="1" x14ac:dyDescent="0.45">
      <c r="A283" s="2" t="s">
        <v>282</v>
      </c>
    </row>
    <row r="284" spans="1:1" ht="15.75" customHeight="1" x14ac:dyDescent="0.45">
      <c r="A284" s="2" t="s">
        <v>283</v>
      </c>
    </row>
    <row r="285" spans="1:1" ht="15.75" customHeight="1" x14ac:dyDescent="0.45">
      <c r="A285" s="2" t="s">
        <v>284</v>
      </c>
    </row>
    <row r="286" spans="1:1" ht="15.75" customHeight="1" x14ac:dyDescent="0.45">
      <c r="A286" s="2" t="s">
        <v>285</v>
      </c>
    </row>
    <row r="287" spans="1:1" ht="15.75" customHeight="1" x14ac:dyDescent="0.45">
      <c r="A287" s="2" t="s">
        <v>286</v>
      </c>
    </row>
    <row r="288" spans="1:1" ht="15.75" customHeight="1" x14ac:dyDescent="0.45">
      <c r="A288" s="2" t="s">
        <v>287</v>
      </c>
    </row>
    <row r="289" spans="1:1" ht="15.75" customHeight="1" x14ac:dyDescent="0.45">
      <c r="A289" s="2" t="s">
        <v>288</v>
      </c>
    </row>
    <row r="290" spans="1:1" ht="15.75" customHeight="1" x14ac:dyDescent="0.45">
      <c r="A290" s="2" t="s">
        <v>289</v>
      </c>
    </row>
    <row r="291" spans="1:1" ht="15.75" customHeight="1" x14ac:dyDescent="0.45">
      <c r="A291" s="2" t="s">
        <v>290</v>
      </c>
    </row>
    <row r="292" spans="1:1" ht="15.75" customHeight="1" x14ac:dyDescent="0.45">
      <c r="A292" s="2" t="s">
        <v>291</v>
      </c>
    </row>
    <row r="293" spans="1:1" ht="15.75" customHeight="1" x14ac:dyDescent="0.45">
      <c r="A293" s="2" t="s">
        <v>292</v>
      </c>
    </row>
    <row r="294" spans="1:1" ht="15.75" customHeight="1" x14ac:dyDescent="0.45">
      <c r="A294" s="2" t="s">
        <v>293</v>
      </c>
    </row>
    <row r="295" spans="1:1" ht="15.75" customHeight="1" x14ac:dyDescent="0.45">
      <c r="A295" s="2" t="s">
        <v>294</v>
      </c>
    </row>
    <row r="296" spans="1:1" ht="15.75" customHeight="1" x14ac:dyDescent="0.45">
      <c r="A296" s="2" t="s">
        <v>295</v>
      </c>
    </row>
    <row r="297" spans="1:1" ht="15.75" customHeight="1" x14ac:dyDescent="0.45">
      <c r="A297" s="2" t="s">
        <v>296</v>
      </c>
    </row>
    <row r="298" spans="1:1" ht="15.75" customHeight="1" x14ac:dyDescent="0.45">
      <c r="A298" s="2" t="s">
        <v>297</v>
      </c>
    </row>
    <row r="299" spans="1:1" ht="15.75" customHeight="1" x14ac:dyDescent="0.45">
      <c r="A299" s="2" t="s">
        <v>298</v>
      </c>
    </row>
    <row r="300" spans="1:1" ht="15.75" customHeight="1" x14ac:dyDescent="0.45">
      <c r="A300" s="2" t="s">
        <v>299</v>
      </c>
    </row>
    <row r="301" spans="1:1" ht="15.75" customHeight="1" x14ac:dyDescent="0.45">
      <c r="A301" s="2" t="s">
        <v>300</v>
      </c>
    </row>
    <row r="302" spans="1:1" ht="15.75" customHeight="1" x14ac:dyDescent="0.45">
      <c r="A302" s="2" t="s">
        <v>301</v>
      </c>
    </row>
    <row r="303" spans="1:1" ht="15.75" customHeight="1" x14ac:dyDescent="0.45">
      <c r="A303" s="2" t="s">
        <v>302</v>
      </c>
    </row>
    <row r="304" spans="1:1" ht="15.75" customHeight="1" x14ac:dyDescent="0.45">
      <c r="A304" s="2" t="s">
        <v>303</v>
      </c>
    </row>
    <row r="305" spans="1:1" ht="15.75" customHeight="1" x14ac:dyDescent="0.45">
      <c r="A305" s="2" t="s">
        <v>304</v>
      </c>
    </row>
    <row r="306" spans="1:1" ht="15.75" customHeight="1" x14ac:dyDescent="0.45">
      <c r="A306" s="2" t="s">
        <v>305</v>
      </c>
    </row>
    <row r="307" spans="1:1" ht="15.75" customHeight="1" x14ac:dyDescent="0.45">
      <c r="A307" s="2" t="s">
        <v>306</v>
      </c>
    </row>
    <row r="308" spans="1:1" ht="15.75" customHeight="1" x14ac:dyDescent="0.45">
      <c r="A308" s="2" t="s">
        <v>307</v>
      </c>
    </row>
    <row r="309" spans="1:1" ht="15.75" customHeight="1" x14ac:dyDescent="0.45">
      <c r="A309" s="2" t="s">
        <v>308</v>
      </c>
    </row>
    <row r="310" spans="1:1" ht="15.75" customHeight="1" x14ac:dyDescent="0.45">
      <c r="A310" s="2" t="s">
        <v>309</v>
      </c>
    </row>
    <row r="311" spans="1:1" ht="15.75" customHeight="1" x14ac:dyDescent="0.45">
      <c r="A311" s="2" t="s">
        <v>310</v>
      </c>
    </row>
    <row r="312" spans="1:1" ht="15.75" customHeight="1" x14ac:dyDescent="0.45">
      <c r="A312" s="2" t="s">
        <v>311</v>
      </c>
    </row>
    <row r="313" spans="1:1" ht="15.75" customHeight="1" x14ac:dyDescent="0.45">
      <c r="A313" s="2" t="s">
        <v>312</v>
      </c>
    </row>
    <row r="314" spans="1:1" ht="15.75" customHeight="1" x14ac:dyDescent="0.45">
      <c r="A314" s="2" t="s">
        <v>313</v>
      </c>
    </row>
    <row r="315" spans="1:1" ht="15.75" customHeight="1" x14ac:dyDescent="0.45">
      <c r="A315" s="2" t="s">
        <v>314</v>
      </c>
    </row>
    <row r="316" spans="1:1" ht="15.75" customHeight="1" x14ac:dyDescent="0.45">
      <c r="A316" s="2" t="s">
        <v>315</v>
      </c>
    </row>
    <row r="317" spans="1:1" ht="15.75" customHeight="1" x14ac:dyDescent="0.45">
      <c r="A317" s="2" t="s">
        <v>316</v>
      </c>
    </row>
    <row r="318" spans="1:1" ht="15.75" customHeight="1" x14ac:dyDescent="0.45">
      <c r="A318" s="2" t="s">
        <v>317</v>
      </c>
    </row>
    <row r="319" spans="1:1" ht="15.75" customHeight="1" x14ac:dyDescent="0.45">
      <c r="A319" s="2" t="s">
        <v>318</v>
      </c>
    </row>
    <row r="320" spans="1:1" ht="15.75" customHeight="1" x14ac:dyDescent="0.45">
      <c r="A320" s="2" t="s">
        <v>319</v>
      </c>
    </row>
    <row r="321" spans="1:1" ht="15.75" customHeight="1" x14ac:dyDescent="0.45">
      <c r="A321" s="2" t="s">
        <v>320</v>
      </c>
    </row>
    <row r="322" spans="1:1" ht="15.75" customHeight="1" x14ac:dyDescent="0.45">
      <c r="A322" s="2" t="s">
        <v>321</v>
      </c>
    </row>
    <row r="323" spans="1:1" ht="15.75" customHeight="1" x14ac:dyDescent="0.45">
      <c r="A323" s="2" t="s">
        <v>322</v>
      </c>
    </row>
    <row r="324" spans="1:1" ht="15.75" customHeight="1" x14ac:dyDescent="0.45">
      <c r="A324" s="2" t="s">
        <v>323</v>
      </c>
    </row>
    <row r="325" spans="1:1" ht="15.75" customHeight="1" x14ac:dyDescent="0.45">
      <c r="A325" s="2" t="s">
        <v>324</v>
      </c>
    </row>
    <row r="326" spans="1:1" ht="15.75" customHeight="1" x14ac:dyDescent="0.45">
      <c r="A326" s="2" t="s">
        <v>325</v>
      </c>
    </row>
    <row r="327" spans="1:1" ht="15.75" customHeight="1" x14ac:dyDescent="0.45">
      <c r="A327" s="2" t="s">
        <v>326</v>
      </c>
    </row>
    <row r="328" spans="1:1" ht="15.75" customHeight="1" x14ac:dyDescent="0.45">
      <c r="A328" s="2" t="s">
        <v>327</v>
      </c>
    </row>
    <row r="329" spans="1:1" ht="15.75" customHeight="1" x14ac:dyDescent="0.45">
      <c r="A329" s="2" t="s">
        <v>328</v>
      </c>
    </row>
    <row r="330" spans="1:1" ht="15.75" customHeight="1" x14ac:dyDescent="0.45">
      <c r="A330" s="2" t="s">
        <v>329</v>
      </c>
    </row>
    <row r="331" spans="1:1" ht="15.75" customHeight="1" x14ac:dyDescent="0.45">
      <c r="A331" s="2" t="s">
        <v>330</v>
      </c>
    </row>
    <row r="332" spans="1:1" ht="15.75" customHeight="1" x14ac:dyDescent="0.45">
      <c r="A332" s="2" t="s">
        <v>331</v>
      </c>
    </row>
    <row r="333" spans="1:1" ht="15.75" customHeight="1" x14ac:dyDescent="0.45">
      <c r="A333" s="2" t="s">
        <v>332</v>
      </c>
    </row>
    <row r="334" spans="1:1" ht="15.75" customHeight="1" x14ac:dyDescent="0.45">
      <c r="A334" s="2" t="s">
        <v>333</v>
      </c>
    </row>
    <row r="335" spans="1:1" ht="15.75" customHeight="1" x14ac:dyDescent="0.45">
      <c r="A335" s="2" t="s">
        <v>334</v>
      </c>
    </row>
    <row r="336" spans="1:1" ht="15.75" customHeight="1" x14ac:dyDescent="0.45">
      <c r="A336" s="2" t="s">
        <v>335</v>
      </c>
    </row>
    <row r="337" spans="1:1" ht="15.75" customHeight="1" x14ac:dyDescent="0.45">
      <c r="A337" s="2" t="s">
        <v>336</v>
      </c>
    </row>
    <row r="338" spans="1:1" ht="15.75" customHeight="1" x14ac:dyDescent="0.45">
      <c r="A338" s="2" t="s">
        <v>337</v>
      </c>
    </row>
    <row r="339" spans="1:1" ht="15.75" customHeight="1" x14ac:dyDescent="0.45">
      <c r="A339" s="2" t="s">
        <v>338</v>
      </c>
    </row>
    <row r="340" spans="1:1" ht="15.75" customHeight="1" x14ac:dyDescent="0.45">
      <c r="A340" s="2" t="s">
        <v>339</v>
      </c>
    </row>
    <row r="341" spans="1:1" ht="15.75" customHeight="1" x14ac:dyDescent="0.45">
      <c r="A341" s="2" t="s">
        <v>340</v>
      </c>
    </row>
    <row r="342" spans="1:1" ht="15.75" customHeight="1" x14ac:dyDescent="0.45">
      <c r="A342" s="2" t="s">
        <v>341</v>
      </c>
    </row>
    <row r="343" spans="1:1" ht="15.75" customHeight="1" x14ac:dyDescent="0.45">
      <c r="A343" s="2" t="s">
        <v>342</v>
      </c>
    </row>
    <row r="344" spans="1:1" ht="15.75" customHeight="1" x14ac:dyDescent="0.45">
      <c r="A344" s="2" t="s">
        <v>343</v>
      </c>
    </row>
    <row r="345" spans="1:1" ht="15.75" customHeight="1" x14ac:dyDescent="0.45">
      <c r="A345" s="2" t="s">
        <v>344</v>
      </c>
    </row>
    <row r="346" spans="1:1" ht="15.75" customHeight="1" x14ac:dyDescent="0.45">
      <c r="A346" s="2" t="s">
        <v>345</v>
      </c>
    </row>
    <row r="347" spans="1:1" ht="15.75" customHeight="1" x14ac:dyDescent="0.45">
      <c r="A347" s="2" t="s">
        <v>346</v>
      </c>
    </row>
    <row r="348" spans="1:1" ht="15.75" customHeight="1" x14ac:dyDescent="0.45">
      <c r="A348" s="2" t="s">
        <v>347</v>
      </c>
    </row>
    <row r="349" spans="1:1" ht="15.75" customHeight="1" x14ac:dyDescent="0.45">
      <c r="A349" s="2" t="s">
        <v>348</v>
      </c>
    </row>
    <row r="350" spans="1:1" ht="15.75" customHeight="1" x14ac:dyDescent="0.45">
      <c r="A350" s="2" t="s">
        <v>349</v>
      </c>
    </row>
    <row r="351" spans="1:1" ht="15.75" customHeight="1" x14ac:dyDescent="0.45">
      <c r="A351" s="2" t="s">
        <v>350</v>
      </c>
    </row>
    <row r="352" spans="1:1" ht="15.75" customHeight="1" x14ac:dyDescent="0.45">
      <c r="A352" s="2" t="s">
        <v>351</v>
      </c>
    </row>
    <row r="353" spans="1:1" ht="15.75" customHeight="1" x14ac:dyDescent="0.45">
      <c r="A353" s="2" t="s">
        <v>352</v>
      </c>
    </row>
    <row r="354" spans="1:1" ht="15.75" customHeight="1" x14ac:dyDescent="0.45">
      <c r="A354" s="2" t="s">
        <v>353</v>
      </c>
    </row>
    <row r="355" spans="1:1" ht="15.75" customHeight="1" x14ac:dyDescent="0.45">
      <c r="A355" s="2" t="s">
        <v>354</v>
      </c>
    </row>
    <row r="356" spans="1:1" ht="15.75" customHeight="1" x14ac:dyDescent="0.45">
      <c r="A356" s="2" t="s">
        <v>355</v>
      </c>
    </row>
    <row r="357" spans="1:1" ht="15.75" customHeight="1" x14ac:dyDescent="0.45">
      <c r="A357" s="2" t="s">
        <v>356</v>
      </c>
    </row>
    <row r="358" spans="1:1" ht="15.75" customHeight="1" x14ac:dyDescent="0.45">
      <c r="A358" s="2" t="s">
        <v>357</v>
      </c>
    </row>
    <row r="359" spans="1:1" ht="15.75" customHeight="1" x14ac:dyDescent="0.45">
      <c r="A359" s="2" t="s">
        <v>358</v>
      </c>
    </row>
    <row r="360" spans="1:1" ht="15.75" customHeight="1" x14ac:dyDescent="0.45">
      <c r="A360" s="2" t="s">
        <v>359</v>
      </c>
    </row>
    <row r="361" spans="1:1" ht="15.75" customHeight="1" x14ac:dyDescent="0.45">
      <c r="A361" s="2" t="s">
        <v>360</v>
      </c>
    </row>
    <row r="362" spans="1:1" ht="15.75" customHeight="1" x14ac:dyDescent="0.45">
      <c r="A362" s="2" t="s">
        <v>361</v>
      </c>
    </row>
    <row r="363" spans="1:1" ht="15.75" customHeight="1" x14ac:dyDescent="0.45">
      <c r="A363" s="2" t="s">
        <v>362</v>
      </c>
    </row>
    <row r="364" spans="1:1" ht="15.75" customHeight="1" x14ac:dyDescent="0.45">
      <c r="A364" s="2" t="s">
        <v>363</v>
      </c>
    </row>
    <row r="365" spans="1:1" ht="15.75" customHeight="1" x14ac:dyDescent="0.45">
      <c r="A365" s="2" t="s">
        <v>364</v>
      </c>
    </row>
    <row r="366" spans="1:1" ht="15.75" customHeight="1" x14ac:dyDescent="0.45">
      <c r="A366" s="2" t="s">
        <v>365</v>
      </c>
    </row>
    <row r="367" spans="1:1" ht="15.75" customHeight="1" x14ac:dyDescent="0.45">
      <c r="A367" s="2" t="s">
        <v>366</v>
      </c>
    </row>
    <row r="368" spans="1:1" ht="15.75" customHeight="1" x14ac:dyDescent="0.45">
      <c r="A368" s="2" t="s">
        <v>367</v>
      </c>
    </row>
    <row r="369" spans="1:1" ht="15.75" customHeight="1" x14ac:dyDescent="0.45">
      <c r="A369" s="2" t="s">
        <v>368</v>
      </c>
    </row>
    <row r="370" spans="1:1" ht="15.75" customHeight="1" x14ac:dyDescent="0.45">
      <c r="A370" s="2" t="s">
        <v>369</v>
      </c>
    </row>
    <row r="371" spans="1:1" ht="15.75" customHeight="1" x14ac:dyDescent="0.45">
      <c r="A371" s="2" t="s">
        <v>370</v>
      </c>
    </row>
    <row r="372" spans="1:1" ht="15.75" customHeight="1" x14ac:dyDescent="0.45">
      <c r="A372" s="2" t="s">
        <v>371</v>
      </c>
    </row>
    <row r="373" spans="1:1" ht="15.75" customHeight="1" x14ac:dyDescent="0.45">
      <c r="A373" s="2" t="s">
        <v>372</v>
      </c>
    </row>
    <row r="374" spans="1:1" ht="15.75" customHeight="1" x14ac:dyDescent="0.45">
      <c r="A374" s="2" t="s">
        <v>373</v>
      </c>
    </row>
    <row r="375" spans="1:1" ht="15.75" customHeight="1" x14ac:dyDescent="0.45">
      <c r="A375" s="2" t="s">
        <v>374</v>
      </c>
    </row>
    <row r="376" spans="1:1" ht="15.75" customHeight="1" x14ac:dyDescent="0.45">
      <c r="A376" s="2" t="s">
        <v>375</v>
      </c>
    </row>
    <row r="377" spans="1:1" ht="15.75" customHeight="1" x14ac:dyDescent="0.45">
      <c r="A377" s="2" t="s">
        <v>376</v>
      </c>
    </row>
    <row r="378" spans="1:1" ht="15.75" customHeight="1" x14ac:dyDescent="0.45">
      <c r="A378" s="2" t="s">
        <v>377</v>
      </c>
    </row>
    <row r="379" spans="1:1" ht="15.75" customHeight="1" x14ac:dyDescent="0.45">
      <c r="A379" s="2" t="s">
        <v>378</v>
      </c>
    </row>
    <row r="380" spans="1:1" ht="15.75" customHeight="1" x14ac:dyDescent="0.45">
      <c r="A380" s="2" t="s">
        <v>379</v>
      </c>
    </row>
    <row r="381" spans="1:1" ht="15.75" customHeight="1" x14ac:dyDescent="0.45">
      <c r="A381" s="2" t="s">
        <v>380</v>
      </c>
    </row>
    <row r="382" spans="1:1" ht="15.75" customHeight="1" x14ac:dyDescent="0.45">
      <c r="A382" s="2" t="s">
        <v>381</v>
      </c>
    </row>
    <row r="383" spans="1:1" ht="15.75" customHeight="1" x14ac:dyDescent="0.45">
      <c r="A383" s="2" t="s">
        <v>382</v>
      </c>
    </row>
    <row r="384" spans="1:1" ht="15.75" customHeight="1" x14ac:dyDescent="0.45">
      <c r="A384" s="2" t="s">
        <v>383</v>
      </c>
    </row>
    <row r="385" spans="1:1" ht="15.75" customHeight="1" x14ac:dyDescent="0.45">
      <c r="A385" s="2" t="s">
        <v>384</v>
      </c>
    </row>
    <row r="386" spans="1:1" ht="15.75" customHeight="1" x14ac:dyDescent="0.45">
      <c r="A386" s="2" t="s">
        <v>385</v>
      </c>
    </row>
    <row r="387" spans="1:1" ht="15.75" customHeight="1" x14ac:dyDescent="0.45">
      <c r="A387" s="2" t="s">
        <v>386</v>
      </c>
    </row>
    <row r="388" spans="1:1" ht="15.75" customHeight="1" x14ac:dyDescent="0.45">
      <c r="A388" s="2" t="s">
        <v>387</v>
      </c>
    </row>
    <row r="389" spans="1:1" ht="15.75" customHeight="1" x14ac:dyDescent="0.45">
      <c r="A389" s="2" t="s">
        <v>388</v>
      </c>
    </row>
    <row r="390" spans="1:1" ht="15.75" customHeight="1" x14ac:dyDescent="0.45">
      <c r="A390" s="2" t="s">
        <v>389</v>
      </c>
    </row>
    <row r="391" spans="1:1" ht="15.75" customHeight="1" x14ac:dyDescent="0.45">
      <c r="A391" s="2" t="s">
        <v>390</v>
      </c>
    </row>
    <row r="392" spans="1:1" ht="15.75" customHeight="1" x14ac:dyDescent="0.45">
      <c r="A392" s="2" t="s">
        <v>391</v>
      </c>
    </row>
    <row r="393" spans="1:1" ht="15.75" customHeight="1" x14ac:dyDescent="0.45">
      <c r="A393" s="2" t="s">
        <v>392</v>
      </c>
    </row>
    <row r="394" spans="1:1" ht="15.75" customHeight="1" x14ac:dyDescent="0.45">
      <c r="A394" s="2" t="s">
        <v>393</v>
      </c>
    </row>
    <row r="395" spans="1:1" ht="15.75" customHeight="1" x14ac:dyDescent="0.45">
      <c r="A395" s="2" t="s">
        <v>394</v>
      </c>
    </row>
    <row r="396" spans="1:1" ht="15.75" customHeight="1" x14ac:dyDescent="0.45">
      <c r="A396" s="2" t="s">
        <v>395</v>
      </c>
    </row>
    <row r="397" spans="1:1" ht="15.75" customHeight="1" x14ac:dyDescent="0.45">
      <c r="A397" s="2" t="s">
        <v>396</v>
      </c>
    </row>
    <row r="398" spans="1:1" ht="15.75" customHeight="1" x14ac:dyDescent="0.45">
      <c r="A398" s="2" t="s">
        <v>397</v>
      </c>
    </row>
    <row r="399" spans="1:1" ht="15.75" customHeight="1" x14ac:dyDescent="0.45">
      <c r="A399" s="2" t="s">
        <v>398</v>
      </c>
    </row>
    <row r="400" spans="1:1" ht="15.75" customHeight="1" x14ac:dyDescent="0.45">
      <c r="A400" s="2" t="s">
        <v>399</v>
      </c>
    </row>
    <row r="401" spans="1:1" ht="15.75" customHeight="1" x14ac:dyDescent="0.45">
      <c r="A401" s="2" t="s">
        <v>400</v>
      </c>
    </row>
    <row r="402" spans="1:1" ht="15.75" customHeight="1" x14ac:dyDescent="0.45">
      <c r="A402" s="2" t="s">
        <v>401</v>
      </c>
    </row>
    <row r="403" spans="1:1" ht="15.75" customHeight="1" x14ac:dyDescent="0.45">
      <c r="A403" s="2" t="s">
        <v>402</v>
      </c>
    </row>
    <row r="404" spans="1:1" ht="15.75" customHeight="1" x14ac:dyDescent="0.45">
      <c r="A404" s="2" t="s">
        <v>403</v>
      </c>
    </row>
    <row r="405" spans="1:1" ht="15.75" customHeight="1" x14ac:dyDescent="0.45">
      <c r="A405" s="2" t="s">
        <v>404</v>
      </c>
    </row>
    <row r="406" spans="1:1" ht="15.75" customHeight="1" x14ac:dyDescent="0.45">
      <c r="A406" s="2" t="s">
        <v>405</v>
      </c>
    </row>
    <row r="407" spans="1:1" ht="15.75" customHeight="1" x14ac:dyDescent="0.45">
      <c r="A407" s="2" t="s">
        <v>406</v>
      </c>
    </row>
    <row r="408" spans="1:1" ht="15.75" customHeight="1" x14ac:dyDescent="0.45">
      <c r="A408" s="2" t="s">
        <v>407</v>
      </c>
    </row>
    <row r="409" spans="1:1" ht="15.75" customHeight="1" x14ac:dyDescent="0.45">
      <c r="A409" s="2" t="s">
        <v>408</v>
      </c>
    </row>
    <row r="410" spans="1:1" ht="15.75" customHeight="1" x14ac:dyDescent="0.45">
      <c r="A410" s="2" t="s">
        <v>409</v>
      </c>
    </row>
    <row r="411" spans="1:1" ht="15.75" customHeight="1" x14ac:dyDescent="0.45">
      <c r="A411" s="2" t="s">
        <v>410</v>
      </c>
    </row>
    <row r="412" spans="1:1" ht="15.75" customHeight="1" x14ac:dyDescent="0.45">
      <c r="A412" s="2" t="s">
        <v>411</v>
      </c>
    </row>
    <row r="413" spans="1:1" ht="15.75" customHeight="1" x14ac:dyDescent="0.45">
      <c r="A413" s="2" t="s">
        <v>412</v>
      </c>
    </row>
    <row r="414" spans="1:1" ht="15.75" customHeight="1" x14ac:dyDescent="0.45">
      <c r="A414" s="2" t="s">
        <v>413</v>
      </c>
    </row>
    <row r="415" spans="1:1" ht="15.75" customHeight="1" x14ac:dyDescent="0.45">
      <c r="A415" s="2" t="s">
        <v>414</v>
      </c>
    </row>
    <row r="416" spans="1:1" ht="15.75" customHeight="1" x14ac:dyDescent="0.45">
      <c r="A416" s="2" t="s">
        <v>415</v>
      </c>
    </row>
    <row r="417" spans="1:1" ht="15.75" customHeight="1" x14ac:dyDescent="0.45">
      <c r="A417" s="2" t="s">
        <v>416</v>
      </c>
    </row>
    <row r="418" spans="1:1" ht="15.75" customHeight="1" x14ac:dyDescent="0.45">
      <c r="A418" s="2" t="s">
        <v>417</v>
      </c>
    </row>
    <row r="419" spans="1:1" ht="15.75" customHeight="1" x14ac:dyDescent="0.45">
      <c r="A419" s="2" t="s">
        <v>418</v>
      </c>
    </row>
    <row r="420" spans="1:1" ht="15.75" customHeight="1" x14ac:dyDescent="0.45">
      <c r="A420" s="2" t="s">
        <v>419</v>
      </c>
    </row>
    <row r="421" spans="1:1" ht="15.75" customHeight="1" x14ac:dyDescent="0.45">
      <c r="A421" s="2" t="s">
        <v>420</v>
      </c>
    </row>
    <row r="422" spans="1:1" ht="15.75" customHeight="1" x14ac:dyDescent="0.45">
      <c r="A422" s="2" t="s">
        <v>421</v>
      </c>
    </row>
    <row r="423" spans="1:1" ht="15.75" customHeight="1" x14ac:dyDescent="0.45">
      <c r="A423" s="2" t="s">
        <v>422</v>
      </c>
    </row>
    <row r="424" spans="1:1" ht="15.75" customHeight="1" x14ac:dyDescent="0.45">
      <c r="A424" s="2" t="s">
        <v>423</v>
      </c>
    </row>
    <row r="425" spans="1:1" ht="15.75" customHeight="1" x14ac:dyDescent="0.45">
      <c r="A425" s="2" t="s">
        <v>424</v>
      </c>
    </row>
    <row r="426" spans="1:1" ht="15.75" customHeight="1" x14ac:dyDescent="0.45">
      <c r="A426" s="2" t="s">
        <v>425</v>
      </c>
    </row>
    <row r="427" spans="1:1" ht="15.75" customHeight="1" x14ac:dyDescent="0.45">
      <c r="A427" s="2" t="s">
        <v>426</v>
      </c>
    </row>
    <row r="428" spans="1:1" ht="15.75" customHeight="1" x14ac:dyDescent="0.45">
      <c r="A428" s="2" t="s">
        <v>427</v>
      </c>
    </row>
    <row r="429" spans="1:1" ht="15.75" customHeight="1" x14ac:dyDescent="0.45">
      <c r="A429" s="2" t="s">
        <v>428</v>
      </c>
    </row>
    <row r="430" spans="1:1" ht="15.75" customHeight="1" x14ac:dyDescent="0.45">
      <c r="A430" s="2" t="s">
        <v>429</v>
      </c>
    </row>
    <row r="431" spans="1:1" ht="15.75" customHeight="1" x14ac:dyDescent="0.45">
      <c r="A431" s="2" t="s">
        <v>430</v>
      </c>
    </row>
    <row r="432" spans="1:1" ht="15.75" customHeight="1" x14ac:dyDescent="0.45">
      <c r="A432" s="2" t="s">
        <v>431</v>
      </c>
    </row>
    <row r="433" spans="1:1" ht="15.75" customHeight="1" x14ac:dyDescent="0.45">
      <c r="A433" s="2" t="s">
        <v>432</v>
      </c>
    </row>
    <row r="434" spans="1:1" ht="15.75" customHeight="1" x14ac:dyDescent="0.45">
      <c r="A434" s="2" t="s">
        <v>433</v>
      </c>
    </row>
    <row r="435" spans="1:1" ht="15.75" customHeight="1" x14ac:dyDescent="0.45">
      <c r="A435" s="2" t="s">
        <v>434</v>
      </c>
    </row>
    <row r="436" spans="1:1" ht="15.75" customHeight="1" x14ac:dyDescent="0.45">
      <c r="A436" s="2" t="s">
        <v>435</v>
      </c>
    </row>
    <row r="437" spans="1:1" ht="15.75" customHeight="1" x14ac:dyDescent="0.45">
      <c r="A437" s="2" t="s">
        <v>436</v>
      </c>
    </row>
    <row r="438" spans="1:1" ht="15.75" customHeight="1" x14ac:dyDescent="0.45">
      <c r="A438" s="2" t="s">
        <v>437</v>
      </c>
    </row>
    <row r="439" spans="1:1" ht="15.75" customHeight="1" x14ac:dyDescent="0.45">
      <c r="A439" s="2" t="s">
        <v>438</v>
      </c>
    </row>
    <row r="440" spans="1:1" ht="15.75" customHeight="1" x14ac:dyDescent="0.45">
      <c r="A440" s="2" t="s">
        <v>439</v>
      </c>
    </row>
    <row r="441" spans="1:1" ht="15.75" customHeight="1" x14ac:dyDescent="0.45">
      <c r="A441" s="2" t="s">
        <v>440</v>
      </c>
    </row>
    <row r="442" spans="1:1" ht="15.75" customHeight="1" x14ac:dyDescent="0.45">
      <c r="A442" s="2" t="s">
        <v>441</v>
      </c>
    </row>
    <row r="443" spans="1:1" ht="15.75" customHeight="1" x14ac:dyDescent="0.45">
      <c r="A443" s="2" t="s">
        <v>442</v>
      </c>
    </row>
    <row r="444" spans="1:1" ht="15.75" customHeight="1" x14ac:dyDescent="0.45">
      <c r="A444" s="2" t="s">
        <v>443</v>
      </c>
    </row>
    <row r="445" spans="1:1" ht="15.75" customHeight="1" x14ac:dyDescent="0.45">
      <c r="A445" s="2" t="s">
        <v>444</v>
      </c>
    </row>
    <row r="446" spans="1:1" ht="15.75" customHeight="1" x14ac:dyDescent="0.45">
      <c r="A446" s="2" t="s">
        <v>445</v>
      </c>
    </row>
    <row r="447" spans="1:1" ht="15.75" customHeight="1" x14ac:dyDescent="0.45">
      <c r="A447" s="2" t="s">
        <v>446</v>
      </c>
    </row>
    <row r="448" spans="1:1" ht="15.75" customHeight="1" x14ac:dyDescent="0.45">
      <c r="A448" s="2" t="s">
        <v>447</v>
      </c>
    </row>
    <row r="449" spans="1:1" ht="15.75" customHeight="1" x14ac:dyDescent="0.45">
      <c r="A449" s="2" t="s">
        <v>448</v>
      </c>
    </row>
    <row r="450" spans="1:1" ht="15.75" customHeight="1" x14ac:dyDescent="0.45">
      <c r="A450" s="2" t="s">
        <v>449</v>
      </c>
    </row>
    <row r="451" spans="1:1" ht="15.75" customHeight="1" x14ac:dyDescent="0.45">
      <c r="A451" s="2" t="s">
        <v>450</v>
      </c>
    </row>
    <row r="452" spans="1:1" ht="15.75" customHeight="1" x14ac:dyDescent="0.45">
      <c r="A452" s="2" t="s">
        <v>451</v>
      </c>
    </row>
    <row r="453" spans="1:1" ht="15.75" customHeight="1" x14ac:dyDescent="0.45">
      <c r="A453" s="2" t="s">
        <v>452</v>
      </c>
    </row>
    <row r="454" spans="1:1" ht="15.75" customHeight="1" x14ac:dyDescent="0.45">
      <c r="A454" s="2" t="s">
        <v>453</v>
      </c>
    </row>
    <row r="455" spans="1:1" ht="15.75" customHeight="1" x14ac:dyDescent="0.45">
      <c r="A455" s="2" t="s">
        <v>454</v>
      </c>
    </row>
    <row r="456" spans="1:1" ht="15.75" customHeight="1" x14ac:dyDescent="0.45">
      <c r="A456" s="2" t="s">
        <v>455</v>
      </c>
    </row>
    <row r="457" spans="1:1" ht="15.75" customHeight="1" x14ac:dyDescent="0.45">
      <c r="A457" s="2" t="s">
        <v>456</v>
      </c>
    </row>
    <row r="458" spans="1:1" ht="15.75" customHeight="1" x14ac:dyDescent="0.45">
      <c r="A458" s="2" t="s">
        <v>457</v>
      </c>
    </row>
    <row r="459" spans="1:1" ht="15.75" customHeight="1" x14ac:dyDescent="0.45">
      <c r="A459" s="2" t="s">
        <v>458</v>
      </c>
    </row>
    <row r="460" spans="1:1" ht="15.75" customHeight="1" x14ac:dyDescent="0.45">
      <c r="A460" s="2" t="s">
        <v>459</v>
      </c>
    </row>
    <row r="461" spans="1:1" ht="15.75" customHeight="1" x14ac:dyDescent="0.45">
      <c r="A461" s="2" t="s">
        <v>460</v>
      </c>
    </row>
    <row r="462" spans="1:1" ht="15.75" customHeight="1" x14ac:dyDescent="0.45">
      <c r="A462" s="2" t="s">
        <v>461</v>
      </c>
    </row>
    <row r="463" spans="1:1" ht="15.75" customHeight="1" x14ac:dyDescent="0.45">
      <c r="A463" s="2" t="s">
        <v>462</v>
      </c>
    </row>
    <row r="464" spans="1:1" ht="15.75" customHeight="1" x14ac:dyDescent="0.45">
      <c r="A464" s="2" t="s">
        <v>463</v>
      </c>
    </row>
    <row r="465" spans="1:1" ht="15.75" customHeight="1" x14ac:dyDescent="0.45">
      <c r="A465" s="2" t="s">
        <v>464</v>
      </c>
    </row>
    <row r="466" spans="1:1" ht="15.75" customHeight="1" x14ac:dyDescent="0.45">
      <c r="A466" s="2" t="s">
        <v>465</v>
      </c>
    </row>
    <row r="467" spans="1:1" ht="15.75" customHeight="1" x14ac:dyDescent="0.45">
      <c r="A467" s="2" t="s">
        <v>466</v>
      </c>
    </row>
    <row r="468" spans="1:1" ht="15.75" customHeight="1" x14ac:dyDescent="0.45">
      <c r="A468" s="2" t="s">
        <v>467</v>
      </c>
    </row>
    <row r="469" spans="1:1" ht="15.75" customHeight="1" x14ac:dyDescent="0.45">
      <c r="A469" s="2" t="s">
        <v>468</v>
      </c>
    </row>
    <row r="470" spans="1:1" ht="15.75" customHeight="1" x14ac:dyDescent="0.45">
      <c r="A470" s="2" t="s">
        <v>469</v>
      </c>
    </row>
    <row r="471" spans="1:1" ht="15.75" customHeight="1" x14ac:dyDescent="0.45">
      <c r="A471" s="2" t="s">
        <v>470</v>
      </c>
    </row>
    <row r="472" spans="1:1" ht="15.75" customHeight="1" x14ac:dyDescent="0.45">
      <c r="A472" s="2" t="s">
        <v>471</v>
      </c>
    </row>
    <row r="473" spans="1:1" ht="15.75" customHeight="1" x14ac:dyDescent="0.45">
      <c r="A473" s="2" t="s">
        <v>472</v>
      </c>
    </row>
    <row r="474" spans="1:1" ht="15.75" customHeight="1" x14ac:dyDescent="0.45">
      <c r="A474" s="2" t="s">
        <v>473</v>
      </c>
    </row>
    <row r="475" spans="1:1" ht="15.75" customHeight="1" x14ac:dyDescent="0.45">
      <c r="A475" s="2" t="s">
        <v>474</v>
      </c>
    </row>
    <row r="476" spans="1:1" ht="15.75" customHeight="1" x14ac:dyDescent="0.45">
      <c r="A476" s="2" t="s">
        <v>475</v>
      </c>
    </row>
    <row r="477" spans="1:1" ht="15.75" customHeight="1" x14ac:dyDescent="0.45">
      <c r="A477" s="2" t="s">
        <v>476</v>
      </c>
    </row>
    <row r="478" spans="1:1" ht="15.75" customHeight="1" x14ac:dyDescent="0.45">
      <c r="A478" s="2" t="s">
        <v>477</v>
      </c>
    </row>
    <row r="479" spans="1:1" ht="15.75" customHeight="1" x14ac:dyDescent="0.45">
      <c r="A479" s="2" t="s">
        <v>478</v>
      </c>
    </row>
    <row r="480" spans="1:1" ht="15.75" customHeight="1" x14ac:dyDescent="0.45">
      <c r="A480" s="2" t="s">
        <v>479</v>
      </c>
    </row>
    <row r="481" spans="1:1" ht="15.75" customHeight="1" x14ac:dyDescent="0.45">
      <c r="A481" s="2" t="s">
        <v>480</v>
      </c>
    </row>
    <row r="482" spans="1:1" ht="15.75" customHeight="1" x14ac:dyDescent="0.45">
      <c r="A482" s="2" t="s">
        <v>481</v>
      </c>
    </row>
    <row r="483" spans="1:1" ht="15.75" customHeight="1" x14ac:dyDescent="0.45">
      <c r="A483" s="2" t="s">
        <v>482</v>
      </c>
    </row>
    <row r="484" spans="1:1" ht="15.75" customHeight="1" x14ac:dyDescent="0.45">
      <c r="A484" s="2" t="s">
        <v>483</v>
      </c>
    </row>
    <row r="485" spans="1:1" ht="15.75" customHeight="1" x14ac:dyDescent="0.45">
      <c r="A485" s="2" t="s">
        <v>484</v>
      </c>
    </row>
    <row r="486" spans="1:1" ht="15.75" customHeight="1" x14ac:dyDescent="0.45">
      <c r="A486" s="2" t="s">
        <v>485</v>
      </c>
    </row>
    <row r="487" spans="1:1" ht="15.75" customHeight="1" x14ac:dyDescent="0.45">
      <c r="A487" s="2" t="s">
        <v>486</v>
      </c>
    </row>
    <row r="488" spans="1:1" ht="15.75" customHeight="1" x14ac:dyDescent="0.45">
      <c r="A488" s="2" t="s">
        <v>487</v>
      </c>
    </row>
    <row r="489" spans="1:1" ht="15.75" customHeight="1" x14ac:dyDescent="0.45">
      <c r="A489" s="2" t="s">
        <v>488</v>
      </c>
    </row>
    <row r="490" spans="1:1" ht="15.75" customHeight="1" x14ac:dyDescent="0.45">
      <c r="A490" s="2" t="s">
        <v>489</v>
      </c>
    </row>
    <row r="491" spans="1:1" ht="15.75" customHeight="1" x14ac:dyDescent="0.45">
      <c r="A491" s="2" t="s">
        <v>490</v>
      </c>
    </row>
    <row r="492" spans="1:1" ht="15.75" customHeight="1" x14ac:dyDescent="0.45">
      <c r="A492" s="2" t="s">
        <v>491</v>
      </c>
    </row>
    <row r="493" spans="1:1" ht="15.75" customHeight="1" x14ac:dyDescent="0.45">
      <c r="A493" s="2" t="s">
        <v>492</v>
      </c>
    </row>
    <row r="494" spans="1:1" ht="15.75" customHeight="1" x14ac:dyDescent="0.45">
      <c r="A494" s="2" t="s">
        <v>493</v>
      </c>
    </row>
    <row r="495" spans="1:1" ht="15.75" customHeight="1" x14ac:dyDescent="0.45">
      <c r="A495" s="2" t="s">
        <v>494</v>
      </c>
    </row>
    <row r="496" spans="1:1" ht="15.75" customHeight="1" x14ac:dyDescent="0.45">
      <c r="A496" s="2" t="s">
        <v>495</v>
      </c>
    </row>
    <row r="497" spans="1:1" ht="15.75" customHeight="1" x14ac:dyDescent="0.45">
      <c r="A497" s="2" t="s">
        <v>496</v>
      </c>
    </row>
    <row r="498" spans="1:1" ht="15.75" customHeight="1" x14ac:dyDescent="0.45">
      <c r="A498" s="2" t="s">
        <v>497</v>
      </c>
    </row>
    <row r="499" spans="1:1" ht="15.75" customHeight="1" x14ac:dyDescent="0.45">
      <c r="A499" s="2" t="s">
        <v>498</v>
      </c>
    </row>
    <row r="500" spans="1:1" ht="15.75" customHeight="1" x14ac:dyDescent="0.45">
      <c r="A500" s="2" t="s">
        <v>499</v>
      </c>
    </row>
    <row r="501" spans="1:1" ht="15.75" customHeight="1" x14ac:dyDescent="0.45">
      <c r="A501" s="2" t="s">
        <v>500</v>
      </c>
    </row>
    <row r="502" spans="1:1" ht="15.75" customHeight="1" x14ac:dyDescent="0.45">
      <c r="A502" s="2" t="s">
        <v>501</v>
      </c>
    </row>
    <row r="503" spans="1:1" ht="15.75" customHeight="1" x14ac:dyDescent="0.45">
      <c r="A503" s="2" t="s">
        <v>502</v>
      </c>
    </row>
    <row r="504" spans="1:1" ht="15.75" customHeight="1" x14ac:dyDescent="0.45">
      <c r="A504" s="2" t="s">
        <v>503</v>
      </c>
    </row>
    <row r="505" spans="1:1" ht="15.75" customHeight="1" x14ac:dyDescent="0.45">
      <c r="A505" s="2" t="s">
        <v>504</v>
      </c>
    </row>
    <row r="506" spans="1:1" ht="15.75" customHeight="1" x14ac:dyDescent="0.45">
      <c r="A506" s="2" t="s">
        <v>505</v>
      </c>
    </row>
    <row r="507" spans="1:1" ht="15.75" customHeight="1" x14ac:dyDescent="0.45">
      <c r="A507" s="2" t="s">
        <v>506</v>
      </c>
    </row>
    <row r="508" spans="1:1" ht="15.75" customHeight="1" x14ac:dyDescent="0.45">
      <c r="A508" s="2" t="s">
        <v>507</v>
      </c>
    </row>
    <row r="509" spans="1:1" ht="15.75" customHeight="1" x14ac:dyDescent="0.45">
      <c r="A509" s="2" t="s">
        <v>508</v>
      </c>
    </row>
    <row r="510" spans="1:1" ht="15.75" customHeight="1" x14ac:dyDescent="0.45">
      <c r="A510" s="2" t="s">
        <v>509</v>
      </c>
    </row>
    <row r="511" spans="1:1" ht="15.75" customHeight="1" x14ac:dyDescent="0.45">
      <c r="A511" s="2" t="s">
        <v>510</v>
      </c>
    </row>
    <row r="512" spans="1:1" ht="15.75" customHeight="1" x14ac:dyDescent="0.45">
      <c r="A512" s="2" t="s">
        <v>511</v>
      </c>
    </row>
    <row r="513" spans="1:1" ht="15.75" customHeight="1" x14ac:dyDescent="0.45">
      <c r="A513" s="2" t="s">
        <v>512</v>
      </c>
    </row>
    <row r="514" spans="1:1" ht="15.75" customHeight="1" x14ac:dyDescent="0.45">
      <c r="A514" s="2" t="s">
        <v>513</v>
      </c>
    </row>
    <row r="515" spans="1:1" ht="15.75" customHeight="1" x14ac:dyDescent="0.45">
      <c r="A515" s="2" t="s">
        <v>514</v>
      </c>
    </row>
    <row r="516" spans="1:1" ht="15.75" customHeight="1" x14ac:dyDescent="0.45">
      <c r="A516" s="2" t="s">
        <v>515</v>
      </c>
    </row>
    <row r="517" spans="1:1" ht="15.75" customHeight="1" x14ac:dyDescent="0.45">
      <c r="A517" s="2" t="s">
        <v>516</v>
      </c>
    </row>
    <row r="518" spans="1:1" ht="15.75" customHeight="1" x14ac:dyDescent="0.45">
      <c r="A518" s="2" t="s">
        <v>517</v>
      </c>
    </row>
    <row r="519" spans="1:1" ht="15.75" customHeight="1" x14ac:dyDescent="0.45">
      <c r="A519" s="2" t="s">
        <v>518</v>
      </c>
    </row>
    <row r="520" spans="1:1" ht="15.75" customHeight="1" x14ac:dyDescent="0.45">
      <c r="A520" s="2" t="s">
        <v>519</v>
      </c>
    </row>
    <row r="521" spans="1:1" ht="15.75" customHeight="1" x14ac:dyDescent="0.45">
      <c r="A521" s="2" t="s">
        <v>520</v>
      </c>
    </row>
    <row r="522" spans="1:1" ht="15.75" customHeight="1" x14ac:dyDescent="0.45">
      <c r="A522" s="2" t="s">
        <v>521</v>
      </c>
    </row>
    <row r="523" spans="1:1" ht="15.75" customHeight="1" x14ac:dyDescent="0.45">
      <c r="A523" s="2" t="s">
        <v>522</v>
      </c>
    </row>
    <row r="524" spans="1:1" ht="15.75" customHeight="1" x14ac:dyDescent="0.45">
      <c r="A524" s="2" t="s">
        <v>523</v>
      </c>
    </row>
    <row r="525" spans="1:1" ht="15.75" customHeight="1" x14ac:dyDescent="0.45">
      <c r="A525" s="2" t="s">
        <v>524</v>
      </c>
    </row>
    <row r="526" spans="1:1" ht="15.75" customHeight="1" x14ac:dyDescent="0.45">
      <c r="A526" s="2" t="s">
        <v>525</v>
      </c>
    </row>
    <row r="527" spans="1:1" ht="15.75" customHeight="1" x14ac:dyDescent="0.45">
      <c r="A527" s="2" t="s">
        <v>526</v>
      </c>
    </row>
    <row r="528" spans="1:1" ht="15.75" customHeight="1" x14ac:dyDescent="0.45">
      <c r="A528" s="2" t="s">
        <v>527</v>
      </c>
    </row>
    <row r="529" spans="1:1" ht="15.75" customHeight="1" x14ac:dyDescent="0.45">
      <c r="A529" s="2" t="s">
        <v>528</v>
      </c>
    </row>
    <row r="530" spans="1:1" ht="15.75" customHeight="1" x14ac:dyDescent="0.45">
      <c r="A530" s="2" t="s">
        <v>529</v>
      </c>
    </row>
    <row r="531" spans="1:1" ht="15.75" customHeight="1" x14ac:dyDescent="0.45">
      <c r="A531" s="2" t="s">
        <v>530</v>
      </c>
    </row>
    <row r="532" spans="1:1" ht="15.75" customHeight="1" x14ac:dyDescent="0.45">
      <c r="A532" s="2" t="s">
        <v>531</v>
      </c>
    </row>
    <row r="533" spans="1:1" ht="15.75" customHeight="1" x14ac:dyDescent="0.45">
      <c r="A533" s="2" t="s">
        <v>532</v>
      </c>
    </row>
    <row r="534" spans="1:1" ht="15.75" customHeight="1" x14ac:dyDescent="0.45">
      <c r="A534" s="2" t="s">
        <v>533</v>
      </c>
    </row>
    <row r="535" spans="1:1" ht="15.75" customHeight="1" x14ac:dyDescent="0.45">
      <c r="A535" s="2" t="s">
        <v>534</v>
      </c>
    </row>
    <row r="536" spans="1:1" ht="15.75" customHeight="1" x14ac:dyDescent="0.45">
      <c r="A536" s="2" t="s">
        <v>535</v>
      </c>
    </row>
    <row r="537" spans="1:1" ht="15.75" customHeight="1" x14ac:dyDescent="0.45">
      <c r="A537" s="2" t="s">
        <v>536</v>
      </c>
    </row>
    <row r="538" spans="1:1" ht="15.75" customHeight="1" x14ac:dyDescent="0.45">
      <c r="A538" s="2" t="s">
        <v>537</v>
      </c>
    </row>
    <row r="539" spans="1:1" ht="15.75" customHeight="1" x14ac:dyDescent="0.45">
      <c r="A539" s="2" t="s">
        <v>538</v>
      </c>
    </row>
    <row r="540" spans="1:1" ht="15.75" customHeight="1" x14ac:dyDescent="0.45">
      <c r="A540" s="2" t="s">
        <v>539</v>
      </c>
    </row>
    <row r="541" spans="1:1" ht="15.75" customHeight="1" x14ac:dyDescent="0.45">
      <c r="A541" s="2" t="s">
        <v>540</v>
      </c>
    </row>
    <row r="542" spans="1:1" ht="15.75" customHeight="1" x14ac:dyDescent="0.45">
      <c r="A542" s="2" t="s">
        <v>541</v>
      </c>
    </row>
    <row r="543" spans="1:1" ht="15.75" customHeight="1" x14ac:dyDescent="0.45">
      <c r="A543" s="2" t="s">
        <v>542</v>
      </c>
    </row>
    <row r="544" spans="1:1" ht="15.75" customHeight="1" x14ac:dyDescent="0.45">
      <c r="A544" s="2" t="s">
        <v>543</v>
      </c>
    </row>
    <row r="545" spans="1:1" ht="15.75" customHeight="1" x14ac:dyDescent="0.45">
      <c r="A545" s="2" t="s">
        <v>544</v>
      </c>
    </row>
    <row r="546" spans="1:1" ht="15.75" customHeight="1" x14ac:dyDescent="0.45">
      <c r="A546" s="2" t="s">
        <v>545</v>
      </c>
    </row>
    <row r="547" spans="1:1" ht="15.75" customHeight="1" x14ac:dyDescent="0.45">
      <c r="A547" s="2" t="s">
        <v>546</v>
      </c>
    </row>
    <row r="548" spans="1:1" ht="15.75" customHeight="1" x14ac:dyDescent="0.45">
      <c r="A548" s="2" t="s">
        <v>547</v>
      </c>
    </row>
    <row r="549" spans="1:1" ht="15.75" customHeight="1" x14ac:dyDescent="0.45">
      <c r="A549" s="2" t="s">
        <v>548</v>
      </c>
    </row>
    <row r="550" spans="1:1" ht="15.75" customHeight="1" x14ac:dyDescent="0.45">
      <c r="A550" s="2" t="s">
        <v>549</v>
      </c>
    </row>
    <row r="551" spans="1:1" ht="15.75" customHeight="1" x14ac:dyDescent="0.45">
      <c r="A551" s="2" t="s">
        <v>550</v>
      </c>
    </row>
    <row r="552" spans="1:1" ht="15.75" customHeight="1" x14ac:dyDescent="0.45">
      <c r="A552" s="2" t="s">
        <v>551</v>
      </c>
    </row>
    <row r="553" spans="1:1" ht="15.75" customHeight="1" x14ac:dyDescent="0.45">
      <c r="A553" s="2" t="s">
        <v>552</v>
      </c>
    </row>
    <row r="554" spans="1:1" ht="15.75" customHeight="1" x14ac:dyDescent="0.45">
      <c r="A554" s="2" t="s">
        <v>553</v>
      </c>
    </row>
    <row r="555" spans="1:1" ht="15.75" customHeight="1" x14ac:dyDescent="0.45">
      <c r="A555" s="2" t="s">
        <v>554</v>
      </c>
    </row>
    <row r="556" spans="1:1" ht="15.75" customHeight="1" x14ac:dyDescent="0.45">
      <c r="A556" s="2" t="s">
        <v>555</v>
      </c>
    </row>
    <row r="557" spans="1:1" ht="15.75" customHeight="1" x14ac:dyDescent="0.45">
      <c r="A557" s="2" t="s">
        <v>556</v>
      </c>
    </row>
    <row r="558" spans="1:1" ht="15.75" customHeight="1" x14ac:dyDescent="0.45">
      <c r="A558" s="2" t="s">
        <v>557</v>
      </c>
    </row>
    <row r="559" spans="1:1" ht="15.75" customHeight="1" x14ac:dyDescent="0.45">
      <c r="A559" s="2" t="s">
        <v>558</v>
      </c>
    </row>
    <row r="560" spans="1:1" ht="15.75" customHeight="1" x14ac:dyDescent="0.45">
      <c r="A560" s="2" t="s">
        <v>559</v>
      </c>
    </row>
    <row r="561" spans="1:1" ht="15.75" customHeight="1" x14ac:dyDescent="0.45">
      <c r="A561" s="2" t="s">
        <v>560</v>
      </c>
    </row>
    <row r="562" spans="1:1" ht="15.75" customHeight="1" x14ac:dyDescent="0.45">
      <c r="A562" s="2" t="s">
        <v>561</v>
      </c>
    </row>
    <row r="563" spans="1:1" ht="15.75" customHeight="1" x14ac:dyDescent="0.45">
      <c r="A563" s="2" t="s">
        <v>562</v>
      </c>
    </row>
    <row r="564" spans="1:1" ht="15.75" customHeight="1" x14ac:dyDescent="0.45">
      <c r="A564" s="2" t="s">
        <v>563</v>
      </c>
    </row>
    <row r="565" spans="1:1" ht="15.75" customHeight="1" x14ac:dyDescent="0.45">
      <c r="A565" s="2" t="s">
        <v>564</v>
      </c>
    </row>
    <row r="566" spans="1:1" ht="15.75" customHeight="1" x14ac:dyDescent="0.45">
      <c r="A566" s="2" t="s">
        <v>565</v>
      </c>
    </row>
    <row r="567" spans="1:1" ht="15.75" customHeight="1" x14ac:dyDescent="0.45">
      <c r="A567" s="2" t="s">
        <v>566</v>
      </c>
    </row>
    <row r="568" spans="1:1" ht="15.75" customHeight="1" x14ac:dyDescent="0.45">
      <c r="A568" s="2" t="s">
        <v>567</v>
      </c>
    </row>
    <row r="569" spans="1:1" ht="15.75" customHeight="1" x14ac:dyDescent="0.45">
      <c r="A569" s="2" t="s">
        <v>568</v>
      </c>
    </row>
    <row r="570" spans="1:1" ht="15.75" customHeight="1" x14ac:dyDescent="0.45">
      <c r="A570" s="2" t="s">
        <v>569</v>
      </c>
    </row>
    <row r="571" spans="1:1" ht="15.75" customHeight="1" x14ac:dyDescent="0.45">
      <c r="A571" s="2" t="s">
        <v>570</v>
      </c>
    </row>
    <row r="572" spans="1:1" ht="15.75" customHeight="1" x14ac:dyDescent="0.45">
      <c r="A572" s="2" t="s">
        <v>571</v>
      </c>
    </row>
    <row r="573" spans="1:1" ht="15.75" customHeight="1" x14ac:dyDescent="0.45">
      <c r="A573" s="2" t="s">
        <v>572</v>
      </c>
    </row>
    <row r="574" spans="1:1" ht="15.75" customHeight="1" x14ac:dyDescent="0.45">
      <c r="A574" s="2" t="s">
        <v>573</v>
      </c>
    </row>
    <row r="575" spans="1:1" ht="15.75" customHeight="1" x14ac:dyDescent="0.45">
      <c r="A575" s="2" t="s">
        <v>574</v>
      </c>
    </row>
    <row r="576" spans="1:1" ht="15.75" customHeight="1" x14ac:dyDescent="0.45">
      <c r="A576" s="2" t="s">
        <v>575</v>
      </c>
    </row>
    <row r="577" spans="1:1" ht="15.75" customHeight="1" x14ac:dyDescent="0.45">
      <c r="A577" s="2" t="s">
        <v>576</v>
      </c>
    </row>
    <row r="578" spans="1:1" ht="15.75" customHeight="1" x14ac:dyDescent="0.45">
      <c r="A578" s="2" t="s">
        <v>577</v>
      </c>
    </row>
    <row r="579" spans="1:1" ht="15.75" customHeight="1" x14ac:dyDescent="0.45">
      <c r="A579" s="2" t="s">
        <v>578</v>
      </c>
    </row>
    <row r="580" spans="1:1" ht="15.75" customHeight="1" x14ac:dyDescent="0.45">
      <c r="A580" s="2" t="s">
        <v>579</v>
      </c>
    </row>
    <row r="581" spans="1:1" ht="15.75" customHeight="1" x14ac:dyDescent="0.45">
      <c r="A581" s="2" t="s">
        <v>580</v>
      </c>
    </row>
    <row r="582" spans="1:1" ht="15.75" customHeight="1" x14ac:dyDescent="0.45">
      <c r="A582" s="2" t="s">
        <v>581</v>
      </c>
    </row>
    <row r="583" spans="1:1" ht="15.75" customHeight="1" x14ac:dyDescent="0.45">
      <c r="A583" s="2" t="s">
        <v>582</v>
      </c>
    </row>
    <row r="584" spans="1:1" ht="15.75" customHeight="1" x14ac:dyDescent="0.45">
      <c r="A584" s="2" t="s">
        <v>583</v>
      </c>
    </row>
    <row r="585" spans="1:1" ht="15.75" customHeight="1" x14ac:dyDescent="0.45">
      <c r="A585" s="2" t="s">
        <v>584</v>
      </c>
    </row>
    <row r="586" spans="1:1" ht="15.75" customHeight="1" x14ac:dyDescent="0.45">
      <c r="A586" s="2" t="s">
        <v>585</v>
      </c>
    </row>
    <row r="587" spans="1:1" ht="15.75" customHeight="1" x14ac:dyDescent="0.45">
      <c r="A587" s="2" t="s">
        <v>586</v>
      </c>
    </row>
    <row r="588" spans="1:1" ht="15.75" customHeight="1" x14ac:dyDescent="0.45">
      <c r="A588" s="2" t="s">
        <v>587</v>
      </c>
    </row>
    <row r="589" spans="1:1" ht="15.75" customHeight="1" x14ac:dyDescent="0.45">
      <c r="A589" s="2" t="s">
        <v>588</v>
      </c>
    </row>
    <row r="590" spans="1:1" ht="15.75" customHeight="1" x14ac:dyDescent="0.45">
      <c r="A590" s="2" t="s">
        <v>589</v>
      </c>
    </row>
    <row r="591" spans="1:1" ht="15.75" customHeight="1" x14ac:dyDescent="0.45">
      <c r="A591" s="2" t="s">
        <v>590</v>
      </c>
    </row>
    <row r="592" spans="1:1" ht="15.75" customHeight="1" x14ac:dyDescent="0.45">
      <c r="A592" s="2" t="s">
        <v>591</v>
      </c>
    </row>
    <row r="593" spans="1:1" ht="15.75" customHeight="1" x14ac:dyDescent="0.45">
      <c r="A593" s="2" t="s">
        <v>592</v>
      </c>
    </row>
    <row r="594" spans="1:1" ht="15.75" customHeight="1" x14ac:dyDescent="0.45">
      <c r="A594" s="2" t="s">
        <v>593</v>
      </c>
    </row>
    <row r="595" spans="1:1" ht="15.75" customHeight="1" x14ac:dyDescent="0.45">
      <c r="A595" s="2" t="s">
        <v>594</v>
      </c>
    </row>
    <row r="596" spans="1:1" ht="15.75" customHeight="1" x14ac:dyDescent="0.45">
      <c r="A596" s="2" t="s">
        <v>595</v>
      </c>
    </row>
    <row r="597" spans="1:1" ht="15.75" customHeight="1" x14ac:dyDescent="0.45">
      <c r="A597" s="2" t="s">
        <v>596</v>
      </c>
    </row>
    <row r="598" spans="1:1" ht="15.75" customHeight="1" x14ac:dyDescent="0.45">
      <c r="A598" s="2" t="s">
        <v>597</v>
      </c>
    </row>
    <row r="599" spans="1:1" ht="15.75" customHeight="1" x14ac:dyDescent="0.45">
      <c r="A599" s="2" t="s">
        <v>598</v>
      </c>
    </row>
    <row r="600" spans="1:1" ht="15.75" customHeight="1" x14ac:dyDescent="0.45">
      <c r="A600" s="2" t="s">
        <v>599</v>
      </c>
    </row>
    <row r="601" spans="1:1" ht="15.75" customHeight="1" x14ac:dyDescent="0.45">
      <c r="A601" s="2" t="s">
        <v>600</v>
      </c>
    </row>
    <row r="602" spans="1:1" ht="15.75" customHeight="1" x14ac:dyDescent="0.45">
      <c r="A602" s="2" t="s">
        <v>601</v>
      </c>
    </row>
    <row r="603" spans="1:1" ht="15.75" customHeight="1" x14ac:dyDescent="0.45">
      <c r="A603" s="2" t="s">
        <v>602</v>
      </c>
    </row>
    <row r="604" spans="1:1" ht="15.75" customHeight="1" x14ac:dyDescent="0.45">
      <c r="A604" s="2" t="s">
        <v>603</v>
      </c>
    </row>
    <row r="605" spans="1:1" ht="15.75" customHeight="1" x14ac:dyDescent="0.45">
      <c r="A605" s="2" t="s">
        <v>604</v>
      </c>
    </row>
    <row r="606" spans="1:1" ht="15.75" customHeight="1" x14ac:dyDescent="0.45">
      <c r="A606" s="2" t="s">
        <v>605</v>
      </c>
    </row>
    <row r="607" spans="1:1" ht="15.75" customHeight="1" x14ac:dyDescent="0.45">
      <c r="A607" s="2" t="s">
        <v>606</v>
      </c>
    </row>
    <row r="608" spans="1:1" ht="15.75" customHeight="1" x14ac:dyDescent="0.45">
      <c r="A608" s="2" t="s">
        <v>607</v>
      </c>
    </row>
    <row r="609" spans="1:1" ht="15.75" customHeight="1" x14ac:dyDescent="0.45">
      <c r="A609" s="2" t="s">
        <v>608</v>
      </c>
    </row>
    <row r="610" spans="1:1" ht="15.75" customHeight="1" x14ac:dyDescent="0.45">
      <c r="A610" s="2" t="s">
        <v>609</v>
      </c>
    </row>
    <row r="611" spans="1:1" ht="15.75" customHeight="1" x14ac:dyDescent="0.45">
      <c r="A611" s="2" t="s">
        <v>610</v>
      </c>
    </row>
    <row r="612" spans="1:1" ht="15.75" customHeight="1" x14ac:dyDescent="0.45">
      <c r="A612" s="2" t="s">
        <v>611</v>
      </c>
    </row>
    <row r="613" spans="1:1" ht="15.75" customHeight="1" x14ac:dyDescent="0.45">
      <c r="A613" s="2" t="s">
        <v>612</v>
      </c>
    </row>
    <row r="614" spans="1:1" ht="15.75" customHeight="1" x14ac:dyDescent="0.45">
      <c r="A614" s="2" t="s">
        <v>613</v>
      </c>
    </row>
    <row r="615" spans="1:1" ht="15.75" customHeight="1" x14ac:dyDescent="0.45">
      <c r="A615" s="2" t="s">
        <v>614</v>
      </c>
    </row>
    <row r="616" spans="1:1" ht="15.75" customHeight="1" x14ac:dyDescent="0.45">
      <c r="A616" s="2" t="s">
        <v>615</v>
      </c>
    </row>
    <row r="617" spans="1:1" ht="15.75" customHeight="1" x14ac:dyDescent="0.45">
      <c r="A617" s="2" t="s">
        <v>616</v>
      </c>
    </row>
    <row r="618" spans="1:1" ht="15.75" customHeight="1" x14ac:dyDescent="0.45">
      <c r="A618" s="2" t="s">
        <v>617</v>
      </c>
    </row>
    <row r="619" spans="1:1" ht="15.75" customHeight="1" x14ac:dyDescent="0.45">
      <c r="A619" s="2" t="s">
        <v>618</v>
      </c>
    </row>
    <row r="620" spans="1:1" ht="15.75" customHeight="1" x14ac:dyDescent="0.45">
      <c r="A620" s="2" t="s">
        <v>619</v>
      </c>
    </row>
    <row r="621" spans="1:1" ht="15.75" customHeight="1" x14ac:dyDescent="0.45">
      <c r="A621" s="2" t="s">
        <v>620</v>
      </c>
    </row>
    <row r="622" spans="1:1" ht="15.75" customHeight="1" x14ac:dyDescent="0.45">
      <c r="A622" s="2" t="s">
        <v>621</v>
      </c>
    </row>
    <row r="623" spans="1:1" ht="15.75" customHeight="1" x14ac:dyDescent="0.45">
      <c r="A623" s="2" t="s">
        <v>622</v>
      </c>
    </row>
    <row r="624" spans="1:1" ht="15.75" customHeight="1" x14ac:dyDescent="0.45">
      <c r="A624" s="2" t="s">
        <v>623</v>
      </c>
    </row>
    <row r="625" spans="1:1" ht="15.75" customHeight="1" x14ac:dyDescent="0.45">
      <c r="A625" s="2" t="s">
        <v>624</v>
      </c>
    </row>
    <row r="626" spans="1:1" ht="15.75" customHeight="1" x14ac:dyDescent="0.45">
      <c r="A626" s="2" t="s">
        <v>625</v>
      </c>
    </row>
    <row r="627" spans="1:1" ht="15.75" customHeight="1" x14ac:dyDescent="0.45">
      <c r="A627" s="2" t="s">
        <v>626</v>
      </c>
    </row>
    <row r="628" spans="1:1" ht="15.75" customHeight="1" x14ac:dyDescent="0.45">
      <c r="A628" s="2" t="s">
        <v>627</v>
      </c>
    </row>
    <row r="629" spans="1:1" ht="15.75" customHeight="1" x14ac:dyDescent="0.45">
      <c r="A629" s="2" t="s">
        <v>628</v>
      </c>
    </row>
    <row r="630" spans="1:1" ht="15.75" customHeight="1" x14ac:dyDescent="0.45">
      <c r="A630" s="2" t="s">
        <v>629</v>
      </c>
    </row>
    <row r="631" spans="1:1" ht="15.75" customHeight="1" x14ac:dyDescent="0.45">
      <c r="A631" s="2" t="s">
        <v>630</v>
      </c>
    </row>
    <row r="632" spans="1:1" ht="15.75" customHeight="1" x14ac:dyDescent="0.45">
      <c r="A632" s="2" t="s">
        <v>631</v>
      </c>
    </row>
    <row r="633" spans="1:1" ht="15.75" customHeight="1" x14ac:dyDescent="0.45">
      <c r="A633" s="2" t="s">
        <v>632</v>
      </c>
    </row>
    <row r="634" spans="1:1" ht="15.75" customHeight="1" x14ac:dyDescent="0.45">
      <c r="A634" s="2" t="s">
        <v>633</v>
      </c>
    </row>
    <row r="635" spans="1:1" ht="15.75" customHeight="1" x14ac:dyDescent="0.45">
      <c r="A635" s="2" t="s">
        <v>634</v>
      </c>
    </row>
    <row r="636" spans="1:1" ht="15.75" customHeight="1" x14ac:dyDescent="0.45">
      <c r="A636" s="2" t="s">
        <v>635</v>
      </c>
    </row>
    <row r="637" spans="1:1" ht="15.75" customHeight="1" x14ac:dyDescent="0.45">
      <c r="A637" s="2" t="s">
        <v>636</v>
      </c>
    </row>
    <row r="638" spans="1:1" ht="15.75" customHeight="1" x14ac:dyDescent="0.45">
      <c r="A638" s="2" t="s">
        <v>637</v>
      </c>
    </row>
    <row r="639" spans="1:1" ht="15.75" customHeight="1" x14ac:dyDescent="0.45">
      <c r="A639" s="2" t="s">
        <v>638</v>
      </c>
    </row>
    <row r="640" spans="1:1" ht="15.75" customHeight="1" x14ac:dyDescent="0.45">
      <c r="A640" s="2" t="s">
        <v>639</v>
      </c>
    </row>
    <row r="641" spans="1:1" ht="15.75" customHeight="1" x14ac:dyDescent="0.45">
      <c r="A641" s="2" t="s">
        <v>640</v>
      </c>
    </row>
    <row r="642" spans="1:1" ht="15.75" customHeight="1" x14ac:dyDescent="0.45">
      <c r="A642" s="2" t="s">
        <v>641</v>
      </c>
    </row>
    <row r="643" spans="1:1" ht="15.75" customHeight="1" x14ac:dyDescent="0.45">
      <c r="A643" s="2" t="s">
        <v>642</v>
      </c>
    </row>
    <row r="644" spans="1:1" ht="15.75" customHeight="1" x14ac:dyDescent="0.45">
      <c r="A644" s="2" t="s">
        <v>643</v>
      </c>
    </row>
    <row r="645" spans="1:1" ht="15.75" customHeight="1" x14ac:dyDescent="0.45">
      <c r="A645" s="2" t="s">
        <v>644</v>
      </c>
    </row>
    <row r="646" spans="1:1" ht="15.75" customHeight="1" x14ac:dyDescent="0.45">
      <c r="A646" s="2" t="s">
        <v>645</v>
      </c>
    </row>
    <row r="647" spans="1:1" ht="15.75" customHeight="1" x14ac:dyDescent="0.45">
      <c r="A647" s="2" t="s">
        <v>646</v>
      </c>
    </row>
    <row r="648" spans="1:1" ht="15.75" customHeight="1" x14ac:dyDescent="0.45">
      <c r="A648" s="2" t="s">
        <v>647</v>
      </c>
    </row>
    <row r="649" spans="1:1" ht="15.75" customHeight="1" x14ac:dyDescent="0.45">
      <c r="A649" s="2" t="s">
        <v>648</v>
      </c>
    </row>
    <row r="650" spans="1:1" ht="15.75" customHeight="1" x14ac:dyDescent="0.45">
      <c r="A650" s="2" t="s">
        <v>649</v>
      </c>
    </row>
    <row r="651" spans="1:1" ht="15.75" customHeight="1" x14ac:dyDescent="0.45">
      <c r="A651" s="2" t="s">
        <v>650</v>
      </c>
    </row>
    <row r="652" spans="1:1" ht="15.75" customHeight="1" x14ac:dyDescent="0.45">
      <c r="A652" s="2" t="s">
        <v>651</v>
      </c>
    </row>
    <row r="653" spans="1:1" ht="15.75" customHeight="1" x14ac:dyDescent="0.45">
      <c r="A653" s="2" t="s">
        <v>652</v>
      </c>
    </row>
    <row r="654" spans="1:1" ht="15.75" customHeight="1" x14ac:dyDescent="0.45">
      <c r="A654" s="2" t="s">
        <v>653</v>
      </c>
    </row>
    <row r="655" spans="1:1" ht="15.75" customHeight="1" x14ac:dyDescent="0.45">
      <c r="A655" s="2" t="s">
        <v>654</v>
      </c>
    </row>
    <row r="656" spans="1:1" ht="15.75" customHeight="1" x14ac:dyDescent="0.45">
      <c r="A656" s="2" t="s">
        <v>655</v>
      </c>
    </row>
    <row r="657" spans="1:1" ht="15.75" customHeight="1" x14ac:dyDescent="0.45">
      <c r="A657" s="2" t="s">
        <v>656</v>
      </c>
    </row>
    <row r="658" spans="1:1" ht="15.75" customHeight="1" x14ac:dyDescent="0.45">
      <c r="A658" s="2" t="s">
        <v>657</v>
      </c>
    </row>
    <row r="659" spans="1:1" ht="15.75" customHeight="1" x14ac:dyDescent="0.45">
      <c r="A659" s="2" t="s">
        <v>658</v>
      </c>
    </row>
    <row r="660" spans="1:1" ht="15.75" customHeight="1" x14ac:dyDescent="0.45">
      <c r="A660" s="2" t="s">
        <v>659</v>
      </c>
    </row>
    <row r="661" spans="1:1" ht="15.75" customHeight="1" x14ac:dyDescent="0.45">
      <c r="A661" s="2" t="s">
        <v>660</v>
      </c>
    </row>
    <row r="662" spans="1:1" ht="15.75" customHeight="1" x14ac:dyDescent="0.45">
      <c r="A662" s="2" t="s">
        <v>661</v>
      </c>
    </row>
    <row r="663" spans="1:1" ht="15.75" customHeight="1" x14ac:dyDescent="0.45">
      <c r="A663" s="2" t="s">
        <v>662</v>
      </c>
    </row>
    <row r="664" spans="1:1" ht="15.75" customHeight="1" x14ac:dyDescent="0.45">
      <c r="A664" s="2" t="s">
        <v>663</v>
      </c>
    </row>
    <row r="665" spans="1:1" ht="15.75" customHeight="1" x14ac:dyDescent="0.45">
      <c r="A665" s="2" t="s">
        <v>664</v>
      </c>
    </row>
    <row r="666" spans="1:1" ht="15.75" customHeight="1" x14ac:dyDescent="0.45">
      <c r="A666" s="2" t="s">
        <v>665</v>
      </c>
    </row>
    <row r="667" spans="1:1" ht="15.75" customHeight="1" x14ac:dyDescent="0.45">
      <c r="A667" s="2" t="s">
        <v>666</v>
      </c>
    </row>
    <row r="668" spans="1:1" ht="15.75" customHeight="1" x14ac:dyDescent="0.45">
      <c r="A668" s="2" t="s">
        <v>667</v>
      </c>
    </row>
    <row r="669" spans="1:1" ht="15.75" customHeight="1" x14ac:dyDescent="0.45">
      <c r="A669" s="2" t="s">
        <v>668</v>
      </c>
    </row>
    <row r="670" spans="1:1" ht="15.75" customHeight="1" x14ac:dyDescent="0.45">
      <c r="A670" s="2" t="s">
        <v>669</v>
      </c>
    </row>
    <row r="671" spans="1:1" ht="15.75" customHeight="1" x14ac:dyDescent="0.45">
      <c r="A671" s="2" t="s">
        <v>670</v>
      </c>
    </row>
    <row r="672" spans="1:1" ht="15.75" customHeight="1" x14ac:dyDescent="0.45">
      <c r="A672" s="2" t="s">
        <v>671</v>
      </c>
    </row>
    <row r="673" spans="1:1" ht="15.75" customHeight="1" x14ac:dyDescent="0.45">
      <c r="A673" s="2" t="s">
        <v>672</v>
      </c>
    </row>
    <row r="674" spans="1:1" ht="15.75" customHeight="1" x14ac:dyDescent="0.45">
      <c r="A674" s="2" t="s">
        <v>673</v>
      </c>
    </row>
    <row r="675" spans="1:1" ht="15.75" customHeight="1" x14ac:dyDescent="0.45">
      <c r="A675" s="2" t="s">
        <v>674</v>
      </c>
    </row>
    <row r="676" spans="1:1" ht="15.75" customHeight="1" x14ac:dyDescent="0.45">
      <c r="A676" s="2" t="s">
        <v>675</v>
      </c>
    </row>
    <row r="677" spans="1:1" ht="15.75" customHeight="1" x14ac:dyDescent="0.45">
      <c r="A677" s="2" t="s">
        <v>676</v>
      </c>
    </row>
    <row r="678" spans="1:1" ht="15.75" customHeight="1" x14ac:dyDescent="0.45">
      <c r="A678" s="2" t="s">
        <v>677</v>
      </c>
    </row>
    <row r="679" spans="1:1" ht="15.75" customHeight="1" x14ac:dyDescent="0.45">
      <c r="A679" s="2" t="s">
        <v>678</v>
      </c>
    </row>
    <row r="680" spans="1:1" ht="15.75" customHeight="1" x14ac:dyDescent="0.45">
      <c r="A680" s="2" t="s">
        <v>679</v>
      </c>
    </row>
    <row r="681" spans="1:1" ht="15.75" customHeight="1" x14ac:dyDescent="0.45">
      <c r="A681" s="2" t="s">
        <v>680</v>
      </c>
    </row>
    <row r="682" spans="1:1" ht="15.75" customHeight="1" x14ac:dyDescent="0.45">
      <c r="A682" s="2" t="s">
        <v>681</v>
      </c>
    </row>
    <row r="683" spans="1:1" ht="15.75" customHeight="1" x14ac:dyDescent="0.45">
      <c r="A683" s="2" t="s">
        <v>682</v>
      </c>
    </row>
    <row r="684" spans="1:1" ht="15.75" customHeight="1" x14ac:dyDescent="0.45">
      <c r="A684" s="2" t="s">
        <v>683</v>
      </c>
    </row>
    <row r="685" spans="1:1" ht="15.75" customHeight="1" x14ac:dyDescent="0.45">
      <c r="A685" s="2" t="s">
        <v>684</v>
      </c>
    </row>
    <row r="686" spans="1:1" ht="15.75" customHeight="1" x14ac:dyDescent="0.45">
      <c r="A686" s="2" t="s">
        <v>685</v>
      </c>
    </row>
    <row r="687" spans="1:1" ht="15.75" customHeight="1" x14ac:dyDescent="0.45">
      <c r="A687" s="2" t="s">
        <v>686</v>
      </c>
    </row>
    <row r="688" spans="1:1" ht="15.75" customHeight="1" x14ac:dyDescent="0.45">
      <c r="A688" s="2" t="s">
        <v>687</v>
      </c>
    </row>
    <row r="689" spans="1:1" ht="15.75" customHeight="1" x14ac:dyDescent="0.45">
      <c r="A689" s="2" t="s">
        <v>688</v>
      </c>
    </row>
    <row r="690" spans="1:1" ht="15.75" customHeight="1" x14ac:dyDescent="0.45">
      <c r="A690" s="2" t="s">
        <v>689</v>
      </c>
    </row>
    <row r="691" spans="1:1" ht="15.75" customHeight="1" x14ac:dyDescent="0.45">
      <c r="A691" s="2" t="s">
        <v>690</v>
      </c>
    </row>
    <row r="692" spans="1:1" ht="15.75" customHeight="1" x14ac:dyDescent="0.45">
      <c r="A692" s="2" t="s">
        <v>691</v>
      </c>
    </row>
    <row r="693" spans="1:1" ht="15.75" customHeight="1" x14ac:dyDescent="0.45">
      <c r="A693" s="2" t="s">
        <v>692</v>
      </c>
    </row>
    <row r="694" spans="1:1" ht="15.75" customHeight="1" x14ac:dyDescent="0.45">
      <c r="A694" s="2" t="s">
        <v>693</v>
      </c>
    </row>
    <row r="695" spans="1:1" ht="15.75" customHeight="1" x14ac:dyDescent="0.45">
      <c r="A695" s="2" t="s">
        <v>694</v>
      </c>
    </row>
    <row r="696" spans="1:1" ht="15.75" customHeight="1" x14ac:dyDescent="0.45">
      <c r="A696" s="2" t="s">
        <v>695</v>
      </c>
    </row>
    <row r="697" spans="1:1" ht="15.75" customHeight="1" x14ac:dyDescent="0.45">
      <c r="A697" s="2" t="s">
        <v>696</v>
      </c>
    </row>
    <row r="698" spans="1:1" ht="15.75" customHeight="1" x14ac:dyDescent="0.45">
      <c r="A698" s="2" t="s">
        <v>697</v>
      </c>
    </row>
    <row r="699" spans="1:1" ht="15.75" customHeight="1" x14ac:dyDescent="0.45">
      <c r="A699" s="2" t="s">
        <v>698</v>
      </c>
    </row>
    <row r="700" spans="1:1" ht="15.75" customHeight="1" x14ac:dyDescent="0.45">
      <c r="A700" s="2" t="s">
        <v>699</v>
      </c>
    </row>
    <row r="701" spans="1:1" ht="15.75" customHeight="1" x14ac:dyDescent="0.45">
      <c r="A701" s="2" t="s">
        <v>700</v>
      </c>
    </row>
    <row r="702" spans="1:1" ht="15.75" customHeight="1" x14ac:dyDescent="0.45">
      <c r="A702" s="2" t="s">
        <v>701</v>
      </c>
    </row>
    <row r="703" spans="1:1" ht="15.75" customHeight="1" x14ac:dyDescent="0.45">
      <c r="A703" s="2" t="s">
        <v>702</v>
      </c>
    </row>
    <row r="704" spans="1:1" ht="15.75" customHeight="1" x14ac:dyDescent="0.45">
      <c r="A704" s="2" t="s">
        <v>703</v>
      </c>
    </row>
    <row r="705" spans="1:1" ht="15.75" customHeight="1" x14ac:dyDescent="0.45">
      <c r="A705" s="2" t="s">
        <v>704</v>
      </c>
    </row>
    <row r="706" spans="1:1" ht="15.75" customHeight="1" x14ac:dyDescent="0.45">
      <c r="A706" s="2" t="s">
        <v>705</v>
      </c>
    </row>
    <row r="707" spans="1:1" ht="15.75" customHeight="1" x14ac:dyDescent="0.45">
      <c r="A707" s="2" t="s">
        <v>706</v>
      </c>
    </row>
    <row r="708" spans="1:1" ht="15.75" customHeight="1" x14ac:dyDescent="0.45">
      <c r="A708" s="2" t="s">
        <v>707</v>
      </c>
    </row>
    <row r="709" spans="1:1" ht="15.75" customHeight="1" x14ac:dyDescent="0.45">
      <c r="A709" s="2" t="s">
        <v>708</v>
      </c>
    </row>
    <row r="710" spans="1:1" ht="15.75" customHeight="1" x14ac:dyDescent="0.45">
      <c r="A710" s="2" t="s">
        <v>709</v>
      </c>
    </row>
    <row r="711" spans="1:1" ht="15.75" customHeight="1" x14ac:dyDescent="0.45">
      <c r="A711" s="2" t="s">
        <v>710</v>
      </c>
    </row>
    <row r="712" spans="1:1" ht="15.75" customHeight="1" x14ac:dyDescent="0.45">
      <c r="A712" s="2" t="s">
        <v>711</v>
      </c>
    </row>
    <row r="713" spans="1:1" ht="15.75" customHeight="1" x14ac:dyDescent="0.45">
      <c r="A713" s="2" t="s">
        <v>712</v>
      </c>
    </row>
    <row r="714" spans="1:1" ht="15.75" customHeight="1" x14ac:dyDescent="0.45">
      <c r="A714" s="2" t="s">
        <v>713</v>
      </c>
    </row>
    <row r="715" spans="1:1" ht="15.75" customHeight="1" x14ac:dyDescent="0.45">
      <c r="A715" s="2" t="s">
        <v>714</v>
      </c>
    </row>
    <row r="716" spans="1:1" ht="15.75" customHeight="1" x14ac:dyDescent="0.45">
      <c r="A716" s="2" t="s">
        <v>715</v>
      </c>
    </row>
    <row r="717" spans="1:1" ht="15.75" customHeight="1" x14ac:dyDescent="0.45">
      <c r="A717" s="2" t="s">
        <v>716</v>
      </c>
    </row>
    <row r="718" spans="1:1" ht="15.75" customHeight="1" x14ac:dyDescent="0.45">
      <c r="A718" s="2" t="s">
        <v>717</v>
      </c>
    </row>
    <row r="719" spans="1:1" ht="15.75" customHeight="1" x14ac:dyDescent="0.45">
      <c r="A719" s="2" t="s">
        <v>718</v>
      </c>
    </row>
    <row r="720" spans="1:1" ht="15.75" customHeight="1" x14ac:dyDescent="0.45">
      <c r="A720" s="2" t="s">
        <v>719</v>
      </c>
    </row>
    <row r="721" spans="1:1" ht="15.75" customHeight="1" x14ac:dyDescent="0.45">
      <c r="A721" s="2" t="s">
        <v>720</v>
      </c>
    </row>
    <row r="722" spans="1:1" ht="15.75" customHeight="1" x14ac:dyDescent="0.45">
      <c r="A722" s="2" t="s">
        <v>721</v>
      </c>
    </row>
    <row r="723" spans="1:1" ht="15.75" customHeight="1" x14ac:dyDescent="0.45">
      <c r="A723" s="2" t="s">
        <v>722</v>
      </c>
    </row>
    <row r="724" spans="1:1" ht="15.75" customHeight="1" x14ac:dyDescent="0.45">
      <c r="A724" s="2" t="s">
        <v>723</v>
      </c>
    </row>
    <row r="725" spans="1:1" ht="15.75" customHeight="1" x14ac:dyDescent="0.45">
      <c r="A725" s="2" t="s">
        <v>724</v>
      </c>
    </row>
    <row r="726" spans="1:1" ht="15.75" customHeight="1" x14ac:dyDescent="0.45">
      <c r="A726" s="2" t="s">
        <v>725</v>
      </c>
    </row>
    <row r="727" spans="1:1" ht="15.75" customHeight="1" x14ac:dyDescent="0.45">
      <c r="A727" s="2" t="s">
        <v>726</v>
      </c>
    </row>
    <row r="728" spans="1:1" ht="15.75" customHeight="1" x14ac:dyDescent="0.45">
      <c r="A728" s="2" t="s">
        <v>727</v>
      </c>
    </row>
    <row r="729" spans="1:1" ht="15.75" customHeight="1" x14ac:dyDescent="0.45">
      <c r="A729" s="2" t="s">
        <v>728</v>
      </c>
    </row>
    <row r="730" spans="1:1" ht="15.75" customHeight="1" x14ac:dyDescent="0.45">
      <c r="A730" s="2" t="s">
        <v>729</v>
      </c>
    </row>
    <row r="731" spans="1:1" ht="15.75" customHeight="1" x14ac:dyDescent="0.45">
      <c r="A731" s="2" t="s">
        <v>730</v>
      </c>
    </row>
    <row r="732" spans="1:1" ht="15.75" customHeight="1" x14ac:dyDescent="0.45">
      <c r="A732" s="2" t="s">
        <v>731</v>
      </c>
    </row>
    <row r="733" spans="1:1" ht="15.75" customHeight="1" x14ac:dyDescent="0.45">
      <c r="A733" s="2" t="s">
        <v>732</v>
      </c>
    </row>
    <row r="734" spans="1:1" ht="15.75" customHeight="1" x14ac:dyDescent="0.45">
      <c r="A734" s="2" t="s">
        <v>733</v>
      </c>
    </row>
    <row r="735" spans="1:1" ht="15.75" customHeight="1" x14ac:dyDescent="0.45">
      <c r="A735" s="2" t="s">
        <v>734</v>
      </c>
    </row>
    <row r="736" spans="1:1" ht="15.75" customHeight="1" x14ac:dyDescent="0.45">
      <c r="A736" s="2" t="s">
        <v>735</v>
      </c>
    </row>
    <row r="737" spans="1:1" ht="15.75" customHeight="1" x14ac:dyDescent="0.45">
      <c r="A737" s="2" t="s">
        <v>736</v>
      </c>
    </row>
    <row r="738" spans="1:1" ht="15.75" customHeight="1" x14ac:dyDescent="0.45">
      <c r="A738" s="2" t="s">
        <v>737</v>
      </c>
    </row>
    <row r="739" spans="1:1" ht="15.75" customHeight="1" x14ac:dyDescent="0.45">
      <c r="A739" s="2" t="s">
        <v>738</v>
      </c>
    </row>
    <row r="740" spans="1:1" ht="15.75" customHeight="1" x14ac:dyDescent="0.45">
      <c r="A740" s="2" t="s">
        <v>739</v>
      </c>
    </row>
    <row r="741" spans="1:1" ht="15.75" customHeight="1" x14ac:dyDescent="0.45">
      <c r="A741" s="2" t="s">
        <v>740</v>
      </c>
    </row>
    <row r="742" spans="1:1" ht="15.75" customHeight="1" x14ac:dyDescent="0.45">
      <c r="A742" s="2" t="s">
        <v>741</v>
      </c>
    </row>
    <row r="743" spans="1:1" ht="15.75" customHeight="1" x14ac:dyDescent="0.45">
      <c r="A743" s="2" t="s">
        <v>742</v>
      </c>
    </row>
    <row r="744" spans="1:1" ht="15.75" customHeight="1" x14ac:dyDescent="0.45">
      <c r="A744" s="2" t="s">
        <v>743</v>
      </c>
    </row>
    <row r="745" spans="1:1" ht="15.75" customHeight="1" x14ac:dyDescent="0.45">
      <c r="A745" s="2" t="s">
        <v>744</v>
      </c>
    </row>
    <row r="746" spans="1:1" ht="15.75" customHeight="1" x14ac:dyDescent="0.45">
      <c r="A746" s="2" t="s">
        <v>745</v>
      </c>
    </row>
    <row r="747" spans="1:1" ht="15.75" customHeight="1" x14ac:dyDescent="0.45">
      <c r="A747" s="2" t="s">
        <v>746</v>
      </c>
    </row>
    <row r="748" spans="1:1" ht="15.75" customHeight="1" x14ac:dyDescent="0.45">
      <c r="A748" s="2" t="s">
        <v>747</v>
      </c>
    </row>
    <row r="749" spans="1:1" ht="15.75" customHeight="1" x14ac:dyDescent="0.45">
      <c r="A749" s="2" t="s">
        <v>748</v>
      </c>
    </row>
    <row r="750" spans="1:1" ht="15.75" customHeight="1" x14ac:dyDescent="0.45">
      <c r="A750" s="2" t="s">
        <v>749</v>
      </c>
    </row>
    <row r="751" spans="1:1" ht="15.75" customHeight="1" x14ac:dyDescent="0.45">
      <c r="A751" s="2" t="s">
        <v>750</v>
      </c>
    </row>
    <row r="752" spans="1:1" ht="15.75" customHeight="1" x14ac:dyDescent="0.45">
      <c r="A752" s="2" t="s">
        <v>751</v>
      </c>
    </row>
    <row r="753" spans="1:1" ht="15.75" customHeight="1" x14ac:dyDescent="0.45">
      <c r="A753" s="2" t="s">
        <v>752</v>
      </c>
    </row>
    <row r="754" spans="1:1" ht="15.75" customHeight="1" x14ac:dyDescent="0.45">
      <c r="A754" s="2" t="s">
        <v>753</v>
      </c>
    </row>
    <row r="755" spans="1:1" ht="15.75" customHeight="1" x14ac:dyDescent="0.45">
      <c r="A755" s="2" t="s">
        <v>754</v>
      </c>
    </row>
    <row r="756" spans="1:1" ht="15.75" customHeight="1" x14ac:dyDescent="0.45">
      <c r="A756" s="2" t="s">
        <v>755</v>
      </c>
    </row>
    <row r="757" spans="1:1" ht="15.75" customHeight="1" x14ac:dyDescent="0.45">
      <c r="A757" s="2" t="s">
        <v>756</v>
      </c>
    </row>
    <row r="758" spans="1:1" ht="15.75" customHeight="1" x14ac:dyDescent="0.45">
      <c r="A758" s="2" t="s">
        <v>757</v>
      </c>
    </row>
    <row r="759" spans="1:1" ht="15.75" customHeight="1" x14ac:dyDescent="0.45">
      <c r="A759" s="2" t="s">
        <v>758</v>
      </c>
    </row>
    <row r="760" spans="1:1" ht="15.75" customHeight="1" x14ac:dyDescent="0.45">
      <c r="A760" s="2" t="s">
        <v>759</v>
      </c>
    </row>
    <row r="761" spans="1:1" ht="15.75" customHeight="1" x14ac:dyDescent="0.45">
      <c r="A761" s="2" t="s">
        <v>760</v>
      </c>
    </row>
    <row r="762" spans="1:1" ht="15.75" customHeight="1" x14ac:dyDescent="0.45">
      <c r="A762" s="2" t="s">
        <v>761</v>
      </c>
    </row>
    <row r="763" spans="1:1" ht="15.75" customHeight="1" x14ac:dyDescent="0.45">
      <c r="A763" s="2" t="s">
        <v>762</v>
      </c>
    </row>
    <row r="764" spans="1:1" ht="15.75" customHeight="1" x14ac:dyDescent="0.45">
      <c r="A764" s="2" t="s">
        <v>763</v>
      </c>
    </row>
    <row r="765" spans="1:1" ht="15.75" customHeight="1" x14ac:dyDescent="0.45">
      <c r="A765" s="2" t="s">
        <v>764</v>
      </c>
    </row>
    <row r="766" spans="1:1" ht="15.75" customHeight="1" x14ac:dyDescent="0.45">
      <c r="A766" s="2" t="s">
        <v>765</v>
      </c>
    </row>
    <row r="767" spans="1:1" ht="15.75" customHeight="1" x14ac:dyDescent="0.45">
      <c r="A767" s="2" t="s">
        <v>766</v>
      </c>
    </row>
    <row r="768" spans="1:1" ht="15.75" customHeight="1" x14ac:dyDescent="0.45">
      <c r="A768" s="2" t="s">
        <v>767</v>
      </c>
    </row>
    <row r="769" spans="1:1" ht="15.75" customHeight="1" x14ac:dyDescent="0.45">
      <c r="A769" s="2" t="s">
        <v>768</v>
      </c>
    </row>
    <row r="770" spans="1:1" ht="15.75" customHeight="1" x14ac:dyDescent="0.45">
      <c r="A770" s="2" t="s">
        <v>769</v>
      </c>
    </row>
    <row r="771" spans="1:1" ht="15.75" customHeight="1" x14ac:dyDescent="0.45">
      <c r="A771" s="2" t="s">
        <v>770</v>
      </c>
    </row>
    <row r="772" spans="1:1" ht="15.75" customHeight="1" x14ac:dyDescent="0.45">
      <c r="A772" s="2" t="s">
        <v>771</v>
      </c>
    </row>
    <row r="773" spans="1:1" ht="15.75" customHeight="1" x14ac:dyDescent="0.45">
      <c r="A773" s="2" t="s">
        <v>772</v>
      </c>
    </row>
    <row r="774" spans="1:1" ht="15.75" customHeight="1" x14ac:dyDescent="0.45">
      <c r="A774" s="2" t="s">
        <v>773</v>
      </c>
    </row>
    <row r="775" spans="1:1" ht="15.75" customHeight="1" x14ac:dyDescent="0.45">
      <c r="A775" s="2" t="s">
        <v>774</v>
      </c>
    </row>
    <row r="776" spans="1:1" ht="15.75" customHeight="1" x14ac:dyDescent="0.45">
      <c r="A776" s="2" t="s">
        <v>775</v>
      </c>
    </row>
    <row r="777" spans="1:1" ht="15.75" customHeight="1" x14ac:dyDescent="0.45">
      <c r="A777" s="2" t="s">
        <v>776</v>
      </c>
    </row>
    <row r="778" spans="1:1" ht="15.75" customHeight="1" x14ac:dyDescent="0.45">
      <c r="A778" s="2" t="s">
        <v>777</v>
      </c>
    </row>
    <row r="779" spans="1:1" ht="15.75" customHeight="1" x14ac:dyDescent="0.45">
      <c r="A779" s="2" t="s">
        <v>778</v>
      </c>
    </row>
    <row r="780" spans="1:1" ht="15.75" customHeight="1" x14ac:dyDescent="0.45">
      <c r="A780" s="2" t="s">
        <v>779</v>
      </c>
    </row>
    <row r="781" spans="1:1" ht="15.75" customHeight="1" x14ac:dyDescent="0.45">
      <c r="A781" s="2" t="s">
        <v>780</v>
      </c>
    </row>
    <row r="782" spans="1:1" ht="15.75" customHeight="1" x14ac:dyDescent="0.45">
      <c r="A782" s="2" t="s">
        <v>781</v>
      </c>
    </row>
    <row r="783" spans="1:1" ht="15.75" customHeight="1" x14ac:dyDescent="0.45">
      <c r="A783" s="2" t="s">
        <v>782</v>
      </c>
    </row>
    <row r="784" spans="1:1" ht="15.75" customHeight="1" x14ac:dyDescent="0.45">
      <c r="A784" s="2" t="s">
        <v>783</v>
      </c>
    </row>
    <row r="785" spans="1:1" ht="15.75" customHeight="1" x14ac:dyDescent="0.45">
      <c r="A785" s="2" t="s">
        <v>784</v>
      </c>
    </row>
    <row r="786" spans="1:1" ht="15.75" customHeight="1" x14ac:dyDescent="0.45">
      <c r="A786" s="2" t="s">
        <v>785</v>
      </c>
    </row>
    <row r="787" spans="1:1" ht="15.75" customHeight="1" x14ac:dyDescent="0.45">
      <c r="A787" s="2" t="s">
        <v>786</v>
      </c>
    </row>
    <row r="788" spans="1:1" ht="15.75" customHeight="1" x14ac:dyDescent="0.45">
      <c r="A788" s="2" t="s">
        <v>787</v>
      </c>
    </row>
    <row r="789" spans="1:1" ht="15.75" customHeight="1" x14ac:dyDescent="0.45">
      <c r="A789" s="2" t="s">
        <v>788</v>
      </c>
    </row>
    <row r="790" spans="1:1" ht="15.75" customHeight="1" x14ac:dyDescent="0.45">
      <c r="A790" s="2" t="s">
        <v>789</v>
      </c>
    </row>
    <row r="791" spans="1:1" ht="15.75" customHeight="1" x14ac:dyDescent="0.45">
      <c r="A791" s="2" t="s">
        <v>790</v>
      </c>
    </row>
    <row r="792" spans="1:1" ht="15.75" customHeight="1" x14ac:dyDescent="0.45">
      <c r="A792" s="2" t="s">
        <v>791</v>
      </c>
    </row>
    <row r="793" spans="1:1" ht="15.75" customHeight="1" x14ac:dyDescent="0.45">
      <c r="A793" s="2" t="s">
        <v>792</v>
      </c>
    </row>
    <row r="794" spans="1:1" ht="15.75" customHeight="1" x14ac:dyDescent="0.45">
      <c r="A794" s="2" t="s">
        <v>793</v>
      </c>
    </row>
    <row r="795" spans="1:1" ht="15.75" customHeight="1" x14ac:dyDescent="0.45">
      <c r="A795" s="2" t="s">
        <v>794</v>
      </c>
    </row>
    <row r="796" spans="1:1" ht="15.75" customHeight="1" x14ac:dyDescent="0.45">
      <c r="A796" s="2" t="s">
        <v>795</v>
      </c>
    </row>
    <row r="797" spans="1:1" ht="15.75" customHeight="1" x14ac:dyDescent="0.45">
      <c r="A797" s="2" t="s">
        <v>796</v>
      </c>
    </row>
    <row r="798" spans="1:1" ht="15.75" customHeight="1" x14ac:dyDescent="0.45">
      <c r="A798" s="2" t="s">
        <v>797</v>
      </c>
    </row>
    <row r="799" spans="1:1" ht="15.75" customHeight="1" x14ac:dyDescent="0.45">
      <c r="A799" s="2" t="s">
        <v>798</v>
      </c>
    </row>
    <row r="800" spans="1:1" ht="15.75" customHeight="1" x14ac:dyDescent="0.45">
      <c r="A800" s="2" t="s">
        <v>799</v>
      </c>
    </row>
    <row r="801" spans="1:1" ht="15.75" customHeight="1" x14ac:dyDescent="0.45">
      <c r="A801" s="2" t="s">
        <v>800</v>
      </c>
    </row>
    <row r="802" spans="1:1" ht="15.75" customHeight="1" x14ac:dyDescent="0.45">
      <c r="A802" s="2" t="s">
        <v>801</v>
      </c>
    </row>
    <row r="803" spans="1:1" ht="15.75" customHeight="1" x14ac:dyDescent="0.45">
      <c r="A803" s="2" t="s">
        <v>802</v>
      </c>
    </row>
    <row r="804" spans="1:1" ht="15.75" customHeight="1" x14ac:dyDescent="0.45">
      <c r="A804" s="2" t="s">
        <v>803</v>
      </c>
    </row>
    <row r="805" spans="1:1" ht="15.75" customHeight="1" x14ac:dyDescent="0.45">
      <c r="A805" s="2" t="s">
        <v>804</v>
      </c>
    </row>
    <row r="806" spans="1:1" ht="15.75" customHeight="1" x14ac:dyDescent="0.45">
      <c r="A806" s="2" t="s">
        <v>805</v>
      </c>
    </row>
    <row r="807" spans="1:1" ht="15.75" customHeight="1" x14ac:dyDescent="0.45">
      <c r="A807" s="2" t="s">
        <v>806</v>
      </c>
    </row>
    <row r="808" spans="1:1" ht="15.75" customHeight="1" x14ac:dyDescent="0.45">
      <c r="A808" s="2" t="s">
        <v>807</v>
      </c>
    </row>
    <row r="809" spans="1:1" ht="15.75" customHeight="1" x14ac:dyDescent="0.45">
      <c r="A809" s="2" t="s">
        <v>808</v>
      </c>
    </row>
    <row r="810" spans="1:1" ht="15.75" customHeight="1" x14ac:dyDescent="0.45">
      <c r="A810" s="2" t="s">
        <v>809</v>
      </c>
    </row>
    <row r="811" spans="1:1" ht="15.75" customHeight="1" x14ac:dyDescent="0.45">
      <c r="A811" s="2" t="s">
        <v>810</v>
      </c>
    </row>
    <row r="812" spans="1:1" ht="15.75" customHeight="1" x14ac:dyDescent="0.45">
      <c r="A812" s="2" t="s">
        <v>811</v>
      </c>
    </row>
    <row r="813" spans="1:1" ht="15.75" customHeight="1" x14ac:dyDescent="0.45">
      <c r="A813" s="2" t="s">
        <v>812</v>
      </c>
    </row>
    <row r="814" spans="1:1" ht="15.75" customHeight="1" x14ac:dyDescent="0.45">
      <c r="A814" s="2" t="s">
        <v>813</v>
      </c>
    </row>
    <row r="815" spans="1:1" ht="15.75" customHeight="1" x14ac:dyDescent="0.45">
      <c r="A815" s="2" t="s">
        <v>814</v>
      </c>
    </row>
    <row r="816" spans="1:1" ht="15.75" customHeight="1" x14ac:dyDescent="0.45">
      <c r="A816" s="2" t="s">
        <v>815</v>
      </c>
    </row>
    <row r="817" spans="1:1" ht="15.75" customHeight="1" x14ac:dyDescent="0.45">
      <c r="A817" s="2" t="s">
        <v>816</v>
      </c>
    </row>
    <row r="818" spans="1:1" ht="15.75" customHeight="1" x14ac:dyDescent="0.45">
      <c r="A818" s="2" t="s">
        <v>817</v>
      </c>
    </row>
    <row r="819" spans="1:1" ht="15.75" customHeight="1" x14ac:dyDescent="0.45">
      <c r="A819" s="2" t="s">
        <v>818</v>
      </c>
    </row>
    <row r="820" spans="1:1" ht="15.75" customHeight="1" x14ac:dyDescent="0.45">
      <c r="A820" s="2" t="s">
        <v>819</v>
      </c>
    </row>
    <row r="821" spans="1:1" ht="15.75" customHeight="1" x14ac:dyDescent="0.45">
      <c r="A821" s="2" t="s">
        <v>820</v>
      </c>
    </row>
    <row r="822" spans="1:1" ht="15.75" customHeight="1" x14ac:dyDescent="0.45">
      <c r="A822" s="2" t="s">
        <v>821</v>
      </c>
    </row>
    <row r="823" spans="1:1" ht="15.75" customHeight="1" x14ac:dyDescent="0.45">
      <c r="A823" s="2" t="s">
        <v>822</v>
      </c>
    </row>
    <row r="824" spans="1:1" ht="15.75" customHeight="1" x14ac:dyDescent="0.45">
      <c r="A824" s="2" t="s">
        <v>823</v>
      </c>
    </row>
    <row r="825" spans="1:1" ht="15.75" customHeight="1" x14ac:dyDescent="0.45">
      <c r="A825" s="2" t="s">
        <v>824</v>
      </c>
    </row>
    <row r="826" spans="1:1" ht="15.75" customHeight="1" x14ac:dyDescent="0.45">
      <c r="A826" s="2" t="s">
        <v>825</v>
      </c>
    </row>
    <row r="827" spans="1:1" ht="15.75" customHeight="1" x14ac:dyDescent="0.45">
      <c r="A827" s="2" t="s">
        <v>826</v>
      </c>
    </row>
    <row r="828" spans="1:1" ht="15.75" customHeight="1" x14ac:dyDescent="0.45">
      <c r="A828" s="2" t="s">
        <v>827</v>
      </c>
    </row>
    <row r="829" spans="1:1" ht="15.75" customHeight="1" x14ac:dyDescent="0.45">
      <c r="A829" s="2" t="s">
        <v>828</v>
      </c>
    </row>
    <row r="830" spans="1:1" ht="15.75" customHeight="1" x14ac:dyDescent="0.45">
      <c r="A830" s="2" t="s">
        <v>829</v>
      </c>
    </row>
    <row r="831" spans="1:1" ht="15.75" customHeight="1" x14ac:dyDescent="0.45">
      <c r="A831" s="2" t="s">
        <v>830</v>
      </c>
    </row>
    <row r="832" spans="1:1" ht="15.75" customHeight="1" x14ac:dyDescent="0.45">
      <c r="A832" s="2" t="s">
        <v>831</v>
      </c>
    </row>
    <row r="833" spans="1:1" ht="15.75" customHeight="1" x14ac:dyDescent="0.45">
      <c r="A833" s="2" t="s">
        <v>832</v>
      </c>
    </row>
    <row r="834" spans="1:1" ht="15.75" customHeight="1" x14ac:dyDescent="0.45">
      <c r="A834" s="2" t="s">
        <v>833</v>
      </c>
    </row>
    <row r="835" spans="1:1" ht="15.75" customHeight="1" x14ac:dyDescent="0.45">
      <c r="A835" s="2" t="s">
        <v>834</v>
      </c>
    </row>
    <row r="836" spans="1:1" ht="15.75" customHeight="1" x14ac:dyDescent="0.45">
      <c r="A836" s="2" t="s">
        <v>835</v>
      </c>
    </row>
    <row r="837" spans="1:1" ht="15.75" customHeight="1" x14ac:dyDescent="0.45">
      <c r="A837" s="2" t="s">
        <v>836</v>
      </c>
    </row>
    <row r="838" spans="1:1" ht="15.75" customHeight="1" x14ac:dyDescent="0.45">
      <c r="A838" s="2" t="s">
        <v>837</v>
      </c>
    </row>
    <row r="839" spans="1:1" ht="15.75" customHeight="1" x14ac:dyDescent="0.45">
      <c r="A839" s="2" t="s">
        <v>838</v>
      </c>
    </row>
    <row r="840" spans="1:1" ht="15.75" customHeight="1" x14ac:dyDescent="0.45">
      <c r="A840" s="2" t="s">
        <v>839</v>
      </c>
    </row>
    <row r="841" spans="1:1" ht="15.75" customHeight="1" x14ac:dyDescent="0.45">
      <c r="A841" s="2" t="s">
        <v>840</v>
      </c>
    </row>
    <row r="842" spans="1:1" ht="15.75" customHeight="1" x14ac:dyDescent="0.45">
      <c r="A842" s="2" t="s">
        <v>841</v>
      </c>
    </row>
    <row r="843" spans="1:1" ht="15.75" customHeight="1" x14ac:dyDescent="0.45">
      <c r="A843" s="2" t="s">
        <v>842</v>
      </c>
    </row>
    <row r="844" spans="1:1" ht="15.75" customHeight="1" x14ac:dyDescent="0.45">
      <c r="A844" s="2" t="s">
        <v>843</v>
      </c>
    </row>
    <row r="845" spans="1:1" ht="15.75" customHeight="1" x14ac:dyDescent="0.45">
      <c r="A845" s="2" t="s">
        <v>844</v>
      </c>
    </row>
    <row r="846" spans="1:1" ht="15.75" customHeight="1" x14ac:dyDescent="0.45">
      <c r="A846" s="2" t="s">
        <v>845</v>
      </c>
    </row>
    <row r="847" spans="1:1" ht="15.75" customHeight="1" x14ac:dyDescent="0.45">
      <c r="A847" s="2" t="s">
        <v>846</v>
      </c>
    </row>
    <row r="848" spans="1:1" ht="15.75" customHeight="1" x14ac:dyDescent="0.45">
      <c r="A848" s="2" t="s">
        <v>847</v>
      </c>
    </row>
    <row r="849" spans="1:1" ht="15.75" customHeight="1" x14ac:dyDescent="0.45">
      <c r="A849" s="2" t="s">
        <v>848</v>
      </c>
    </row>
    <row r="850" spans="1:1" ht="15.75" customHeight="1" x14ac:dyDescent="0.45">
      <c r="A850" s="2" t="s">
        <v>849</v>
      </c>
    </row>
    <row r="851" spans="1:1" ht="15.75" customHeight="1" x14ac:dyDescent="0.45">
      <c r="A851" s="2" t="s">
        <v>850</v>
      </c>
    </row>
    <row r="852" spans="1:1" ht="15.75" customHeight="1" x14ac:dyDescent="0.45">
      <c r="A852" s="2" t="s">
        <v>851</v>
      </c>
    </row>
    <row r="853" spans="1:1" ht="15.75" customHeight="1" x14ac:dyDescent="0.45">
      <c r="A853" s="2" t="s">
        <v>852</v>
      </c>
    </row>
    <row r="854" spans="1:1" ht="15.75" customHeight="1" x14ac:dyDescent="0.45">
      <c r="A854" s="2" t="s">
        <v>853</v>
      </c>
    </row>
    <row r="855" spans="1:1" ht="15.75" customHeight="1" x14ac:dyDescent="0.45">
      <c r="A855" s="2" t="s">
        <v>854</v>
      </c>
    </row>
    <row r="856" spans="1:1" ht="15.75" customHeight="1" x14ac:dyDescent="0.45">
      <c r="A856" s="2" t="s">
        <v>855</v>
      </c>
    </row>
    <row r="857" spans="1:1" ht="15.75" customHeight="1" x14ac:dyDescent="0.45">
      <c r="A857" s="2" t="s">
        <v>856</v>
      </c>
    </row>
    <row r="858" spans="1:1" ht="15.75" customHeight="1" x14ac:dyDescent="0.45">
      <c r="A858" s="2" t="s">
        <v>857</v>
      </c>
    </row>
    <row r="859" spans="1:1" ht="15.75" customHeight="1" x14ac:dyDescent="0.45">
      <c r="A859" s="2" t="s">
        <v>858</v>
      </c>
    </row>
    <row r="860" spans="1:1" ht="15.75" customHeight="1" x14ac:dyDescent="0.45">
      <c r="A860" s="2" t="s">
        <v>859</v>
      </c>
    </row>
    <row r="861" spans="1:1" ht="15.75" customHeight="1" x14ac:dyDescent="0.45">
      <c r="A861" s="2" t="s">
        <v>860</v>
      </c>
    </row>
    <row r="862" spans="1:1" ht="15.75" customHeight="1" x14ac:dyDescent="0.45">
      <c r="A862" s="2" t="s">
        <v>861</v>
      </c>
    </row>
    <row r="863" spans="1:1" ht="15.75" customHeight="1" x14ac:dyDescent="0.45">
      <c r="A863" s="2" t="s">
        <v>862</v>
      </c>
    </row>
    <row r="864" spans="1:1" ht="15.75" customHeight="1" x14ac:dyDescent="0.45">
      <c r="A864" s="2" t="s">
        <v>863</v>
      </c>
    </row>
    <row r="865" spans="1:1" ht="15.75" customHeight="1" x14ac:dyDescent="0.45">
      <c r="A865" s="2" t="s">
        <v>864</v>
      </c>
    </row>
    <row r="866" spans="1:1" ht="15.75" customHeight="1" x14ac:dyDescent="0.45">
      <c r="A866" s="2" t="s">
        <v>865</v>
      </c>
    </row>
    <row r="867" spans="1:1" ht="15.75" customHeight="1" x14ac:dyDescent="0.45">
      <c r="A867" s="2" t="s">
        <v>866</v>
      </c>
    </row>
    <row r="868" spans="1:1" ht="15.75" customHeight="1" x14ac:dyDescent="0.45">
      <c r="A868" s="2" t="s">
        <v>867</v>
      </c>
    </row>
    <row r="869" spans="1:1" ht="15.75" customHeight="1" x14ac:dyDescent="0.45">
      <c r="A869" s="2" t="s">
        <v>868</v>
      </c>
    </row>
    <row r="870" spans="1:1" ht="15.75" customHeight="1" x14ac:dyDescent="0.45">
      <c r="A870" s="2" t="s">
        <v>869</v>
      </c>
    </row>
    <row r="871" spans="1:1" ht="15.75" customHeight="1" x14ac:dyDescent="0.45">
      <c r="A871" s="2" t="s">
        <v>870</v>
      </c>
    </row>
    <row r="872" spans="1:1" ht="15.75" customHeight="1" x14ac:dyDescent="0.45">
      <c r="A872" s="2" t="s">
        <v>871</v>
      </c>
    </row>
    <row r="873" spans="1:1" ht="15.75" customHeight="1" x14ac:dyDescent="0.45">
      <c r="A873" s="2" t="s">
        <v>872</v>
      </c>
    </row>
    <row r="874" spans="1:1" ht="15.75" customHeight="1" x14ac:dyDescent="0.45">
      <c r="A874" s="2" t="s">
        <v>873</v>
      </c>
    </row>
    <row r="875" spans="1:1" ht="15.75" customHeight="1" x14ac:dyDescent="0.45">
      <c r="A875" s="2" t="s">
        <v>874</v>
      </c>
    </row>
    <row r="876" spans="1:1" ht="15.75" customHeight="1" x14ac:dyDescent="0.45">
      <c r="A876" s="2" t="s">
        <v>875</v>
      </c>
    </row>
    <row r="877" spans="1:1" ht="15.75" customHeight="1" x14ac:dyDescent="0.45">
      <c r="A877" s="2" t="s">
        <v>876</v>
      </c>
    </row>
    <row r="878" spans="1:1" ht="15.75" customHeight="1" x14ac:dyDescent="0.45">
      <c r="A878" s="2" t="s">
        <v>877</v>
      </c>
    </row>
    <row r="879" spans="1:1" ht="15.75" customHeight="1" x14ac:dyDescent="0.45">
      <c r="A879" s="2" t="s">
        <v>878</v>
      </c>
    </row>
    <row r="880" spans="1:1" ht="15.75" customHeight="1" x14ac:dyDescent="0.45">
      <c r="A880" s="2" t="s">
        <v>879</v>
      </c>
    </row>
    <row r="881" spans="1:1" ht="15.75" customHeight="1" x14ac:dyDescent="0.45">
      <c r="A881" s="2" t="s">
        <v>880</v>
      </c>
    </row>
    <row r="882" spans="1:1" ht="15.75" customHeight="1" x14ac:dyDescent="0.45">
      <c r="A882" s="2" t="s">
        <v>881</v>
      </c>
    </row>
    <row r="883" spans="1:1" ht="15.75" customHeight="1" x14ac:dyDescent="0.45">
      <c r="A883" s="2" t="s">
        <v>882</v>
      </c>
    </row>
    <row r="884" spans="1:1" ht="15.75" customHeight="1" x14ac:dyDescent="0.45">
      <c r="A884" s="2" t="s">
        <v>883</v>
      </c>
    </row>
    <row r="885" spans="1:1" ht="15.75" customHeight="1" x14ac:dyDescent="0.45">
      <c r="A885" s="2" t="s">
        <v>884</v>
      </c>
    </row>
    <row r="886" spans="1:1" ht="15.75" customHeight="1" x14ac:dyDescent="0.45">
      <c r="A886" s="2" t="s">
        <v>885</v>
      </c>
    </row>
    <row r="887" spans="1:1" ht="15.75" customHeight="1" x14ac:dyDescent="0.45">
      <c r="A887" s="2" t="s">
        <v>886</v>
      </c>
    </row>
    <row r="888" spans="1:1" ht="15.75" customHeight="1" x14ac:dyDescent="0.45">
      <c r="A888" s="2" t="s">
        <v>887</v>
      </c>
    </row>
    <row r="889" spans="1:1" ht="15.75" customHeight="1" x14ac:dyDescent="0.45">
      <c r="A889" s="2" t="s">
        <v>888</v>
      </c>
    </row>
    <row r="890" spans="1:1" ht="15.75" customHeight="1" x14ac:dyDescent="0.45">
      <c r="A890" s="2" t="s">
        <v>889</v>
      </c>
    </row>
    <row r="891" spans="1:1" ht="15.75" customHeight="1" x14ac:dyDescent="0.45">
      <c r="A891" s="2" t="s">
        <v>890</v>
      </c>
    </row>
    <row r="892" spans="1:1" ht="15.75" customHeight="1" x14ac:dyDescent="0.45">
      <c r="A892" s="2" t="s">
        <v>891</v>
      </c>
    </row>
    <row r="893" spans="1:1" ht="15.75" customHeight="1" x14ac:dyDescent="0.45">
      <c r="A893" s="2" t="s">
        <v>892</v>
      </c>
    </row>
    <row r="894" spans="1:1" ht="15.75" customHeight="1" x14ac:dyDescent="0.45">
      <c r="A894" s="2" t="s">
        <v>893</v>
      </c>
    </row>
    <row r="895" spans="1:1" ht="15.75" customHeight="1" x14ac:dyDescent="0.45">
      <c r="A895" s="2" t="s">
        <v>894</v>
      </c>
    </row>
    <row r="896" spans="1:1" ht="15.75" customHeight="1" x14ac:dyDescent="0.45">
      <c r="A896" s="2" t="s">
        <v>895</v>
      </c>
    </row>
    <row r="897" spans="1:1" ht="15.75" customHeight="1" x14ac:dyDescent="0.45">
      <c r="A897" s="2" t="s">
        <v>896</v>
      </c>
    </row>
    <row r="898" spans="1:1" ht="15.75" customHeight="1" x14ac:dyDescent="0.45">
      <c r="A898" s="2" t="s">
        <v>897</v>
      </c>
    </row>
    <row r="899" spans="1:1" ht="15.75" customHeight="1" x14ac:dyDescent="0.45">
      <c r="A899" s="2" t="s">
        <v>898</v>
      </c>
    </row>
    <row r="900" spans="1:1" ht="15.75" customHeight="1" x14ac:dyDescent="0.45">
      <c r="A900" s="2" t="s">
        <v>899</v>
      </c>
    </row>
    <row r="901" spans="1:1" ht="15.75" customHeight="1" x14ac:dyDescent="0.45">
      <c r="A901" s="2" t="s">
        <v>900</v>
      </c>
    </row>
    <row r="902" spans="1:1" ht="15.75" customHeight="1" x14ac:dyDescent="0.45">
      <c r="A902" s="2" t="s">
        <v>901</v>
      </c>
    </row>
    <row r="903" spans="1:1" ht="15.75" customHeight="1" x14ac:dyDescent="0.45">
      <c r="A903" s="2" t="s">
        <v>902</v>
      </c>
    </row>
    <row r="904" spans="1:1" ht="15.75" customHeight="1" x14ac:dyDescent="0.45">
      <c r="A904" s="2" t="s">
        <v>903</v>
      </c>
    </row>
    <row r="905" spans="1:1" ht="15.75" customHeight="1" x14ac:dyDescent="0.45">
      <c r="A905" s="2" t="s">
        <v>904</v>
      </c>
    </row>
    <row r="906" spans="1:1" ht="15.75" customHeight="1" x14ac:dyDescent="0.45">
      <c r="A906" s="2" t="s">
        <v>905</v>
      </c>
    </row>
    <row r="907" spans="1:1" ht="15.75" customHeight="1" x14ac:dyDescent="0.45">
      <c r="A907" s="2" t="s">
        <v>906</v>
      </c>
    </row>
    <row r="908" spans="1:1" ht="15.75" customHeight="1" x14ac:dyDescent="0.45">
      <c r="A908" s="2" t="s">
        <v>907</v>
      </c>
    </row>
    <row r="909" spans="1:1" ht="15.75" customHeight="1" x14ac:dyDescent="0.45">
      <c r="A909" s="2" t="s">
        <v>908</v>
      </c>
    </row>
    <row r="910" spans="1:1" ht="15.75" customHeight="1" x14ac:dyDescent="0.45">
      <c r="A910" s="2" t="s">
        <v>909</v>
      </c>
    </row>
    <row r="911" spans="1:1" ht="15.75" customHeight="1" x14ac:dyDescent="0.45">
      <c r="A911" s="2" t="s">
        <v>910</v>
      </c>
    </row>
    <row r="912" spans="1:1" ht="15.75" customHeight="1" x14ac:dyDescent="0.45">
      <c r="A912" s="2" t="s">
        <v>911</v>
      </c>
    </row>
    <row r="913" spans="1:1" ht="15.75" customHeight="1" x14ac:dyDescent="0.45">
      <c r="A913" s="2" t="s">
        <v>912</v>
      </c>
    </row>
    <row r="914" spans="1:1" ht="15.75" customHeight="1" x14ac:dyDescent="0.45">
      <c r="A914" s="2" t="s">
        <v>913</v>
      </c>
    </row>
    <row r="915" spans="1:1" ht="15.75" customHeight="1" x14ac:dyDescent="0.45">
      <c r="A915" s="2" t="s">
        <v>914</v>
      </c>
    </row>
    <row r="916" spans="1:1" ht="15.75" customHeight="1" x14ac:dyDescent="0.45">
      <c r="A916" s="2" t="s">
        <v>915</v>
      </c>
    </row>
    <row r="917" spans="1:1" ht="15.75" customHeight="1" x14ac:dyDescent="0.45">
      <c r="A917" s="2" t="s">
        <v>916</v>
      </c>
    </row>
    <row r="918" spans="1:1" ht="15.75" customHeight="1" x14ac:dyDescent="0.45">
      <c r="A918" s="2" t="s">
        <v>917</v>
      </c>
    </row>
    <row r="919" spans="1:1" ht="15.75" customHeight="1" x14ac:dyDescent="0.45">
      <c r="A919" s="2" t="s">
        <v>918</v>
      </c>
    </row>
    <row r="920" spans="1:1" ht="15.75" customHeight="1" x14ac:dyDescent="0.45">
      <c r="A920" s="2" t="s">
        <v>919</v>
      </c>
    </row>
    <row r="921" spans="1:1" ht="15.75" customHeight="1" x14ac:dyDescent="0.45">
      <c r="A921" s="2" t="s">
        <v>920</v>
      </c>
    </row>
    <row r="922" spans="1:1" ht="15.75" customHeight="1" x14ac:dyDescent="0.45">
      <c r="A922" s="2" t="s">
        <v>921</v>
      </c>
    </row>
    <row r="923" spans="1:1" ht="15.75" customHeight="1" x14ac:dyDescent="0.45">
      <c r="A923" s="2" t="s">
        <v>922</v>
      </c>
    </row>
    <row r="924" spans="1:1" ht="15.75" customHeight="1" x14ac:dyDescent="0.45">
      <c r="A924" s="2" t="s">
        <v>923</v>
      </c>
    </row>
    <row r="925" spans="1:1" ht="15.75" customHeight="1" x14ac:dyDescent="0.45">
      <c r="A925" s="2" t="s">
        <v>924</v>
      </c>
    </row>
    <row r="926" spans="1:1" ht="15.75" customHeight="1" x14ac:dyDescent="0.45">
      <c r="A926" s="2" t="s">
        <v>925</v>
      </c>
    </row>
    <row r="927" spans="1:1" ht="15.75" customHeight="1" x14ac:dyDescent="0.45">
      <c r="A927" s="2" t="s">
        <v>926</v>
      </c>
    </row>
    <row r="928" spans="1:1" ht="15.75" customHeight="1" x14ac:dyDescent="0.45">
      <c r="A928" s="2" t="s">
        <v>927</v>
      </c>
    </row>
    <row r="929" spans="1:1" ht="15.75" customHeight="1" x14ac:dyDescent="0.45">
      <c r="A929" s="2" t="s">
        <v>928</v>
      </c>
    </row>
    <row r="930" spans="1:1" ht="15.75" customHeight="1" x14ac:dyDescent="0.45">
      <c r="A930" s="2" t="s">
        <v>929</v>
      </c>
    </row>
    <row r="931" spans="1:1" ht="15.75" customHeight="1" x14ac:dyDescent="0.45">
      <c r="A931" s="2" t="s">
        <v>930</v>
      </c>
    </row>
    <row r="932" spans="1:1" ht="15.75" customHeight="1" x14ac:dyDescent="0.45">
      <c r="A932" s="2" t="s">
        <v>931</v>
      </c>
    </row>
    <row r="933" spans="1:1" ht="15.75" customHeight="1" x14ac:dyDescent="0.45">
      <c r="A933" s="2" t="s">
        <v>932</v>
      </c>
    </row>
    <row r="934" spans="1:1" ht="15.75" customHeight="1" x14ac:dyDescent="0.45">
      <c r="A934" s="2" t="s">
        <v>933</v>
      </c>
    </row>
    <row r="935" spans="1:1" ht="15.75" customHeight="1" x14ac:dyDescent="0.45">
      <c r="A935" s="2" t="s">
        <v>934</v>
      </c>
    </row>
    <row r="936" spans="1:1" ht="15.75" customHeight="1" x14ac:dyDescent="0.45">
      <c r="A936" s="2" t="s">
        <v>935</v>
      </c>
    </row>
    <row r="937" spans="1:1" ht="15.75" customHeight="1" x14ac:dyDescent="0.45">
      <c r="A937" s="2" t="s">
        <v>936</v>
      </c>
    </row>
    <row r="938" spans="1:1" ht="15.75" customHeight="1" x14ac:dyDescent="0.45">
      <c r="A938" s="2" t="s">
        <v>937</v>
      </c>
    </row>
    <row r="939" spans="1:1" ht="15.75" customHeight="1" x14ac:dyDescent="0.45">
      <c r="A939" s="2" t="s">
        <v>938</v>
      </c>
    </row>
    <row r="940" spans="1:1" ht="15.75" customHeight="1" x14ac:dyDescent="0.45">
      <c r="A940" s="2" t="s">
        <v>939</v>
      </c>
    </row>
    <row r="941" spans="1:1" ht="15.75" customHeight="1" x14ac:dyDescent="0.45">
      <c r="A941" s="2" t="s">
        <v>940</v>
      </c>
    </row>
    <row r="942" spans="1:1" ht="15.75" customHeight="1" x14ac:dyDescent="0.45">
      <c r="A942" s="2" t="s">
        <v>941</v>
      </c>
    </row>
    <row r="943" spans="1:1" ht="15.75" customHeight="1" x14ac:dyDescent="0.45">
      <c r="A943" s="2" t="s">
        <v>942</v>
      </c>
    </row>
    <row r="944" spans="1:1" ht="15.75" customHeight="1" x14ac:dyDescent="0.45">
      <c r="A944" s="2" t="s">
        <v>943</v>
      </c>
    </row>
    <row r="945" spans="1:1" ht="15.75" customHeight="1" x14ac:dyDescent="0.45">
      <c r="A945" s="2" t="s">
        <v>944</v>
      </c>
    </row>
    <row r="946" spans="1:1" ht="15.75" customHeight="1" x14ac:dyDescent="0.45">
      <c r="A946" s="2" t="s">
        <v>945</v>
      </c>
    </row>
    <row r="947" spans="1:1" ht="15.75" customHeight="1" x14ac:dyDescent="0.45">
      <c r="A947" s="2" t="s">
        <v>946</v>
      </c>
    </row>
    <row r="948" spans="1:1" ht="15.75" customHeight="1" x14ac:dyDescent="0.45">
      <c r="A948" s="2" t="s">
        <v>947</v>
      </c>
    </row>
    <row r="949" spans="1:1" ht="15.75" customHeight="1" x14ac:dyDescent="0.45">
      <c r="A949" s="2" t="s">
        <v>948</v>
      </c>
    </row>
    <row r="950" spans="1:1" ht="15.75" customHeight="1" x14ac:dyDescent="0.45">
      <c r="A950" s="2" t="s">
        <v>949</v>
      </c>
    </row>
    <row r="951" spans="1:1" ht="15.75" customHeight="1" x14ac:dyDescent="0.45">
      <c r="A951" s="2" t="s">
        <v>950</v>
      </c>
    </row>
    <row r="952" spans="1:1" ht="15.75" customHeight="1" x14ac:dyDescent="0.45">
      <c r="A952" s="2" t="s">
        <v>951</v>
      </c>
    </row>
    <row r="953" spans="1:1" ht="15.75" customHeight="1" x14ac:dyDescent="0.45">
      <c r="A953" s="2" t="s">
        <v>952</v>
      </c>
    </row>
    <row r="954" spans="1:1" ht="15.75" customHeight="1" x14ac:dyDescent="0.45">
      <c r="A954" s="2" t="s">
        <v>953</v>
      </c>
    </row>
    <row r="955" spans="1:1" ht="15.75" customHeight="1" x14ac:dyDescent="0.45">
      <c r="A955" s="2" t="s">
        <v>954</v>
      </c>
    </row>
    <row r="956" spans="1:1" ht="15.75" customHeight="1" x14ac:dyDescent="0.45">
      <c r="A956" s="2" t="s">
        <v>955</v>
      </c>
    </row>
    <row r="957" spans="1:1" ht="15.75" customHeight="1" x14ac:dyDescent="0.45">
      <c r="A957" s="2" t="s">
        <v>956</v>
      </c>
    </row>
    <row r="958" spans="1:1" ht="15.75" customHeight="1" x14ac:dyDescent="0.45">
      <c r="A958" s="2" t="s">
        <v>957</v>
      </c>
    </row>
    <row r="959" spans="1:1" ht="15.75" customHeight="1" x14ac:dyDescent="0.45">
      <c r="A959" s="2" t="s">
        <v>958</v>
      </c>
    </row>
    <row r="960" spans="1:1" ht="15.75" customHeight="1" x14ac:dyDescent="0.45">
      <c r="A960" s="2" t="s">
        <v>959</v>
      </c>
    </row>
    <row r="961" spans="1:1" ht="15.75" customHeight="1" x14ac:dyDescent="0.45">
      <c r="A961" s="2" t="s">
        <v>960</v>
      </c>
    </row>
    <row r="962" spans="1:1" ht="15.75" customHeight="1" x14ac:dyDescent="0.45">
      <c r="A962" s="2" t="s">
        <v>961</v>
      </c>
    </row>
    <row r="963" spans="1:1" ht="15.75" customHeight="1" x14ac:dyDescent="0.45">
      <c r="A963" s="2" t="s">
        <v>962</v>
      </c>
    </row>
    <row r="964" spans="1:1" ht="15.75" customHeight="1" x14ac:dyDescent="0.45">
      <c r="A964" s="2" t="s">
        <v>963</v>
      </c>
    </row>
    <row r="965" spans="1:1" ht="15.75" customHeight="1" x14ac:dyDescent="0.45">
      <c r="A965" s="2" t="s">
        <v>964</v>
      </c>
    </row>
    <row r="966" spans="1:1" ht="15.75" customHeight="1" x14ac:dyDescent="0.45">
      <c r="A966" s="2" t="s">
        <v>965</v>
      </c>
    </row>
    <row r="967" spans="1:1" ht="15.75" customHeight="1" x14ac:dyDescent="0.45">
      <c r="A967" s="2" t="s">
        <v>966</v>
      </c>
    </row>
    <row r="968" spans="1:1" ht="15.75" customHeight="1" x14ac:dyDescent="0.45">
      <c r="A968" s="2" t="s">
        <v>967</v>
      </c>
    </row>
    <row r="969" spans="1:1" ht="15.75" customHeight="1" x14ac:dyDescent="0.45">
      <c r="A969" s="2" t="s">
        <v>968</v>
      </c>
    </row>
    <row r="970" spans="1:1" ht="15.75" customHeight="1" x14ac:dyDescent="0.45">
      <c r="A970" s="2" t="s">
        <v>969</v>
      </c>
    </row>
    <row r="971" spans="1:1" ht="15.75" customHeight="1" x14ac:dyDescent="0.45">
      <c r="A971" s="2" t="s">
        <v>970</v>
      </c>
    </row>
    <row r="972" spans="1:1" ht="15.75" customHeight="1" x14ac:dyDescent="0.45">
      <c r="A972" s="2" t="s">
        <v>971</v>
      </c>
    </row>
    <row r="973" spans="1:1" ht="15.75" customHeight="1" x14ac:dyDescent="0.45">
      <c r="A973" s="2" t="s">
        <v>972</v>
      </c>
    </row>
    <row r="974" spans="1:1" ht="15.75" customHeight="1" x14ac:dyDescent="0.45">
      <c r="A974" s="2" t="s">
        <v>973</v>
      </c>
    </row>
    <row r="975" spans="1:1" ht="15.75" customHeight="1" x14ac:dyDescent="0.45">
      <c r="A975" s="2" t="s">
        <v>974</v>
      </c>
    </row>
    <row r="976" spans="1:1" ht="15.75" customHeight="1" x14ac:dyDescent="0.45">
      <c r="A976" s="2" t="s">
        <v>975</v>
      </c>
    </row>
    <row r="977" spans="1:1" ht="15.75" customHeight="1" x14ac:dyDescent="0.45">
      <c r="A977" s="2" t="s">
        <v>976</v>
      </c>
    </row>
    <row r="978" spans="1:1" ht="15.75" customHeight="1" x14ac:dyDescent="0.45">
      <c r="A978" s="2" t="s">
        <v>977</v>
      </c>
    </row>
    <row r="979" spans="1:1" ht="15.75" customHeight="1" x14ac:dyDescent="0.45">
      <c r="A979" s="2" t="s">
        <v>978</v>
      </c>
    </row>
    <row r="980" spans="1:1" ht="15.75" customHeight="1" x14ac:dyDescent="0.45">
      <c r="A980" s="2" t="s">
        <v>979</v>
      </c>
    </row>
    <row r="981" spans="1:1" ht="15.75" customHeight="1" x14ac:dyDescent="0.45">
      <c r="A981" s="2" t="s">
        <v>980</v>
      </c>
    </row>
    <row r="982" spans="1:1" ht="15.75" customHeight="1" x14ac:dyDescent="0.45">
      <c r="A982" s="2" t="s">
        <v>981</v>
      </c>
    </row>
    <row r="983" spans="1:1" ht="15.75" customHeight="1" x14ac:dyDescent="0.45">
      <c r="A983" s="2" t="s">
        <v>982</v>
      </c>
    </row>
    <row r="984" spans="1:1" ht="15.75" customHeight="1" x14ac:dyDescent="0.45">
      <c r="A984" s="2" t="s">
        <v>983</v>
      </c>
    </row>
    <row r="985" spans="1:1" ht="15.75" customHeight="1" x14ac:dyDescent="0.45">
      <c r="A985" s="2" t="s">
        <v>984</v>
      </c>
    </row>
    <row r="986" spans="1:1" ht="15.75" customHeight="1" x14ac:dyDescent="0.45">
      <c r="A986" s="2" t="s">
        <v>985</v>
      </c>
    </row>
    <row r="987" spans="1:1" ht="15.75" customHeight="1" x14ac:dyDescent="0.45">
      <c r="A987" s="2" t="s">
        <v>986</v>
      </c>
    </row>
    <row r="988" spans="1:1" ht="15.75" customHeight="1" x14ac:dyDescent="0.45">
      <c r="A988" s="2" t="s">
        <v>987</v>
      </c>
    </row>
    <row r="989" spans="1:1" ht="15.75" customHeight="1" x14ac:dyDescent="0.45">
      <c r="A989" s="2" t="s">
        <v>988</v>
      </c>
    </row>
    <row r="990" spans="1:1" ht="15.75" customHeight="1" x14ac:dyDescent="0.45">
      <c r="A990" s="2" t="s">
        <v>989</v>
      </c>
    </row>
    <row r="991" spans="1:1" ht="15.75" customHeight="1" x14ac:dyDescent="0.45">
      <c r="A991" s="2" t="s">
        <v>990</v>
      </c>
    </row>
    <row r="992" spans="1:1" ht="15.75" customHeight="1" x14ac:dyDescent="0.45">
      <c r="A992" s="2" t="s">
        <v>991</v>
      </c>
    </row>
    <row r="993" spans="1:1" ht="15.75" customHeight="1" x14ac:dyDescent="0.45">
      <c r="A993" s="2" t="s">
        <v>992</v>
      </c>
    </row>
    <row r="994" spans="1:1" ht="15.75" customHeight="1" x14ac:dyDescent="0.45">
      <c r="A994" s="2" t="s">
        <v>993</v>
      </c>
    </row>
    <row r="995" spans="1:1" ht="15.75" customHeight="1" x14ac:dyDescent="0.45">
      <c r="A995" s="2" t="s">
        <v>994</v>
      </c>
    </row>
    <row r="996" spans="1:1" ht="15.75" customHeight="1" x14ac:dyDescent="0.45">
      <c r="A996" s="2" t="s">
        <v>995</v>
      </c>
    </row>
    <row r="997" spans="1:1" ht="15.75" customHeight="1" x14ac:dyDescent="0.45">
      <c r="A997" s="2" t="s">
        <v>996</v>
      </c>
    </row>
    <row r="998" spans="1:1" ht="15.75" customHeight="1" x14ac:dyDescent="0.45">
      <c r="A998" s="2" t="s">
        <v>997</v>
      </c>
    </row>
    <row r="999" spans="1:1" ht="15.75" customHeight="1" x14ac:dyDescent="0.45">
      <c r="A999" s="2" t="s">
        <v>998</v>
      </c>
    </row>
    <row r="1000" spans="1:1" ht="15.75" customHeight="1" x14ac:dyDescent="0.45">
      <c r="A1000" s="2" t="s">
        <v>999</v>
      </c>
    </row>
    <row r="1001" spans="1:1" ht="15.75" customHeight="1" x14ac:dyDescent="0.45">
      <c r="A1001" s="2" t="s">
        <v>1000</v>
      </c>
    </row>
    <row r="1002" spans="1:1" ht="15.75" customHeight="1" x14ac:dyDescent="0.45">
      <c r="A1002" s="2" t="s">
        <v>1001</v>
      </c>
    </row>
    <row r="1003" spans="1:1" ht="15.75" customHeight="1" x14ac:dyDescent="0.45">
      <c r="A1003" s="2" t="s">
        <v>1002</v>
      </c>
    </row>
    <row r="1004" spans="1:1" ht="15.75" customHeight="1" x14ac:dyDescent="0.45">
      <c r="A1004" s="2" t="s">
        <v>1003</v>
      </c>
    </row>
    <row r="1005" spans="1:1" ht="15.75" customHeight="1" x14ac:dyDescent="0.45">
      <c r="A1005" s="2" t="s">
        <v>1004</v>
      </c>
    </row>
    <row r="1006" spans="1:1" ht="15.75" customHeight="1" x14ac:dyDescent="0.45">
      <c r="A1006" s="2" t="s">
        <v>1005</v>
      </c>
    </row>
    <row r="1007" spans="1:1" ht="15.75" customHeight="1" x14ac:dyDescent="0.45">
      <c r="A1007" s="2" t="s">
        <v>1006</v>
      </c>
    </row>
    <row r="1008" spans="1:1" ht="15.75" customHeight="1" x14ac:dyDescent="0.45">
      <c r="A1008" s="2" t="s">
        <v>1007</v>
      </c>
    </row>
    <row r="1009" spans="1:1" ht="15.75" customHeight="1" x14ac:dyDescent="0.45">
      <c r="A1009" s="2" t="s">
        <v>1008</v>
      </c>
    </row>
    <row r="1010" spans="1:1" ht="15.75" customHeight="1" x14ac:dyDescent="0.45">
      <c r="A1010" s="2" t="s">
        <v>1009</v>
      </c>
    </row>
    <row r="1011" spans="1:1" ht="15.75" customHeight="1" x14ac:dyDescent="0.45">
      <c r="A1011" s="2" t="s">
        <v>1010</v>
      </c>
    </row>
    <row r="1012" spans="1:1" ht="15.75" customHeight="1" x14ac:dyDescent="0.45">
      <c r="A1012" s="2" t="s">
        <v>1011</v>
      </c>
    </row>
    <row r="1013" spans="1:1" ht="15.75" customHeight="1" x14ac:dyDescent="0.45">
      <c r="A1013" s="2" t="s">
        <v>1012</v>
      </c>
    </row>
    <row r="1014" spans="1:1" ht="15.75" customHeight="1" x14ac:dyDescent="0.45">
      <c r="A1014" s="2" t="s">
        <v>1013</v>
      </c>
    </row>
    <row r="1015" spans="1:1" ht="15.75" customHeight="1" x14ac:dyDescent="0.45">
      <c r="A1015" s="2" t="s">
        <v>1014</v>
      </c>
    </row>
    <row r="1016" spans="1:1" ht="15.75" customHeight="1" x14ac:dyDescent="0.45">
      <c r="A1016" s="2" t="s">
        <v>1015</v>
      </c>
    </row>
    <row r="1017" spans="1:1" ht="15.75" customHeight="1" x14ac:dyDescent="0.45">
      <c r="A1017" s="2" t="s">
        <v>1016</v>
      </c>
    </row>
    <row r="1018" spans="1:1" ht="15.75" customHeight="1" x14ac:dyDescent="0.45">
      <c r="A1018" s="2" t="s">
        <v>1017</v>
      </c>
    </row>
    <row r="1019" spans="1:1" ht="15.75" customHeight="1" x14ac:dyDescent="0.45">
      <c r="A1019" s="2" t="s">
        <v>1018</v>
      </c>
    </row>
    <row r="1020" spans="1:1" ht="15.75" customHeight="1" x14ac:dyDescent="0.45">
      <c r="A1020" s="2" t="s">
        <v>1019</v>
      </c>
    </row>
    <row r="1021" spans="1:1" ht="15.75" customHeight="1" x14ac:dyDescent="0.45">
      <c r="A1021" s="2" t="s">
        <v>1020</v>
      </c>
    </row>
    <row r="1022" spans="1:1" ht="15.75" customHeight="1" x14ac:dyDescent="0.45">
      <c r="A1022" s="2" t="s">
        <v>1021</v>
      </c>
    </row>
    <row r="1023" spans="1:1" ht="15.75" customHeight="1" x14ac:dyDescent="0.45">
      <c r="A1023" s="2" t="s">
        <v>1022</v>
      </c>
    </row>
    <row r="1024" spans="1:1" ht="15.75" customHeight="1" x14ac:dyDescent="0.45">
      <c r="A1024" s="2" t="s">
        <v>1023</v>
      </c>
    </row>
    <row r="1025" spans="1:1" ht="15.75" customHeight="1" x14ac:dyDescent="0.45">
      <c r="A1025" s="2" t="s">
        <v>1024</v>
      </c>
    </row>
    <row r="1026" spans="1:1" ht="15.75" customHeight="1" x14ac:dyDescent="0.45">
      <c r="A1026" s="2" t="s">
        <v>1025</v>
      </c>
    </row>
    <row r="1027" spans="1:1" ht="15.75" customHeight="1" x14ac:dyDescent="0.45">
      <c r="A1027" s="2" t="s">
        <v>1026</v>
      </c>
    </row>
    <row r="1028" spans="1:1" ht="15.75" customHeight="1" x14ac:dyDescent="0.45">
      <c r="A1028" s="2" t="s">
        <v>1027</v>
      </c>
    </row>
    <row r="1029" spans="1:1" ht="15.75" customHeight="1" x14ac:dyDescent="0.45">
      <c r="A1029" s="2" t="s">
        <v>1028</v>
      </c>
    </row>
    <row r="1030" spans="1:1" ht="15.75" customHeight="1" x14ac:dyDescent="0.45">
      <c r="A1030" s="2" t="s">
        <v>1029</v>
      </c>
    </row>
    <row r="1031" spans="1:1" ht="15.75" customHeight="1" x14ac:dyDescent="0.45">
      <c r="A1031" s="2" t="s">
        <v>1030</v>
      </c>
    </row>
    <row r="1032" spans="1:1" ht="15.75" customHeight="1" x14ac:dyDescent="0.45">
      <c r="A1032" s="2" t="s">
        <v>1031</v>
      </c>
    </row>
    <row r="1033" spans="1:1" ht="15.75" customHeight="1" x14ac:dyDescent="0.45">
      <c r="A1033" s="2" t="s">
        <v>1032</v>
      </c>
    </row>
    <row r="1034" spans="1:1" ht="15.75" customHeight="1" x14ac:dyDescent="0.45">
      <c r="A1034" s="2" t="s">
        <v>1033</v>
      </c>
    </row>
    <row r="1035" spans="1:1" ht="15.75" customHeight="1" x14ac:dyDescent="0.45">
      <c r="A1035" s="2" t="s">
        <v>1034</v>
      </c>
    </row>
    <row r="1036" spans="1:1" ht="15.75" customHeight="1" x14ac:dyDescent="0.45">
      <c r="A1036" s="2" t="s">
        <v>1035</v>
      </c>
    </row>
    <row r="1037" spans="1:1" ht="15.75" customHeight="1" x14ac:dyDescent="0.45">
      <c r="A1037" s="2" t="s">
        <v>1036</v>
      </c>
    </row>
    <row r="1038" spans="1:1" ht="15.75" customHeight="1" x14ac:dyDescent="0.45">
      <c r="A1038" s="2" t="s">
        <v>1037</v>
      </c>
    </row>
    <row r="1039" spans="1:1" ht="15.75" customHeight="1" x14ac:dyDescent="0.45">
      <c r="A1039" s="2" t="s">
        <v>1038</v>
      </c>
    </row>
    <row r="1040" spans="1:1" ht="15.75" customHeight="1" x14ac:dyDescent="0.45">
      <c r="A1040" s="2" t="s">
        <v>1039</v>
      </c>
    </row>
    <row r="1041" spans="1:1" ht="15.75" customHeight="1" x14ac:dyDescent="0.45">
      <c r="A1041" s="2" t="s">
        <v>1040</v>
      </c>
    </row>
    <row r="1042" spans="1:1" ht="15.75" customHeight="1" x14ac:dyDescent="0.45">
      <c r="A1042" s="2" t="s">
        <v>1041</v>
      </c>
    </row>
    <row r="1043" spans="1:1" ht="15.75" customHeight="1" x14ac:dyDescent="0.45">
      <c r="A1043" s="2" t="s">
        <v>1042</v>
      </c>
    </row>
    <row r="1044" spans="1:1" ht="15.75" customHeight="1" x14ac:dyDescent="0.45">
      <c r="A1044" s="2" t="s">
        <v>1043</v>
      </c>
    </row>
    <row r="1045" spans="1:1" ht="15.75" customHeight="1" x14ac:dyDescent="0.45">
      <c r="A1045" s="2" t="s">
        <v>1044</v>
      </c>
    </row>
    <row r="1046" spans="1:1" ht="15.75" customHeight="1" x14ac:dyDescent="0.45">
      <c r="A1046" s="2" t="s">
        <v>1045</v>
      </c>
    </row>
    <row r="1047" spans="1:1" ht="15.75" customHeight="1" x14ac:dyDescent="0.45">
      <c r="A1047" s="2" t="s">
        <v>1046</v>
      </c>
    </row>
    <row r="1048" spans="1:1" ht="15.75" customHeight="1" x14ac:dyDescent="0.45">
      <c r="A1048" s="2" t="s">
        <v>1047</v>
      </c>
    </row>
    <row r="1049" spans="1:1" ht="15.75" customHeight="1" x14ac:dyDescent="0.45">
      <c r="A1049" s="2" t="s">
        <v>1048</v>
      </c>
    </row>
    <row r="1050" spans="1:1" ht="15.75" customHeight="1" x14ac:dyDescent="0.45">
      <c r="A1050" s="2" t="s">
        <v>1049</v>
      </c>
    </row>
    <row r="1051" spans="1:1" ht="15.75" customHeight="1" x14ac:dyDescent="0.45">
      <c r="A1051" s="2" t="s">
        <v>1050</v>
      </c>
    </row>
    <row r="1052" spans="1:1" ht="15.75" customHeight="1" x14ac:dyDescent="0.45">
      <c r="A1052" s="2" t="s">
        <v>1051</v>
      </c>
    </row>
    <row r="1053" spans="1:1" ht="15.75" customHeight="1" x14ac:dyDescent="0.45">
      <c r="A1053" s="2" t="s">
        <v>1052</v>
      </c>
    </row>
    <row r="1054" spans="1:1" ht="15.75" customHeight="1" x14ac:dyDescent="0.45">
      <c r="A1054" s="2" t="s">
        <v>1053</v>
      </c>
    </row>
    <row r="1055" spans="1:1" ht="15.75" customHeight="1" x14ac:dyDescent="0.45">
      <c r="A1055" s="2" t="s">
        <v>1054</v>
      </c>
    </row>
    <row r="1056" spans="1:1" ht="15.75" customHeight="1" x14ac:dyDescent="0.45">
      <c r="A1056" s="2" t="s">
        <v>1055</v>
      </c>
    </row>
    <row r="1057" spans="1:1" ht="15.75" customHeight="1" x14ac:dyDescent="0.45">
      <c r="A1057" s="2" t="s">
        <v>1056</v>
      </c>
    </row>
    <row r="1058" spans="1:1" ht="15.75" customHeight="1" x14ac:dyDescent="0.45">
      <c r="A1058" s="2" t="s">
        <v>1057</v>
      </c>
    </row>
    <row r="1059" spans="1:1" ht="15.75" customHeight="1" x14ac:dyDescent="0.45">
      <c r="A1059" s="2" t="s">
        <v>1058</v>
      </c>
    </row>
    <row r="1060" spans="1:1" ht="15.75" customHeight="1" x14ac:dyDescent="0.45">
      <c r="A1060" s="2" t="s">
        <v>1059</v>
      </c>
    </row>
    <row r="1061" spans="1:1" ht="15.75" customHeight="1" x14ac:dyDescent="0.45">
      <c r="A1061" s="2" t="s">
        <v>1060</v>
      </c>
    </row>
    <row r="1062" spans="1:1" ht="15.75" customHeight="1" x14ac:dyDescent="0.45">
      <c r="A1062" s="2" t="s">
        <v>1061</v>
      </c>
    </row>
    <row r="1063" spans="1:1" ht="15.75" customHeight="1" x14ac:dyDescent="0.45">
      <c r="A1063" s="2" t="s">
        <v>1062</v>
      </c>
    </row>
    <row r="1064" spans="1:1" ht="15.75" customHeight="1" x14ac:dyDescent="0.45">
      <c r="A1064" s="2" t="s">
        <v>1063</v>
      </c>
    </row>
    <row r="1065" spans="1:1" ht="15.75" customHeight="1" x14ac:dyDescent="0.45">
      <c r="A1065" s="2" t="s">
        <v>1064</v>
      </c>
    </row>
    <row r="1066" spans="1:1" ht="15.75" customHeight="1" x14ac:dyDescent="0.45">
      <c r="A1066" s="2" t="s">
        <v>1065</v>
      </c>
    </row>
    <row r="1067" spans="1:1" ht="15.75" customHeight="1" x14ac:dyDescent="0.45">
      <c r="A1067" s="2" t="s">
        <v>1066</v>
      </c>
    </row>
    <row r="1068" spans="1:1" ht="15.75" customHeight="1" x14ac:dyDescent="0.45">
      <c r="A1068" s="2" t="s">
        <v>1067</v>
      </c>
    </row>
    <row r="1069" spans="1:1" ht="15.75" customHeight="1" x14ac:dyDescent="0.45">
      <c r="A1069" s="2" t="s">
        <v>1068</v>
      </c>
    </row>
    <row r="1070" spans="1:1" ht="15.75" customHeight="1" x14ac:dyDescent="0.45">
      <c r="A1070" s="2" t="s">
        <v>1069</v>
      </c>
    </row>
    <row r="1071" spans="1:1" ht="15.75" customHeight="1" x14ac:dyDescent="0.45">
      <c r="A1071" s="2" t="s">
        <v>1070</v>
      </c>
    </row>
    <row r="1072" spans="1:1" ht="15.75" customHeight="1" x14ac:dyDescent="0.45">
      <c r="A1072" s="2" t="s">
        <v>1071</v>
      </c>
    </row>
    <row r="1073" spans="1:1" ht="15.75" customHeight="1" x14ac:dyDescent="0.45">
      <c r="A1073" s="2" t="s">
        <v>1072</v>
      </c>
    </row>
    <row r="1074" spans="1:1" ht="15.75" customHeight="1" x14ac:dyDescent="0.45">
      <c r="A1074" s="2" t="s">
        <v>1073</v>
      </c>
    </row>
    <row r="1075" spans="1:1" ht="15.75" customHeight="1" x14ac:dyDescent="0.45">
      <c r="A1075" s="2" t="s">
        <v>1074</v>
      </c>
    </row>
    <row r="1076" spans="1:1" ht="15.75" customHeight="1" x14ac:dyDescent="0.45">
      <c r="A1076" s="2" t="s">
        <v>1075</v>
      </c>
    </row>
    <row r="1077" spans="1:1" ht="15.75" customHeight="1" x14ac:dyDescent="0.45">
      <c r="A1077" s="2" t="s">
        <v>1076</v>
      </c>
    </row>
    <row r="1078" spans="1:1" ht="15.75" customHeight="1" x14ac:dyDescent="0.45">
      <c r="A1078" s="2" t="s">
        <v>1077</v>
      </c>
    </row>
    <row r="1079" spans="1:1" ht="15.75" customHeight="1" x14ac:dyDescent="0.45">
      <c r="A1079" s="2" t="s">
        <v>1078</v>
      </c>
    </row>
    <row r="1080" spans="1:1" ht="15.75" customHeight="1" x14ac:dyDescent="0.45">
      <c r="A1080" s="2" t="s">
        <v>1079</v>
      </c>
    </row>
    <row r="1081" spans="1:1" ht="15.75" customHeight="1" x14ac:dyDescent="0.45">
      <c r="A1081" s="2" t="s">
        <v>1080</v>
      </c>
    </row>
    <row r="1082" spans="1:1" ht="15.75" customHeight="1" x14ac:dyDescent="0.45">
      <c r="A1082" s="2" t="s">
        <v>1081</v>
      </c>
    </row>
    <row r="1083" spans="1:1" ht="15.75" customHeight="1" x14ac:dyDescent="0.45">
      <c r="A1083" s="2" t="s">
        <v>1082</v>
      </c>
    </row>
    <row r="1084" spans="1:1" ht="15.75" customHeight="1" x14ac:dyDescent="0.45">
      <c r="A1084" s="2" t="s">
        <v>1083</v>
      </c>
    </row>
    <row r="1085" spans="1:1" ht="15.75" customHeight="1" x14ac:dyDescent="0.45">
      <c r="A1085" s="2" t="s">
        <v>1084</v>
      </c>
    </row>
    <row r="1086" spans="1:1" ht="15.75" customHeight="1" x14ac:dyDescent="0.45">
      <c r="A1086" s="2" t="s">
        <v>1085</v>
      </c>
    </row>
    <row r="1087" spans="1:1" ht="15.75" customHeight="1" x14ac:dyDescent="0.45">
      <c r="A1087" s="2" t="s">
        <v>1086</v>
      </c>
    </row>
    <row r="1088" spans="1:1" ht="15.75" customHeight="1" x14ac:dyDescent="0.45">
      <c r="A1088" s="2" t="s">
        <v>1087</v>
      </c>
    </row>
    <row r="1089" spans="1:1" ht="15.75" customHeight="1" x14ac:dyDescent="0.45">
      <c r="A1089" s="2" t="s">
        <v>1088</v>
      </c>
    </row>
    <row r="1090" spans="1:1" ht="15.75" customHeight="1" x14ac:dyDescent="0.45">
      <c r="A1090" s="2" t="s">
        <v>1089</v>
      </c>
    </row>
    <row r="1091" spans="1:1" ht="15.75" customHeight="1" x14ac:dyDescent="0.45">
      <c r="A1091" s="2" t="s">
        <v>1090</v>
      </c>
    </row>
    <row r="1092" spans="1:1" ht="15.75" customHeight="1" x14ac:dyDescent="0.45">
      <c r="A1092" s="2" t="s">
        <v>1091</v>
      </c>
    </row>
    <row r="1093" spans="1:1" ht="15.75" customHeight="1" x14ac:dyDescent="0.45">
      <c r="A1093" s="2" t="s">
        <v>1092</v>
      </c>
    </row>
    <row r="1094" spans="1:1" ht="15.75" customHeight="1" x14ac:dyDescent="0.45">
      <c r="A1094" s="2" t="s">
        <v>1093</v>
      </c>
    </row>
    <row r="1095" spans="1:1" ht="15.75" customHeight="1" x14ac:dyDescent="0.45">
      <c r="A1095" s="2" t="s">
        <v>1094</v>
      </c>
    </row>
    <row r="1096" spans="1:1" ht="15.75" customHeight="1" x14ac:dyDescent="0.45">
      <c r="A1096" s="2" t="s">
        <v>1095</v>
      </c>
    </row>
    <row r="1097" spans="1:1" ht="15.75" customHeight="1" x14ac:dyDescent="0.45">
      <c r="A1097" s="2" t="s">
        <v>1096</v>
      </c>
    </row>
    <row r="1098" spans="1:1" ht="15.75" customHeight="1" x14ac:dyDescent="0.45">
      <c r="A1098" s="2" t="s">
        <v>1097</v>
      </c>
    </row>
    <row r="1099" spans="1:1" ht="15.75" customHeight="1" x14ac:dyDescent="0.45">
      <c r="A1099" s="2" t="s">
        <v>1098</v>
      </c>
    </row>
    <row r="1100" spans="1:1" ht="15.75" customHeight="1" x14ac:dyDescent="0.45">
      <c r="A1100" s="2" t="s">
        <v>1099</v>
      </c>
    </row>
    <row r="1101" spans="1:1" ht="15.75" customHeight="1" x14ac:dyDescent="0.45">
      <c r="A1101" s="2" t="s">
        <v>1100</v>
      </c>
    </row>
    <row r="1102" spans="1:1" ht="15.75" customHeight="1" x14ac:dyDescent="0.45">
      <c r="A1102" s="2" t="s">
        <v>1101</v>
      </c>
    </row>
    <row r="1103" spans="1:1" ht="15.75" customHeight="1" x14ac:dyDescent="0.45">
      <c r="A1103" s="2" t="s">
        <v>1102</v>
      </c>
    </row>
    <row r="1104" spans="1:1" ht="15.75" customHeight="1" x14ac:dyDescent="0.45">
      <c r="A1104" s="2" t="s">
        <v>1103</v>
      </c>
    </row>
    <row r="1105" spans="1:1" ht="15.75" customHeight="1" x14ac:dyDescent="0.45">
      <c r="A1105" s="2" t="s">
        <v>1104</v>
      </c>
    </row>
    <row r="1106" spans="1:1" ht="15.75" customHeight="1" x14ac:dyDescent="0.45">
      <c r="A1106" s="2" t="s">
        <v>1105</v>
      </c>
    </row>
    <row r="1107" spans="1:1" ht="15.75" customHeight="1" x14ac:dyDescent="0.45">
      <c r="A1107" s="2" t="s">
        <v>1106</v>
      </c>
    </row>
    <row r="1108" spans="1:1" ht="15.75" customHeight="1" x14ac:dyDescent="0.45">
      <c r="A1108" s="2" t="s">
        <v>1107</v>
      </c>
    </row>
    <row r="1109" spans="1:1" ht="15.75" customHeight="1" x14ac:dyDescent="0.45">
      <c r="A1109" s="2" t="s">
        <v>1108</v>
      </c>
    </row>
    <row r="1110" spans="1:1" ht="15.75" customHeight="1" x14ac:dyDescent="0.45">
      <c r="A1110" s="2" t="s">
        <v>1109</v>
      </c>
    </row>
    <row r="1111" spans="1:1" ht="15.75" customHeight="1" x14ac:dyDescent="0.45">
      <c r="A1111" s="2" t="s">
        <v>1110</v>
      </c>
    </row>
    <row r="1112" spans="1:1" ht="15.75" customHeight="1" x14ac:dyDescent="0.45">
      <c r="A1112" s="2" t="s">
        <v>1111</v>
      </c>
    </row>
    <row r="1113" spans="1:1" ht="15.75" customHeight="1" x14ac:dyDescent="0.45">
      <c r="A1113" s="2" t="s">
        <v>1112</v>
      </c>
    </row>
    <row r="1114" spans="1:1" ht="15.75" customHeight="1" x14ac:dyDescent="0.45">
      <c r="A1114" s="2" t="s">
        <v>1113</v>
      </c>
    </row>
    <row r="1115" spans="1:1" ht="15.75" customHeight="1" x14ac:dyDescent="0.45">
      <c r="A1115" s="2" t="s">
        <v>1114</v>
      </c>
    </row>
    <row r="1116" spans="1:1" ht="15.75" customHeight="1" x14ac:dyDescent="0.45">
      <c r="A1116" s="2" t="s">
        <v>1115</v>
      </c>
    </row>
    <row r="1117" spans="1:1" ht="15.75" customHeight="1" x14ac:dyDescent="0.45">
      <c r="A1117" s="2" t="s">
        <v>1116</v>
      </c>
    </row>
    <row r="1118" spans="1:1" ht="15.75" customHeight="1" x14ac:dyDescent="0.45">
      <c r="A1118" s="2" t="s">
        <v>1117</v>
      </c>
    </row>
    <row r="1119" spans="1:1" ht="15.75" customHeight="1" x14ac:dyDescent="0.45">
      <c r="A1119" s="2" t="s">
        <v>1118</v>
      </c>
    </row>
    <row r="1120" spans="1:1" ht="15.75" customHeight="1" x14ac:dyDescent="0.45">
      <c r="A1120" s="2" t="s">
        <v>1119</v>
      </c>
    </row>
    <row r="1121" spans="1:1" ht="15.75" customHeight="1" x14ac:dyDescent="0.45">
      <c r="A1121" s="2" t="s">
        <v>1120</v>
      </c>
    </row>
    <row r="1122" spans="1:1" ht="15.75" customHeight="1" x14ac:dyDescent="0.45">
      <c r="A1122" s="2" t="s">
        <v>1121</v>
      </c>
    </row>
    <row r="1123" spans="1:1" ht="15.75" customHeight="1" x14ac:dyDescent="0.45">
      <c r="A1123" s="2" t="s">
        <v>1122</v>
      </c>
    </row>
    <row r="1124" spans="1:1" ht="15.75" customHeight="1" x14ac:dyDescent="0.45">
      <c r="A1124" s="2" t="s">
        <v>1123</v>
      </c>
    </row>
    <row r="1125" spans="1:1" ht="15.75" customHeight="1" x14ac:dyDescent="0.45">
      <c r="A1125" s="2" t="s">
        <v>1124</v>
      </c>
    </row>
    <row r="1126" spans="1:1" ht="15.75" customHeight="1" x14ac:dyDescent="0.45">
      <c r="A1126" s="2" t="s">
        <v>1125</v>
      </c>
    </row>
    <row r="1127" spans="1:1" ht="15.75" customHeight="1" x14ac:dyDescent="0.45">
      <c r="A1127" s="2" t="s">
        <v>1126</v>
      </c>
    </row>
    <row r="1128" spans="1:1" ht="15.75" customHeight="1" x14ac:dyDescent="0.45">
      <c r="A1128" s="2" t="s">
        <v>1127</v>
      </c>
    </row>
    <row r="1129" spans="1:1" ht="15.75" customHeight="1" x14ac:dyDescent="0.45">
      <c r="A1129" s="2" t="s">
        <v>1128</v>
      </c>
    </row>
    <row r="1130" spans="1:1" ht="15.75" customHeight="1" x14ac:dyDescent="0.45">
      <c r="A1130" s="2" t="s">
        <v>1129</v>
      </c>
    </row>
    <row r="1131" spans="1:1" ht="15.75" customHeight="1" x14ac:dyDescent="0.45">
      <c r="A1131" s="2" t="s">
        <v>1130</v>
      </c>
    </row>
    <row r="1132" spans="1:1" ht="15.75" customHeight="1" x14ac:dyDescent="0.45">
      <c r="A1132" s="2" t="s">
        <v>1131</v>
      </c>
    </row>
    <row r="1133" spans="1:1" ht="15.75" customHeight="1" x14ac:dyDescent="0.45">
      <c r="A1133" s="2" t="s">
        <v>1132</v>
      </c>
    </row>
    <row r="1134" spans="1:1" ht="15.75" customHeight="1" x14ac:dyDescent="0.45">
      <c r="A1134" s="2" t="s">
        <v>1133</v>
      </c>
    </row>
    <row r="1135" spans="1:1" ht="15.75" customHeight="1" x14ac:dyDescent="0.45">
      <c r="A1135" s="2" t="s">
        <v>1134</v>
      </c>
    </row>
    <row r="1136" spans="1:1" ht="15.75" customHeight="1" x14ac:dyDescent="0.45">
      <c r="A1136" s="2" t="s">
        <v>1135</v>
      </c>
    </row>
    <row r="1137" spans="1:1" ht="15.75" customHeight="1" x14ac:dyDescent="0.45">
      <c r="A1137" s="2" t="s">
        <v>1136</v>
      </c>
    </row>
    <row r="1138" spans="1:1" ht="15.75" customHeight="1" x14ac:dyDescent="0.45">
      <c r="A1138" s="2" t="s">
        <v>1137</v>
      </c>
    </row>
    <row r="1139" spans="1:1" ht="15.75" customHeight="1" x14ac:dyDescent="0.45">
      <c r="A1139" s="2" t="s">
        <v>1138</v>
      </c>
    </row>
    <row r="1140" spans="1:1" ht="15.75" customHeight="1" x14ac:dyDescent="0.45">
      <c r="A1140" s="2" t="s">
        <v>1139</v>
      </c>
    </row>
    <row r="1141" spans="1:1" ht="15.75" customHeight="1" x14ac:dyDescent="0.45">
      <c r="A1141" s="2" t="s">
        <v>1140</v>
      </c>
    </row>
    <row r="1142" spans="1:1" ht="15.75" customHeight="1" x14ac:dyDescent="0.45">
      <c r="A1142" s="2" t="s">
        <v>1141</v>
      </c>
    </row>
    <row r="1143" spans="1:1" ht="15.75" customHeight="1" x14ac:dyDescent="0.45">
      <c r="A1143" s="2" t="s">
        <v>1142</v>
      </c>
    </row>
    <row r="1144" spans="1:1" ht="15.75" customHeight="1" x14ac:dyDescent="0.45">
      <c r="A1144" s="2" t="s">
        <v>1143</v>
      </c>
    </row>
    <row r="1145" spans="1:1" ht="15.75" customHeight="1" x14ac:dyDescent="0.45">
      <c r="A1145" s="2" t="s">
        <v>1144</v>
      </c>
    </row>
    <row r="1146" spans="1:1" ht="15.75" customHeight="1" x14ac:dyDescent="0.45">
      <c r="A1146" s="2" t="s">
        <v>1145</v>
      </c>
    </row>
    <row r="1147" spans="1:1" ht="15.75" customHeight="1" x14ac:dyDescent="0.45">
      <c r="A1147" s="2" t="s">
        <v>1146</v>
      </c>
    </row>
    <row r="1148" spans="1:1" ht="15.75" customHeight="1" x14ac:dyDescent="0.45">
      <c r="A1148" s="2" t="s">
        <v>1147</v>
      </c>
    </row>
    <row r="1149" spans="1:1" ht="15.75" customHeight="1" x14ac:dyDescent="0.45">
      <c r="A1149" s="2" t="s">
        <v>1148</v>
      </c>
    </row>
    <row r="1150" spans="1:1" ht="15.75" customHeight="1" x14ac:dyDescent="0.45">
      <c r="A1150" s="2" t="s">
        <v>1149</v>
      </c>
    </row>
    <row r="1151" spans="1:1" ht="15.75" customHeight="1" x14ac:dyDescent="0.45">
      <c r="A1151" s="2" t="s">
        <v>1150</v>
      </c>
    </row>
    <row r="1152" spans="1:1" ht="15.75" customHeight="1" x14ac:dyDescent="0.45">
      <c r="A1152" s="2" t="s">
        <v>1151</v>
      </c>
    </row>
    <row r="1153" spans="1:1" ht="15.75" customHeight="1" x14ac:dyDescent="0.45">
      <c r="A1153" s="2" t="s">
        <v>1152</v>
      </c>
    </row>
    <row r="1154" spans="1:1" ht="15.75" customHeight="1" x14ac:dyDescent="0.45">
      <c r="A1154" s="2" t="s">
        <v>1153</v>
      </c>
    </row>
    <row r="1155" spans="1:1" ht="15.75" customHeight="1" x14ac:dyDescent="0.45">
      <c r="A1155" s="2" t="s">
        <v>1154</v>
      </c>
    </row>
    <row r="1156" spans="1:1" ht="15.75" customHeight="1" x14ac:dyDescent="0.45">
      <c r="A1156" s="2" t="s">
        <v>1155</v>
      </c>
    </row>
    <row r="1157" spans="1:1" ht="15.75" customHeight="1" x14ac:dyDescent="0.45">
      <c r="A1157" s="2" t="s">
        <v>1156</v>
      </c>
    </row>
    <row r="1158" spans="1:1" ht="15.75" customHeight="1" x14ac:dyDescent="0.45">
      <c r="A1158" s="2" t="s">
        <v>1157</v>
      </c>
    </row>
    <row r="1159" spans="1:1" ht="15.75" customHeight="1" x14ac:dyDescent="0.45">
      <c r="A1159" s="2" t="s">
        <v>1158</v>
      </c>
    </row>
    <row r="1160" spans="1:1" ht="15.75" customHeight="1" x14ac:dyDescent="0.45">
      <c r="A1160" s="2" t="s">
        <v>1159</v>
      </c>
    </row>
    <row r="1161" spans="1:1" ht="15.75" customHeight="1" x14ac:dyDescent="0.45">
      <c r="A1161" s="2" t="s">
        <v>1160</v>
      </c>
    </row>
    <row r="1162" spans="1:1" ht="15.75" customHeight="1" x14ac:dyDescent="0.45">
      <c r="A1162" s="2" t="s">
        <v>1161</v>
      </c>
    </row>
    <row r="1163" spans="1:1" ht="15.75" customHeight="1" x14ac:dyDescent="0.45">
      <c r="A1163" s="2" t="s">
        <v>1162</v>
      </c>
    </row>
    <row r="1164" spans="1:1" ht="15.75" customHeight="1" x14ac:dyDescent="0.45">
      <c r="A1164" s="2" t="s">
        <v>1163</v>
      </c>
    </row>
    <row r="1165" spans="1:1" ht="15.75" customHeight="1" x14ac:dyDescent="0.45">
      <c r="A1165" s="2" t="s">
        <v>1164</v>
      </c>
    </row>
    <row r="1166" spans="1:1" ht="15.75" customHeight="1" x14ac:dyDescent="0.45">
      <c r="A1166" s="2" t="s">
        <v>1165</v>
      </c>
    </row>
    <row r="1167" spans="1:1" ht="15.75" customHeight="1" x14ac:dyDescent="0.45">
      <c r="A1167" s="2" t="s">
        <v>1166</v>
      </c>
    </row>
    <row r="1168" spans="1:1" ht="15.75" customHeight="1" x14ac:dyDescent="0.45">
      <c r="A1168" s="2" t="s">
        <v>1167</v>
      </c>
    </row>
    <row r="1169" spans="1:1" ht="15.75" customHeight="1" x14ac:dyDescent="0.45">
      <c r="A1169" s="2" t="s">
        <v>1168</v>
      </c>
    </row>
    <row r="1170" spans="1:1" ht="15.75" customHeight="1" x14ac:dyDescent="0.45">
      <c r="A1170" s="2" t="s">
        <v>1169</v>
      </c>
    </row>
    <row r="1171" spans="1:1" ht="15.75" customHeight="1" x14ac:dyDescent="0.45">
      <c r="A1171" s="2" t="s">
        <v>1170</v>
      </c>
    </row>
    <row r="1172" spans="1:1" ht="15.75" customHeight="1" x14ac:dyDescent="0.45">
      <c r="A1172" s="2" t="s">
        <v>1171</v>
      </c>
    </row>
    <row r="1173" spans="1:1" ht="15.75" customHeight="1" x14ac:dyDescent="0.45">
      <c r="A1173" s="2" t="s">
        <v>1172</v>
      </c>
    </row>
    <row r="1174" spans="1:1" ht="15.75" customHeight="1" x14ac:dyDescent="0.45">
      <c r="A1174" s="2" t="s">
        <v>1173</v>
      </c>
    </row>
    <row r="1175" spans="1:1" ht="15.75" customHeight="1" x14ac:dyDescent="0.45">
      <c r="A1175" s="2" t="s">
        <v>1174</v>
      </c>
    </row>
    <row r="1176" spans="1:1" ht="15.75" customHeight="1" x14ac:dyDescent="0.45">
      <c r="A1176" s="2" t="s">
        <v>1175</v>
      </c>
    </row>
    <row r="1177" spans="1:1" ht="15.75" customHeight="1" x14ac:dyDescent="0.45">
      <c r="A1177" s="2" t="s">
        <v>1176</v>
      </c>
    </row>
    <row r="1178" spans="1:1" ht="15.75" customHeight="1" x14ac:dyDescent="0.45">
      <c r="A1178" s="2" t="s">
        <v>1177</v>
      </c>
    </row>
    <row r="1179" spans="1:1" ht="15.75" customHeight="1" x14ac:dyDescent="0.45">
      <c r="A1179" s="2" t="s">
        <v>1178</v>
      </c>
    </row>
    <row r="1180" spans="1:1" ht="15.75" customHeight="1" x14ac:dyDescent="0.45">
      <c r="A1180" s="2" t="s">
        <v>1179</v>
      </c>
    </row>
    <row r="1181" spans="1:1" ht="15.75" customHeight="1" x14ac:dyDescent="0.45">
      <c r="A1181" s="2" t="s">
        <v>1180</v>
      </c>
    </row>
    <row r="1182" spans="1:1" ht="15.75" customHeight="1" x14ac:dyDescent="0.45">
      <c r="A1182" s="2" t="s">
        <v>1181</v>
      </c>
    </row>
    <row r="1183" spans="1:1" ht="15.75" customHeight="1" x14ac:dyDescent="0.45">
      <c r="A1183" s="2" t="s">
        <v>1182</v>
      </c>
    </row>
    <row r="1184" spans="1:1" ht="15.75" customHeight="1" x14ac:dyDescent="0.45">
      <c r="A1184" s="2" t="s">
        <v>1183</v>
      </c>
    </row>
    <row r="1185" spans="1:1" ht="15.75" customHeight="1" x14ac:dyDescent="0.45">
      <c r="A1185" s="2" t="s">
        <v>1184</v>
      </c>
    </row>
    <row r="1186" spans="1:1" ht="15.75" customHeight="1" x14ac:dyDescent="0.45">
      <c r="A1186" s="2" t="s">
        <v>1185</v>
      </c>
    </row>
    <row r="1187" spans="1:1" ht="15.75" customHeight="1" x14ac:dyDescent="0.45">
      <c r="A1187" s="2" t="s">
        <v>1186</v>
      </c>
    </row>
    <row r="1188" spans="1:1" ht="15.75" customHeight="1" x14ac:dyDescent="0.45">
      <c r="A1188" s="2" t="s">
        <v>1187</v>
      </c>
    </row>
    <row r="1189" spans="1:1" ht="15.75" customHeight="1" x14ac:dyDescent="0.45">
      <c r="A1189" s="2" t="s">
        <v>1188</v>
      </c>
    </row>
    <row r="1190" spans="1:1" ht="15.75" customHeight="1" x14ac:dyDescent="0.45">
      <c r="A1190" s="2" t="s">
        <v>1189</v>
      </c>
    </row>
    <row r="1191" spans="1:1" ht="15.75" customHeight="1" x14ac:dyDescent="0.45">
      <c r="A1191" s="2" t="s">
        <v>1190</v>
      </c>
    </row>
    <row r="1192" spans="1:1" ht="15.75" customHeight="1" x14ac:dyDescent="0.45">
      <c r="A1192" s="2" t="s">
        <v>1191</v>
      </c>
    </row>
    <row r="1193" spans="1:1" ht="15.75" customHeight="1" x14ac:dyDescent="0.45">
      <c r="A1193" s="2" t="s">
        <v>1192</v>
      </c>
    </row>
    <row r="1194" spans="1:1" ht="15.75" customHeight="1" x14ac:dyDescent="0.45">
      <c r="A1194" s="2" t="s">
        <v>1193</v>
      </c>
    </row>
    <row r="1195" spans="1:1" ht="15.75" customHeight="1" x14ac:dyDescent="0.45">
      <c r="A1195" s="2" t="s">
        <v>1194</v>
      </c>
    </row>
    <row r="1196" spans="1:1" ht="15.75" customHeight="1" x14ac:dyDescent="0.45">
      <c r="A1196" s="2" t="s">
        <v>1195</v>
      </c>
    </row>
    <row r="1197" spans="1:1" ht="15.75" customHeight="1" x14ac:dyDescent="0.45">
      <c r="A1197" s="2" t="s">
        <v>1196</v>
      </c>
    </row>
    <row r="1198" spans="1:1" ht="15.75" customHeight="1" x14ac:dyDescent="0.45">
      <c r="A1198" s="2" t="s">
        <v>1197</v>
      </c>
    </row>
    <row r="1199" spans="1:1" ht="15.75" customHeight="1" x14ac:dyDescent="0.45">
      <c r="A1199" s="2" t="s">
        <v>1198</v>
      </c>
    </row>
    <row r="1200" spans="1:1" ht="15.75" customHeight="1" x14ac:dyDescent="0.45">
      <c r="A1200" s="2" t="s">
        <v>1199</v>
      </c>
    </row>
    <row r="1201" spans="1:1" ht="15.75" customHeight="1" x14ac:dyDescent="0.45">
      <c r="A1201" s="2" t="s">
        <v>1200</v>
      </c>
    </row>
    <row r="1202" spans="1:1" ht="15.75" customHeight="1" x14ac:dyDescent="0.45">
      <c r="A1202" s="2" t="s">
        <v>1201</v>
      </c>
    </row>
    <row r="1203" spans="1:1" ht="15.75" customHeight="1" x14ac:dyDescent="0.45">
      <c r="A1203" s="2" t="s">
        <v>1202</v>
      </c>
    </row>
    <row r="1204" spans="1:1" ht="15.75" customHeight="1" x14ac:dyDescent="0.45">
      <c r="A1204" s="2" t="s">
        <v>1203</v>
      </c>
    </row>
    <row r="1205" spans="1:1" ht="15.75" customHeight="1" x14ac:dyDescent="0.45">
      <c r="A1205" s="2" t="s">
        <v>1204</v>
      </c>
    </row>
    <row r="1206" spans="1:1" ht="15.75" customHeight="1" x14ac:dyDescent="0.45">
      <c r="A1206" s="2" t="s">
        <v>1205</v>
      </c>
    </row>
    <row r="1207" spans="1:1" ht="15.75" customHeight="1" x14ac:dyDescent="0.45">
      <c r="A1207" s="2" t="s">
        <v>1206</v>
      </c>
    </row>
    <row r="1208" spans="1:1" ht="15.75" customHeight="1" x14ac:dyDescent="0.45">
      <c r="A1208" s="2" t="s">
        <v>1207</v>
      </c>
    </row>
    <row r="1209" spans="1:1" ht="15.75" customHeight="1" x14ac:dyDescent="0.45">
      <c r="A1209" s="2" t="s">
        <v>1208</v>
      </c>
    </row>
    <row r="1210" spans="1:1" ht="15.75" customHeight="1" x14ac:dyDescent="0.45">
      <c r="A1210" s="2" t="s">
        <v>1209</v>
      </c>
    </row>
    <row r="1211" spans="1:1" ht="15.75" customHeight="1" x14ac:dyDescent="0.45">
      <c r="A1211" s="2" t="s">
        <v>1210</v>
      </c>
    </row>
    <row r="1212" spans="1:1" ht="15.75" customHeight="1" x14ac:dyDescent="0.45">
      <c r="A1212" s="2" t="s">
        <v>1211</v>
      </c>
    </row>
    <row r="1213" spans="1:1" ht="15.75" customHeight="1" x14ac:dyDescent="0.45">
      <c r="A1213" s="2" t="s">
        <v>1212</v>
      </c>
    </row>
    <row r="1214" spans="1:1" ht="15.75" customHeight="1" x14ac:dyDescent="0.45">
      <c r="A1214" s="2" t="s">
        <v>1213</v>
      </c>
    </row>
    <row r="1215" spans="1:1" ht="15.75" customHeight="1" x14ac:dyDescent="0.45">
      <c r="A1215" s="2" t="s">
        <v>1214</v>
      </c>
    </row>
    <row r="1216" spans="1:1" ht="15.75" customHeight="1" x14ac:dyDescent="0.45">
      <c r="A1216" s="2" t="s">
        <v>1215</v>
      </c>
    </row>
    <row r="1217" spans="1:1" ht="15.75" customHeight="1" x14ac:dyDescent="0.45">
      <c r="A1217" s="2" t="s">
        <v>1216</v>
      </c>
    </row>
    <row r="1218" spans="1:1" ht="15.75" customHeight="1" x14ac:dyDescent="0.45">
      <c r="A1218" s="2" t="s">
        <v>1217</v>
      </c>
    </row>
    <row r="1219" spans="1:1" ht="15.75" customHeight="1" x14ac:dyDescent="0.45">
      <c r="A1219" s="2" t="s">
        <v>1218</v>
      </c>
    </row>
    <row r="1220" spans="1:1" ht="15.75" customHeight="1" x14ac:dyDescent="0.45">
      <c r="A1220" s="2" t="s">
        <v>1219</v>
      </c>
    </row>
    <row r="1221" spans="1:1" ht="15.75" customHeight="1" x14ac:dyDescent="0.45">
      <c r="A1221" s="2" t="s">
        <v>1220</v>
      </c>
    </row>
    <row r="1222" spans="1:1" ht="15.75" customHeight="1" x14ac:dyDescent="0.45">
      <c r="A1222" s="2" t="s">
        <v>1221</v>
      </c>
    </row>
    <row r="1223" spans="1:1" ht="15.75" customHeight="1" x14ac:dyDescent="0.45">
      <c r="A1223" s="2" t="s">
        <v>1222</v>
      </c>
    </row>
    <row r="1224" spans="1:1" ht="15.75" customHeight="1" x14ac:dyDescent="0.45">
      <c r="A1224" s="2" t="s">
        <v>1223</v>
      </c>
    </row>
    <row r="1225" spans="1:1" ht="15.75" customHeight="1" x14ac:dyDescent="0.45">
      <c r="A1225" s="2" t="s">
        <v>1224</v>
      </c>
    </row>
    <row r="1226" spans="1:1" ht="15.75" customHeight="1" x14ac:dyDescent="0.45">
      <c r="A1226" s="2" t="s">
        <v>1225</v>
      </c>
    </row>
    <row r="1227" spans="1:1" ht="15.75" customHeight="1" x14ac:dyDescent="0.45">
      <c r="A1227" s="2" t="s">
        <v>1226</v>
      </c>
    </row>
    <row r="1228" spans="1:1" ht="15.75" customHeight="1" x14ac:dyDescent="0.45">
      <c r="A1228" s="2" t="s">
        <v>1227</v>
      </c>
    </row>
    <row r="1229" spans="1:1" ht="15.75" customHeight="1" x14ac:dyDescent="0.45">
      <c r="A1229" s="2" t="s">
        <v>1228</v>
      </c>
    </row>
    <row r="1230" spans="1:1" ht="15.75" customHeight="1" x14ac:dyDescent="0.45">
      <c r="A1230" s="2" t="s">
        <v>1229</v>
      </c>
    </row>
    <row r="1231" spans="1:1" ht="15.75" customHeight="1" x14ac:dyDescent="0.45">
      <c r="A1231" s="2" t="s">
        <v>1230</v>
      </c>
    </row>
    <row r="1232" spans="1:1" ht="15.75" customHeight="1" x14ac:dyDescent="0.45">
      <c r="A1232" s="2" t="s">
        <v>1231</v>
      </c>
    </row>
    <row r="1233" spans="1:1" ht="15.75" customHeight="1" x14ac:dyDescent="0.45">
      <c r="A1233" s="2" t="s">
        <v>1232</v>
      </c>
    </row>
    <row r="1234" spans="1:1" ht="15.75" customHeight="1" x14ac:dyDescent="0.45">
      <c r="A1234" s="2" t="s">
        <v>1233</v>
      </c>
    </row>
    <row r="1235" spans="1:1" ht="15.75" customHeight="1" x14ac:dyDescent="0.45">
      <c r="A1235" s="2" t="s">
        <v>1234</v>
      </c>
    </row>
    <row r="1236" spans="1:1" ht="15.75" customHeight="1" x14ac:dyDescent="0.45">
      <c r="A1236" s="2" t="s">
        <v>1235</v>
      </c>
    </row>
    <row r="1237" spans="1:1" ht="15.75" customHeight="1" x14ac:dyDescent="0.45">
      <c r="A1237" s="2" t="s">
        <v>1236</v>
      </c>
    </row>
    <row r="1238" spans="1:1" ht="15.75" customHeight="1" x14ac:dyDescent="0.45">
      <c r="A1238" s="2" t="s">
        <v>1237</v>
      </c>
    </row>
    <row r="1239" spans="1:1" ht="15.75" customHeight="1" x14ac:dyDescent="0.45">
      <c r="A1239" s="2" t="s">
        <v>1238</v>
      </c>
    </row>
    <row r="1240" spans="1:1" ht="15.75" customHeight="1" x14ac:dyDescent="0.45">
      <c r="A1240" s="2" t="s">
        <v>1239</v>
      </c>
    </row>
    <row r="1241" spans="1:1" ht="15.75" customHeight="1" x14ac:dyDescent="0.45">
      <c r="A1241" s="2" t="s">
        <v>1240</v>
      </c>
    </row>
    <row r="1242" spans="1:1" ht="15.75" customHeight="1" x14ac:dyDescent="0.45">
      <c r="A1242" s="2" t="s">
        <v>1241</v>
      </c>
    </row>
    <row r="1243" spans="1:1" ht="15.75" customHeight="1" x14ac:dyDescent="0.45">
      <c r="A1243" s="2" t="s">
        <v>1242</v>
      </c>
    </row>
    <row r="1244" spans="1:1" ht="15.75" customHeight="1" x14ac:dyDescent="0.45">
      <c r="A1244" s="2" t="s">
        <v>1243</v>
      </c>
    </row>
    <row r="1245" spans="1:1" ht="15.75" customHeight="1" x14ac:dyDescent="0.45">
      <c r="A1245" s="2" t="s">
        <v>1244</v>
      </c>
    </row>
    <row r="1246" spans="1:1" ht="15.75" customHeight="1" x14ac:dyDescent="0.45">
      <c r="A1246" s="2" t="s">
        <v>1245</v>
      </c>
    </row>
    <row r="1247" spans="1:1" ht="15.75" customHeight="1" x14ac:dyDescent="0.45">
      <c r="A1247" s="2" t="s">
        <v>1246</v>
      </c>
    </row>
    <row r="1248" spans="1:1" ht="15.75" customHeight="1" x14ac:dyDescent="0.45">
      <c r="A1248" s="2" t="s">
        <v>1247</v>
      </c>
    </row>
    <row r="1249" spans="1:1" ht="15.75" customHeight="1" x14ac:dyDescent="0.45">
      <c r="A1249" s="2" t="s">
        <v>1248</v>
      </c>
    </row>
    <row r="1250" spans="1:1" ht="15.75" customHeight="1" x14ac:dyDescent="0.45">
      <c r="A1250" s="2" t="s">
        <v>1249</v>
      </c>
    </row>
    <row r="1251" spans="1:1" ht="15.75" customHeight="1" x14ac:dyDescent="0.45">
      <c r="A1251" s="2" t="s">
        <v>1250</v>
      </c>
    </row>
    <row r="1252" spans="1:1" ht="15.75" customHeight="1" x14ac:dyDescent="0.45">
      <c r="A1252" s="2" t="s">
        <v>1251</v>
      </c>
    </row>
    <row r="1253" spans="1:1" ht="15.75" customHeight="1" x14ac:dyDescent="0.45">
      <c r="A1253" s="2" t="s">
        <v>1252</v>
      </c>
    </row>
    <row r="1254" spans="1:1" ht="15.75" customHeight="1" x14ac:dyDescent="0.45">
      <c r="A1254" s="2" t="s">
        <v>1253</v>
      </c>
    </row>
    <row r="1255" spans="1:1" ht="15.75" customHeight="1" x14ac:dyDescent="0.45">
      <c r="A1255" s="2" t="s">
        <v>1254</v>
      </c>
    </row>
    <row r="1256" spans="1:1" ht="15.75" customHeight="1" x14ac:dyDescent="0.45">
      <c r="A1256" s="2" t="s">
        <v>1255</v>
      </c>
    </row>
    <row r="1257" spans="1:1" ht="15.75" customHeight="1" x14ac:dyDescent="0.45">
      <c r="A1257" s="2" t="s">
        <v>1256</v>
      </c>
    </row>
    <row r="1258" spans="1:1" ht="15.75" customHeight="1" x14ac:dyDescent="0.45">
      <c r="A1258" s="2" t="s">
        <v>1257</v>
      </c>
    </row>
    <row r="1259" spans="1:1" ht="15.75" customHeight="1" x14ac:dyDescent="0.45">
      <c r="A1259" s="2" t="s">
        <v>1258</v>
      </c>
    </row>
    <row r="1260" spans="1:1" ht="15.75" customHeight="1" x14ac:dyDescent="0.45">
      <c r="A1260" s="2" t="s">
        <v>1259</v>
      </c>
    </row>
    <row r="1261" spans="1:1" ht="15.75" customHeight="1" x14ac:dyDescent="0.45">
      <c r="A1261" s="2" t="s">
        <v>1260</v>
      </c>
    </row>
    <row r="1262" spans="1:1" ht="15.75" customHeight="1" x14ac:dyDescent="0.45">
      <c r="A1262" s="2" t="s">
        <v>1261</v>
      </c>
    </row>
    <row r="1263" spans="1:1" ht="15.75" customHeight="1" x14ac:dyDescent="0.45">
      <c r="A1263" s="2" t="s">
        <v>1262</v>
      </c>
    </row>
    <row r="1264" spans="1:1" ht="15.75" customHeight="1" x14ac:dyDescent="0.45">
      <c r="A1264" s="2" t="s">
        <v>1263</v>
      </c>
    </row>
    <row r="1265" spans="1:1" ht="15.75" customHeight="1" x14ac:dyDescent="0.45">
      <c r="A1265" s="2" t="s">
        <v>1264</v>
      </c>
    </row>
    <row r="1266" spans="1:1" ht="15.75" customHeight="1" x14ac:dyDescent="0.45">
      <c r="A1266" s="2" t="s">
        <v>1265</v>
      </c>
    </row>
    <row r="1267" spans="1:1" ht="15.75" customHeight="1" x14ac:dyDescent="0.45">
      <c r="A1267" s="2" t="s">
        <v>1266</v>
      </c>
    </row>
    <row r="1268" spans="1:1" ht="15.75" customHeight="1" x14ac:dyDescent="0.45">
      <c r="A1268" s="2" t="s">
        <v>1267</v>
      </c>
    </row>
    <row r="1269" spans="1:1" ht="15.75" customHeight="1" x14ac:dyDescent="0.45">
      <c r="A1269" s="2" t="s">
        <v>1268</v>
      </c>
    </row>
    <row r="1270" spans="1:1" ht="15.75" customHeight="1" x14ac:dyDescent="0.45">
      <c r="A1270" s="2" t="s">
        <v>1269</v>
      </c>
    </row>
    <row r="1271" spans="1:1" ht="15.75" customHeight="1" x14ac:dyDescent="0.45">
      <c r="A1271" s="2" t="s">
        <v>1270</v>
      </c>
    </row>
    <row r="1272" spans="1:1" ht="15.75" customHeight="1" x14ac:dyDescent="0.45">
      <c r="A1272" s="2" t="s">
        <v>1271</v>
      </c>
    </row>
    <row r="1273" spans="1:1" ht="15.75" customHeight="1" x14ac:dyDescent="0.45">
      <c r="A1273" s="2" t="s">
        <v>1272</v>
      </c>
    </row>
    <row r="1274" spans="1:1" ht="15.75" customHeight="1" x14ac:dyDescent="0.45">
      <c r="A1274" s="2" t="s">
        <v>1273</v>
      </c>
    </row>
    <row r="1275" spans="1:1" ht="15.75" customHeight="1" x14ac:dyDescent="0.45">
      <c r="A1275" s="2" t="s">
        <v>1274</v>
      </c>
    </row>
    <row r="1276" spans="1:1" ht="15.75" customHeight="1" x14ac:dyDescent="0.45">
      <c r="A1276" s="2" t="s">
        <v>1275</v>
      </c>
    </row>
    <row r="1277" spans="1:1" ht="15.75" customHeight="1" x14ac:dyDescent="0.45">
      <c r="A1277" s="2" t="s">
        <v>1276</v>
      </c>
    </row>
    <row r="1278" spans="1:1" ht="15.75" customHeight="1" x14ac:dyDescent="0.45">
      <c r="A1278" s="2" t="s">
        <v>1277</v>
      </c>
    </row>
    <row r="1279" spans="1:1" ht="15.75" customHeight="1" x14ac:dyDescent="0.45">
      <c r="A1279" s="2" t="s">
        <v>1278</v>
      </c>
    </row>
    <row r="1280" spans="1:1" ht="15.75" customHeight="1" x14ac:dyDescent="0.45">
      <c r="A1280" s="2" t="s">
        <v>1279</v>
      </c>
    </row>
    <row r="1281" spans="1:1" ht="15.75" customHeight="1" x14ac:dyDescent="0.45">
      <c r="A1281" s="2" t="s">
        <v>1280</v>
      </c>
    </row>
    <row r="1282" spans="1:1" ht="15.75" customHeight="1" x14ac:dyDescent="0.45">
      <c r="A1282" s="2" t="s">
        <v>1281</v>
      </c>
    </row>
    <row r="1283" spans="1:1" ht="15.75" customHeight="1" x14ac:dyDescent="0.45">
      <c r="A1283" s="2" t="s">
        <v>1282</v>
      </c>
    </row>
    <row r="1284" spans="1:1" ht="15.75" customHeight="1" x14ac:dyDescent="0.45">
      <c r="A1284" s="2" t="s">
        <v>1283</v>
      </c>
    </row>
    <row r="1285" spans="1:1" ht="15.75" customHeight="1" x14ac:dyDescent="0.45">
      <c r="A1285" s="2" t="s">
        <v>1284</v>
      </c>
    </row>
    <row r="1286" spans="1:1" ht="15.75" customHeight="1" x14ac:dyDescent="0.45">
      <c r="A1286" s="2" t="s">
        <v>1285</v>
      </c>
    </row>
    <row r="1287" spans="1:1" ht="15.75" customHeight="1" x14ac:dyDescent="0.45">
      <c r="A1287" s="2" t="s">
        <v>1286</v>
      </c>
    </row>
    <row r="1288" spans="1:1" ht="15.75" customHeight="1" x14ac:dyDescent="0.45">
      <c r="A1288" s="2" t="s">
        <v>1287</v>
      </c>
    </row>
    <row r="1289" spans="1:1" ht="15.75" customHeight="1" x14ac:dyDescent="0.45">
      <c r="A1289" s="2" t="s">
        <v>1288</v>
      </c>
    </row>
    <row r="1290" spans="1:1" ht="15.75" customHeight="1" x14ac:dyDescent="0.45">
      <c r="A1290" s="2" t="s">
        <v>1289</v>
      </c>
    </row>
    <row r="1291" spans="1:1" ht="15.75" customHeight="1" x14ac:dyDescent="0.45">
      <c r="A1291" s="2" t="s">
        <v>1290</v>
      </c>
    </row>
    <row r="1292" spans="1:1" ht="15.75" customHeight="1" x14ac:dyDescent="0.45">
      <c r="A1292" s="2" t="s">
        <v>1291</v>
      </c>
    </row>
    <row r="1293" spans="1:1" ht="15.75" customHeight="1" x14ac:dyDescent="0.45">
      <c r="A1293" s="2" t="s">
        <v>1292</v>
      </c>
    </row>
    <row r="1294" spans="1:1" ht="15.75" customHeight="1" x14ac:dyDescent="0.45">
      <c r="A1294" s="2" t="s">
        <v>1293</v>
      </c>
    </row>
    <row r="1295" spans="1:1" ht="15.75" customHeight="1" x14ac:dyDescent="0.45">
      <c r="A1295" s="2" t="s">
        <v>1294</v>
      </c>
    </row>
    <row r="1296" spans="1:1" ht="15.75" customHeight="1" x14ac:dyDescent="0.45">
      <c r="A1296" s="2" t="s">
        <v>1295</v>
      </c>
    </row>
    <row r="1297" spans="1:1" ht="15.75" customHeight="1" x14ac:dyDescent="0.45">
      <c r="A1297" s="2" t="s">
        <v>1296</v>
      </c>
    </row>
    <row r="1298" spans="1:1" ht="15.75" customHeight="1" x14ac:dyDescent="0.45">
      <c r="A1298" s="2" t="s">
        <v>1297</v>
      </c>
    </row>
    <row r="1299" spans="1:1" ht="15.75" customHeight="1" x14ac:dyDescent="0.45">
      <c r="A1299" s="2" t="s">
        <v>1298</v>
      </c>
    </row>
    <row r="1300" spans="1:1" ht="15.75" customHeight="1" x14ac:dyDescent="0.45">
      <c r="A1300" s="2" t="s">
        <v>1299</v>
      </c>
    </row>
    <row r="1301" spans="1:1" ht="15.75" customHeight="1" x14ac:dyDescent="0.45">
      <c r="A1301" s="2" t="s">
        <v>1300</v>
      </c>
    </row>
    <row r="1302" spans="1:1" ht="15.75" customHeight="1" x14ac:dyDescent="0.45">
      <c r="A1302" s="2" t="s">
        <v>1301</v>
      </c>
    </row>
    <row r="1303" spans="1:1" ht="15.75" customHeight="1" x14ac:dyDescent="0.45">
      <c r="A1303" s="2" t="s">
        <v>1302</v>
      </c>
    </row>
    <row r="1304" spans="1:1" ht="15.75" customHeight="1" x14ac:dyDescent="0.45">
      <c r="A1304" s="2" t="s">
        <v>1303</v>
      </c>
    </row>
    <row r="1305" spans="1:1" ht="15.75" customHeight="1" x14ac:dyDescent="0.45">
      <c r="A1305" s="2" t="s">
        <v>1304</v>
      </c>
    </row>
    <row r="1306" spans="1:1" ht="15.75" customHeight="1" x14ac:dyDescent="0.45">
      <c r="A1306" s="2" t="s">
        <v>1305</v>
      </c>
    </row>
    <row r="1307" spans="1:1" ht="15.75" customHeight="1" x14ac:dyDescent="0.45">
      <c r="A1307" s="2" t="s">
        <v>1306</v>
      </c>
    </row>
    <row r="1308" spans="1:1" ht="15.75" customHeight="1" x14ac:dyDescent="0.45">
      <c r="A1308" s="2" t="s">
        <v>1307</v>
      </c>
    </row>
    <row r="1309" spans="1:1" ht="15.75" customHeight="1" x14ac:dyDescent="0.45">
      <c r="A1309" s="2" t="s">
        <v>1308</v>
      </c>
    </row>
    <row r="1310" spans="1:1" ht="15.75" customHeight="1" x14ac:dyDescent="0.45">
      <c r="A1310" s="2" t="s">
        <v>1309</v>
      </c>
    </row>
    <row r="1311" spans="1:1" ht="15.75" customHeight="1" x14ac:dyDescent="0.45">
      <c r="A1311" s="2" t="s">
        <v>1310</v>
      </c>
    </row>
    <row r="1312" spans="1:1" ht="15.75" customHeight="1" x14ac:dyDescent="0.45">
      <c r="A1312" s="2" t="s">
        <v>1311</v>
      </c>
    </row>
    <row r="1313" spans="1:1" ht="15.75" customHeight="1" x14ac:dyDescent="0.45">
      <c r="A1313" s="2" t="s">
        <v>1312</v>
      </c>
    </row>
    <row r="1314" spans="1:1" ht="15.75" customHeight="1" x14ac:dyDescent="0.45">
      <c r="A1314" s="2" t="s">
        <v>1313</v>
      </c>
    </row>
    <row r="1315" spans="1:1" ht="15.75" customHeight="1" x14ac:dyDescent="0.45">
      <c r="A1315" s="2" t="s">
        <v>1314</v>
      </c>
    </row>
    <row r="1316" spans="1:1" ht="15.75" customHeight="1" x14ac:dyDescent="0.45">
      <c r="A1316" s="2" t="s">
        <v>1315</v>
      </c>
    </row>
    <row r="1317" spans="1:1" ht="15.75" customHeight="1" x14ac:dyDescent="0.45">
      <c r="A1317" s="2" t="s">
        <v>1316</v>
      </c>
    </row>
    <row r="1318" spans="1:1" ht="15.75" customHeight="1" x14ac:dyDescent="0.45">
      <c r="A1318" s="2" t="s">
        <v>1317</v>
      </c>
    </row>
    <row r="1319" spans="1:1" ht="15.75" customHeight="1" x14ac:dyDescent="0.45">
      <c r="A1319" s="2" t="s">
        <v>1318</v>
      </c>
    </row>
    <row r="1320" spans="1:1" ht="15.75" customHeight="1" x14ac:dyDescent="0.45">
      <c r="A1320" s="2" t="s">
        <v>1319</v>
      </c>
    </row>
    <row r="1321" spans="1:1" ht="15.75" customHeight="1" x14ac:dyDescent="0.45">
      <c r="A1321" s="2" t="s">
        <v>1320</v>
      </c>
    </row>
    <row r="1322" spans="1:1" ht="15.75" customHeight="1" x14ac:dyDescent="0.45">
      <c r="A1322" s="2" t="s">
        <v>1321</v>
      </c>
    </row>
    <row r="1323" spans="1:1" ht="15.75" customHeight="1" x14ac:dyDescent="0.45">
      <c r="A1323" s="2" t="s">
        <v>1322</v>
      </c>
    </row>
    <row r="1324" spans="1:1" ht="15.75" customHeight="1" x14ac:dyDescent="0.45">
      <c r="A1324" s="2" t="s">
        <v>1323</v>
      </c>
    </row>
    <row r="1325" spans="1:1" ht="15.75" customHeight="1" x14ac:dyDescent="0.45">
      <c r="A1325" s="2" t="s">
        <v>1324</v>
      </c>
    </row>
    <row r="1326" spans="1:1" ht="15.75" customHeight="1" x14ac:dyDescent="0.45">
      <c r="A1326" s="2" t="s">
        <v>1325</v>
      </c>
    </row>
    <row r="1327" spans="1:1" ht="15.75" customHeight="1" x14ac:dyDescent="0.45">
      <c r="A1327" s="2" t="s">
        <v>1326</v>
      </c>
    </row>
    <row r="1328" spans="1:1" ht="15.75" customHeight="1" x14ac:dyDescent="0.45">
      <c r="A1328" s="2" t="s">
        <v>1327</v>
      </c>
    </row>
    <row r="1329" spans="1:1" ht="15.75" customHeight="1" x14ac:dyDescent="0.45">
      <c r="A1329" s="2" t="s">
        <v>1328</v>
      </c>
    </row>
    <row r="1330" spans="1:1" ht="15.75" customHeight="1" x14ac:dyDescent="0.45">
      <c r="A1330" s="2" t="s">
        <v>1329</v>
      </c>
    </row>
    <row r="1331" spans="1:1" ht="15.75" customHeight="1" x14ac:dyDescent="0.45">
      <c r="A1331" s="2" t="s">
        <v>1330</v>
      </c>
    </row>
    <row r="1332" spans="1:1" ht="15.75" customHeight="1" x14ac:dyDescent="0.45">
      <c r="A1332" s="2" t="s">
        <v>1331</v>
      </c>
    </row>
    <row r="1333" spans="1:1" ht="15.75" customHeight="1" x14ac:dyDescent="0.45">
      <c r="A1333" s="2" t="s">
        <v>1332</v>
      </c>
    </row>
    <row r="1334" spans="1:1" ht="15.75" customHeight="1" x14ac:dyDescent="0.45">
      <c r="A1334" s="2" t="s">
        <v>1333</v>
      </c>
    </row>
    <row r="1335" spans="1:1" ht="15.75" customHeight="1" x14ac:dyDescent="0.45">
      <c r="A1335" s="2" t="s">
        <v>1334</v>
      </c>
    </row>
    <row r="1336" spans="1:1" ht="15.75" customHeight="1" x14ac:dyDescent="0.45">
      <c r="A1336" s="2" t="s">
        <v>1335</v>
      </c>
    </row>
    <row r="1337" spans="1:1" ht="15.75" customHeight="1" x14ac:dyDescent="0.45">
      <c r="A1337" s="2" t="s">
        <v>1336</v>
      </c>
    </row>
    <row r="1338" spans="1:1" ht="15.75" customHeight="1" x14ac:dyDescent="0.45">
      <c r="A1338" s="2" t="s">
        <v>1337</v>
      </c>
    </row>
    <row r="1339" spans="1:1" ht="15.75" customHeight="1" x14ac:dyDescent="0.45">
      <c r="A1339" s="2" t="s">
        <v>1338</v>
      </c>
    </row>
    <row r="1340" spans="1:1" ht="15.75" customHeight="1" x14ac:dyDescent="0.45">
      <c r="A1340" s="2" t="s">
        <v>1339</v>
      </c>
    </row>
    <row r="1341" spans="1:1" ht="15.75" customHeight="1" x14ac:dyDescent="0.45">
      <c r="A1341" s="2" t="s">
        <v>1340</v>
      </c>
    </row>
    <row r="1342" spans="1:1" ht="15.75" customHeight="1" x14ac:dyDescent="0.45">
      <c r="A1342" s="2" t="s">
        <v>1341</v>
      </c>
    </row>
    <row r="1343" spans="1:1" ht="15.75" customHeight="1" x14ac:dyDescent="0.45">
      <c r="A1343" s="2" t="s">
        <v>1342</v>
      </c>
    </row>
    <row r="1344" spans="1:1" ht="15.75" customHeight="1" x14ac:dyDescent="0.45">
      <c r="A1344" s="2" t="s">
        <v>1343</v>
      </c>
    </row>
    <row r="1345" spans="1:1" ht="15.75" customHeight="1" x14ac:dyDescent="0.45">
      <c r="A1345" s="2" t="s">
        <v>1344</v>
      </c>
    </row>
    <row r="1346" spans="1:1" ht="15.75" customHeight="1" x14ac:dyDescent="0.45">
      <c r="A1346" s="2" t="s">
        <v>1345</v>
      </c>
    </row>
    <row r="1347" spans="1:1" ht="15.75" customHeight="1" x14ac:dyDescent="0.45">
      <c r="A1347" s="2" t="s">
        <v>1346</v>
      </c>
    </row>
    <row r="1348" spans="1:1" ht="15.75" customHeight="1" x14ac:dyDescent="0.45">
      <c r="A1348" s="2" t="s">
        <v>1347</v>
      </c>
    </row>
    <row r="1349" spans="1:1" ht="15.75" customHeight="1" x14ac:dyDescent="0.45">
      <c r="A1349" s="2" t="s">
        <v>1348</v>
      </c>
    </row>
    <row r="1350" spans="1:1" ht="15.75" customHeight="1" x14ac:dyDescent="0.45">
      <c r="A1350" s="2" t="s">
        <v>1349</v>
      </c>
    </row>
    <row r="1351" spans="1:1" ht="15.75" customHeight="1" x14ac:dyDescent="0.45">
      <c r="A1351" s="2" t="s">
        <v>1350</v>
      </c>
    </row>
    <row r="1352" spans="1:1" ht="15.75" customHeight="1" x14ac:dyDescent="0.45">
      <c r="A1352" s="2" t="s">
        <v>1351</v>
      </c>
    </row>
    <row r="1353" spans="1:1" ht="15.75" customHeight="1" x14ac:dyDescent="0.45">
      <c r="A1353" s="2" t="s">
        <v>1352</v>
      </c>
    </row>
    <row r="1354" spans="1:1" ht="15.75" customHeight="1" x14ac:dyDescent="0.45">
      <c r="A1354" s="2" t="s">
        <v>1353</v>
      </c>
    </row>
    <row r="1355" spans="1:1" ht="15.75" customHeight="1" x14ac:dyDescent="0.45">
      <c r="A1355" s="2" t="s">
        <v>1354</v>
      </c>
    </row>
    <row r="1356" spans="1:1" ht="15.75" customHeight="1" x14ac:dyDescent="0.45">
      <c r="A1356" s="2" t="s">
        <v>1355</v>
      </c>
    </row>
    <row r="1357" spans="1:1" ht="15.75" customHeight="1" x14ac:dyDescent="0.45">
      <c r="A1357" s="2" t="s">
        <v>1356</v>
      </c>
    </row>
    <row r="1358" spans="1:1" ht="15.75" customHeight="1" x14ac:dyDescent="0.45">
      <c r="A1358" s="2" t="s">
        <v>1357</v>
      </c>
    </row>
    <row r="1359" spans="1:1" ht="15.75" customHeight="1" x14ac:dyDescent="0.45">
      <c r="A1359" s="2" t="s">
        <v>1358</v>
      </c>
    </row>
    <row r="1360" spans="1:1" ht="15.75" customHeight="1" x14ac:dyDescent="0.45">
      <c r="A1360" s="2" t="s">
        <v>1359</v>
      </c>
    </row>
    <row r="1361" spans="1:1" ht="15.75" customHeight="1" x14ac:dyDescent="0.45">
      <c r="A1361" s="2" t="s">
        <v>1360</v>
      </c>
    </row>
    <row r="1362" spans="1:1" ht="15.75" customHeight="1" x14ac:dyDescent="0.45">
      <c r="A1362" s="2" t="s">
        <v>1361</v>
      </c>
    </row>
    <row r="1363" spans="1:1" ht="15.75" customHeight="1" x14ac:dyDescent="0.45">
      <c r="A1363" s="2" t="s">
        <v>1362</v>
      </c>
    </row>
    <row r="1364" spans="1:1" ht="15.75" customHeight="1" x14ac:dyDescent="0.45">
      <c r="A1364" s="2" t="s">
        <v>1363</v>
      </c>
    </row>
    <row r="1365" spans="1:1" ht="15.75" customHeight="1" x14ac:dyDescent="0.45">
      <c r="A1365" s="2" t="s">
        <v>1364</v>
      </c>
    </row>
    <row r="1366" spans="1:1" ht="15.75" customHeight="1" x14ac:dyDescent="0.45">
      <c r="A1366" s="2" t="s">
        <v>1365</v>
      </c>
    </row>
    <row r="1367" spans="1:1" ht="15.75" customHeight="1" x14ac:dyDescent="0.45">
      <c r="A1367" s="2" t="s">
        <v>1366</v>
      </c>
    </row>
    <row r="1368" spans="1:1" ht="15.75" customHeight="1" x14ac:dyDescent="0.45">
      <c r="A1368" s="2" t="s">
        <v>1367</v>
      </c>
    </row>
    <row r="1369" spans="1:1" ht="15.75" customHeight="1" x14ac:dyDescent="0.45">
      <c r="A1369" s="2" t="s">
        <v>1368</v>
      </c>
    </row>
    <row r="1370" spans="1:1" ht="15.75" customHeight="1" x14ac:dyDescent="0.45">
      <c r="A1370" s="2" t="s">
        <v>1369</v>
      </c>
    </row>
    <row r="1371" spans="1:1" ht="15.75" customHeight="1" x14ac:dyDescent="0.45">
      <c r="A1371" s="2" t="s">
        <v>1370</v>
      </c>
    </row>
    <row r="1372" spans="1:1" ht="15.75" customHeight="1" x14ac:dyDescent="0.45">
      <c r="A1372" s="2" t="s">
        <v>1371</v>
      </c>
    </row>
    <row r="1373" spans="1:1" ht="15.75" customHeight="1" x14ac:dyDescent="0.45">
      <c r="A1373" s="2" t="s">
        <v>1372</v>
      </c>
    </row>
    <row r="1374" spans="1:1" ht="15.75" customHeight="1" x14ac:dyDescent="0.45">
      <c r="A1374" s="2" t="s">
        <v>1373</v>
      </c>
    </row>
    <row r="1375" spans="1:1" ht="15.75" customHeight="1" x14ac:dyDescent="0.45">
      <c r="A1375" s="2" t="s">
        <v>1374</v>
      </c>
    </row>
    <row r="1376" spans="1:1" ht="15.75" customHeight="1" x14ac:dyDescent="0.45">
      <c r="A1376" s="2" t="s">
        <v>1375</v>
      </c>
    </row>
    <row r="1377" spans="1:1" ht="15.75" customHeight="1" x14ac:dyDescent="0.45">
      <c r="A1377" s="2" t="s">
        <v>1376</v>
      </c>
    </row>
    <row r="1378" spans="1:1" ht="15.75" customHeight="1" x14ac:dyDescent="0.45">
      <c r="A1378" s="2" t="s">
        <v>1377</v>
      </c>
    </row>
    <row r="1379" spans="1:1" ht="15.75" customHeight="1" x14ac:dyDescent="0.45">
      <c r="A1379" s="2" t="s">
        <v>1378</v>
      </c>
    </row>
    <row r="1380" spans="1:1" ht="15.75" customHeight="1" x14ac:dyDescent="0.45">
      <c r="A1380" s="2" t="s">
        <v>1379</v>
      </c>
    </row>
    <row r="1381" spans="1:1" ht="15.75" customHeight="1" x14ac:dyDescent="0.45">
      <c r="A1381" s="2" t="s">
        <v>1380</v>
      </c>
    </row>
    <row r="1382" spans="1:1" ht="15.75" customHeight="1" x14ac:dyDescent="0.45">
      <c r="A1382" s="2" t="s">
        <v>1381</v>
      </c>
    </row>
    <row r="1383" spans="1:1" ht="15.75" customHeight="1" x14ac:dyDescent="0.45">
      <c r="A1383" s="2" t="s">
        <v>1382</v>
      </c>
    </row>
    <row r="1384" spans="1:1" ht="15.75" customHeight="1" x14ac:dyDescent="0.45">
      <c r="A1384" s="2" t="s">
        <v>1383</v>
      </c>
    </row>
    <row r="1385" spans="1:1" ht="15.75" customHeight="1" x14ac:dyDescent="0.45">
      <c r="A1385" s="2" t="s">
        <v>1384</v>
      </c>
    </row>
    <row r="1386" spans="1:1" ht="15.75" customHeight="1" x14ac:dyDescent="0.45">
      <c r="A1386" s="2" t="s">
        <v>1385</v>
      </c>
    </row>
    <row r="1387" spans="1:1" ht="15.75" customHeight="1" x14ac:dyDescent="0.45">
      <c r="A1387" s="2" t="s">
        <v>1386</v>
      </c>
    </row>
    <row r="1388" spans="1:1" ht="15.75" customHeight="1" x14ac:dyDescent="0.45">
      <c r="A1388" s="2" t="s">
        <v>1387</v>
      </c>
    </row>
    <row r="1389" spans="1:1" ht="15.75" customHeight="1" x14ac:dyDescent="0.45">
      <c r="A1389" s="2" t="s">
        <v>1388</v>
      </c>
    </row>
    <row r="1390" spans="1:1" ht="15.75" customHeight="1" x14ac:dyDescent="0.45">
      <c r="A1390" s="2" t="s">
        <v>1389</v>
      </c>
    </row>
    <row r="1391" spans="1:1" ht="15.75" customHeight="1" x14ac:dyDescent="0.45">
      <c r="A1391" s="2" t="s">
        <v>1390</v>
      </c>
    </row>
    <row r="1392" spans="1:1" ht="15.75" customHeight="1" x14ac:dyDescent="0.45">
      <c r="A1392" s="2" t="s">
        <v>1391</v>
      </c>
    </row>
    <row r="1393" spans="1:1" ht="15.75" customHeight="1" x14ac:dyDescent="0.45">
      <c r="A1393" s="2" t="s">
        <v>1392</v>
      </c>
    </row>
    <row r="1394" spans="1:1" ht="15.75" customHeight="1" x14ac:dyDescent="0.45">
      <c r="A1394" s="2" t="s">
        <v>1393</v>
      </c>
    </row>
    <row r="1395" spans="1:1" ht="15.75" customHeight="1" x14ac:dyDescent="0.45">
      <c r="A1395" s="2" t="s">
        <v>1394</v>
      </c>
    </row>
    <row r="1396" spans="1:1" ht="15.75" customHeight="1" x14ac:dyDescent="0.45">
      <c r="A1396" s="2" t="s">
        <v>1395</v>
      </c>
    </row>
    <row r="1397" spans="1:1" ht="15.75" customHeight="1" x14ac:dyDescent="0.45">
      <c r="A1397" s="2" t="s">
        <v>1396</v>
      </c>
    </row>
    <row r="1398" spans="1:1" ht="15.75" customHeight="1" x14ac:dyDescent="0.45">
      <c r="A1398" s="2" t="s">
        <v>1397</v>
      </c>
    </row>
    <row r="1399" spans="1:1" ht="15.75" customHeight="1" x14ac:dyDescent="0.45">
      <c r="A1399" s="2" t="s">
        <v>1398</v>
      </c>
    </row>
    <row r="1400" spans="1:1" ht="15.75" customHeight="1" x14ac:dyDescent="0.45">
      <c r="A1400" s="2" t="s">
        <v>1399</v>
      </c>
    </row>
    <row r="1401" spans="1:1" ht="15.75" customHeight="1" x14ac:dyDescent="0.45">
      <c r="A1401" s="2" t="s">
        <v>1400</v>
      </c>
    </row>
    <row r="1402" spans="1:1" ht="15.75" customHeight="1" x14ac:dyDescent="0.45">
      <c r="A1402" s="2" t="s">
        <v>1401</v>
      </c>
    </row>
    <row r="1403" spans="1:1" ht="15.75" customHeight="1" x14ac:dyDescent="0.45">
      <c r="A1403" s="2" t="s">
        <v>1402</v>
      </c>
    </row>
    <row r="1404" spans="1:1" ht="15.75" customHeight="1" x14ac:dyDescent="0.45">
      <c r="A1404" s="2" t="s">
        <v>1403</v>
      </c>
    </row>
    <row r="1405" spans="1:1" ht="15.75" customHeight="1" x14ac:dyDescent="0.45">
      <c r="A1405" s="2" t="s">
        <v>1404</v>
      </c>
    </row>
    <row r="1406" spans="1:1" ht="15.75" customHeight="1" x14ac:dyDescent="0.45">
      <c r="A1406" s="2" t="s">
        <v>1405</v>
      </c>
    </row>
    <row r="1407" spans="1:1" ht="15.75" customHeight="1" x14ac:dyDescent="0.45">
      <c r="A1407" s="2" t="s">
        <v>1406</v>
      </c>
    </row>
    <row r="1408" spans="1:1" ht="15.75" customHeight="1" x14ac:dyDescent="0.45">
      <c r="A1408" s="2" t="s">
        <v>1407</v>
      </c>
    </row>
    <row r="1409" spans="1:1" ht="15.75" customHeight="1" x14ac:dyDescent="0.45">
      <c r="A1409" s="2" t="s">
        <v>1408</v>
      </c>
    </row>
    <row r="1410" spans="1:1" ht="15.75" customHeight="1" x14ac:dyDescent="0.45">
      <c r="A1410" s="2" t="s">
        <v>1409</v>
      </c>
    </row>
    <row r="1411" spans="1:1" ht="15.75" customHeight="1" x14ac:dyDescent="0.45">
      <c r="A1411" s="2" t="s">
        <v>1410</v>
      </c>
    </row>
    <row r="1412" spans="1:1" ht="15.75" customHeight="1" x14ac:dyDescent="0.45">
      <c r="A1412" s="2" t="s">
        <v>1411</v>
      </c>
    </row>
    <row r="1413" spans="1:1" ht="15.75" customHeight="1" x14ac:dyDescent="0.45">
      <c r="A1413" s="2" t="s">
        <v>1412</v>
      </c>
    </row>
    <row r="1414" spans="1:1" ht="15.75" customHeight="1" x14ac:dyDescent="0.45">
      <c r="A1414" s="2" t="s">
        <v>1413</v>
      </c>
    </row>
    <row r="1415" spans="1:1" ht="15.75" customHeight="1" x14ac:dyDescent="0.45">
      <c r="A1415" s="2" t="s">
        <v>1414</v>
      </c>
    </row>
    <row r="1416" spans="1:1" ht="15.75" customHeight="1" x14ac:dyDescent="0.45">
      <c r="A1416" s="2" t="s">
        <v>1415</v>
      </c>
    </row>
    <row r="1417" spans="1:1" ht="15.75" customHeight="1" x14ac:dyDescent="0.45">
      <c r="A1417" s="2" t="s">
        <v>1416</v>
      </c>
    </row>
    <row r="1418" spans="1:1" ht="15.75" customHeight="1" x14ac:dyDescent="0.45">
      <c r="A1418" s="2" t="s">
        <v>1417</v>
      </c>
    </row>
    <row r="1419" spans="1:1" ht="15.75" customHeight="1" x14ac:dyDescent="0.45">
      <c r="A1419" s="2" t="s">
        <v>1418</v>
      </c>
    </row>
    <row r="1420" spans="1:1" ht="15.75" customHeight="1" x14ac:dyDescent="0.45">
      <c r="A1420" s="2" t="s">
        <v>1419</v>
      </c>
    </row>
    <row r="1421" spans="1:1" ht="15.75" customHeight="1" x14ac:dyDescent="0.45">
      <c r="A1421" s="2" t="s">
        <v>1420</v>
      </c>
    </row>
    <row r="1422" spans="1:1" ht="15.75" customHeight="1" x14ac:dyDescent="0.45">
      <c r="A1422" s="2" t="s">
        <v>1421</v>
      </c>
    </row>
    <row r="1423" spans="1:1" ht="15.75" customHeight="1" x14ac:dyDescent="0.45">
      <c r="A1423" s="2" t="s">
        <v>1422</v>
      </c>
    </row>
    <row r="1424" spans="1:1" ht="15.75" customHeight="1" x14ac:dyDescent="0.45">
      <c r="A1424" s="2" t="s">
        <v>1423</v>
      </c>
    </row>
    <row r="1425" spans="1:1" ht="15.75" customHeight="1" x14ac:dyDescent="0.45">
      <c r="A1425" s="2" t="s">
        <v>1424</v>
      </c>
    </row>
    <row r="1426" spans="1:1" ht="15.75" customHeight="1" x14ac:dyDescent="0.45">
      <c r="A1426" s="2" t="s">
        <v>1425</v>
      </c>
    </row>
    <row r="1427" spans="1:1" ht="15.75" customHeight="1" x14ac:dyDescent="0.45">
      <c r="A1427" s="2" t="s">
        <v>1426</v>
      </c>
    </row>
    <row r="1428" spans="1:1" ht="15.75" customHeight="1" x14ac:dyDescent="0.45">
      <c r="A1428" s="2" t="s">
        <v>1427</v>
      </c>
    </row>
    <row r="1429" spans="1:1" ht="15.75" customHeight="1" x14ac:dyDescent="0.45">
      <c r="A1429" s="2" t="s">
        <v>1428</v>
      </c>
    </row>
    <row r="1430" spans="1:1" ht="15.75" customHeight="1" x14ac:dyDescent="0.45">
      <c r="A1430" s="2" t="s">
        <v>1429</v>
      </c>
    </row>
    <row r="1431" spans="1:1" ht="15.75" customHeight="1" x14ac:dyDescent="0.45">
      <c r="A1431" s="2" t="s">
        <v>1430</v>
      </c>
    </row>
    <row r="1432" spans="1:1" ht="15.75" customHeight="1" x14ac:dyDescent="0.45">
      <c r="A1432" s="2" t="s">
        <v>1431</v>
      </c>
    </row>
    <row r="1433" spans="1:1" ht="15.75" customHeight="1" x14ac:dyDescent="0.45">
      <c r="A1433" s="2" t="s">
        <v>1432</v>
      </c>
    </row>
    <row r="1434" spans="1:1" ht="15.75" customHeight="1" x14ac:dyDescent="0.45">
      <c r="A1434" s="2" t="s">
        <v>1433</v>
      </c>
    </row>
    <row r="1435" spans="1:1" ht="15.75" customHeight="1" x14ac:dyDescent="0.45">
      <c r="A1435" s="2" t="s">
        <v>1434</v>
      </c>
    </row>
    <row r="1436" spans="1:1" ht="15.75" customHeight="1" x14ac:dyDescent="0.45">
      <c r="A1436" s="2" t="s">
        <v>1435</v>
      </c>
    </row>
    <row r="1437" spans="1:1" ht="15.75" customHeight="1" x14ac:dyDescent="0.45">
      <c r="A1437" s="2" t="s">
        <v>1436</v>
      </c>
    </row>
    <row r="1438" spans="1:1" ht="15.75" customHeight="1" x14ac:dyDescent="0.45">
      <c r="A1438" s="2" t="s">
        <v>1437</v>
      </c>
    </row>
    <row r="1439" spans="1:1" ht="15.75" customHeight="1" x14ac:dyDescent="0.45">
      <c r="A1439" s="2" t="s">
        <v>1438</v>
      </c>
    </row>
    <row r="1440" spans="1:1" ht="15.75" customHeight="1" x14ac:dyDescent="0.45">
      <c r="A1440" s="2" t="s">
        <v>1439</v>
      </c>
    </row>
    <row r="1441" spans="1:1" ht="15.75" customHeight="1" x14ac:dyDescent="0.45">
      <c r="A1441" s="2" t="s">
        <v>1440</v>
      </c>
    </row>
    <row r="1442" spans="1:1" ht="15.75" customHeight="1" x14ac:dyDescent="0.45">
      <c r="A1442" s="2" t="s">
        <v>1441</v>
      </c>
    </row>
    <row r="1443" spans="1:1" ht="15.75" customHeight="1" x14ac:dyDescent="0.45">
      <c r="A1443" s="2" t="s">
        <v>1442</v>
      </c>
    </row>
    <row r="1444" spans="1:1" ht="15.75" customHeight="1" x14ac:dyDescent="0.45">
      <c r="A1444" s="2" t="s">
        <v>1443</v>
      </c>
    </row>
    <row r="1445" spans="1:1" ht="15.75" customHeight="1" x14ac:dyDescent="0.45">
      <c r="A1445" s="2" t="s">
        <v>1444</v>
      </c>
    </row>
    <row r="1446" spans="1:1" ht="15.75" customHeight="1" x14ac:dyDescent="0.45">
      <c r="A1446" s="2" t="s">
        <v>1445</v>
      </c>
    </row>
    <row r="1447" spans="1:1" ht="15.75" customHeight="1" x14ac:dyDescent="0.45">
      <c r="A1447" s="2" t="s">
        <v>1446</v>
      </c>
    </row>
    <row r="1448" spans="1:1" ht="15.75" customHeight="1" x14ac:dyDescent="0.45">
      <c r="A1448" s="2" t="s">
        <v>1447</v>
      </c>
    </row>
    <row r="1449" spans="1:1" ht="15.75" customHeight="1" x14ac:dyDescent="0.45">
      <c r="A1449" s="2" t="s">
        <v>1448</v>
      </c>
    </row>
    <row r="1450" spans="1:1" ht="15.75" customHeight="1" x14ac:dyDescent="0.45">
      <c r="A1450" s="2" t="s">
        <v>1449</v>
      </c>
    </row>
    <row r="1451" spans="1:1" ht="15.75" customHeight="1" x14ac:dyDescent="0.45">
      <c r="A1451" s="2" t="s">
        <v>1450</v>
      </c>
    </row>
    <row r="1452" spans="1:1" ht="15.75" customHeight="1" x14ac:dyDescent="0.45">
      <c r="A1452" s="2" t="s">
        <v>1451</v>
      </c>
    </row>
    <row r="1453" spans="1:1" ht="15.75" customHeight="1" x14ac:dyDescent="0.45">
      <c r="A1453" s="2" t="s">
        <v>1452</v>
      </c>
    </row>
    <row r="1454" spans="1:1" ht="15.75" customHeight="1" x14ac:dyDescent="0.45">
      <c r="A1454" s="2" t="s">
        <v>1453</v>
      </c>
    </row>
    <row r="1455" spans="1:1" ht="15.75" customHeight="1" x14ac:dyDescent="0.45">
      <c r="A1455" s="2" t="s">
        <v>1454</v>
      </c>
    </row>
    <row r="1456" spans="1:1" ht="15.75" customHeight="1" x14ac:dyDescent="0.45">
      <c r="A1456" s="2" t="s">
        <v>1455</v>
      </c>
    </row>
    <row r="1457" spans="1:1" ht="15.75" customHeight="1" x14ac:dyDescent="0.45">
      <c r="A1457" s="2" t="s">
        <v>1456</v>
      </c>
    </row>
    <row r="1458" spans="1:1" ht="15.75" customHeight="1" x14ac:dyDescent="0.45">
      <c r="A1458" s="2" t="s">
        <v>1457</v>
      </c>
    </row>
    <row r="1459" spans="1:1" ht="15.75" customHeight="1" x14ac:dyDescent="0.45">
      <c r="A1459" s="2" t="s">
        <v>1458</v>
      </c>
    </row>
    <row r="1460" spans="1:1" ht="15.75" customHeight="1" x14ac:dyDescent="0.45">
      <c r="A1460" s="2" t="s">
        <v>1459</v>
      </c>
    </row>
    <row r="1461" spans="1:1" ht="15.75" customHeight="1" x14ac:dyDescent="0.45">
      <c r="A1461" s="2" t="s">
        <v>1460</v>
      </c>
    </row>
    <row r="1462" spans="1:1" ht="15.75" customHeight="1" x14ac:dyDescent="0.45">
      <c r="A1462" s="2" t="s">
        <v>1461</v>
      </c>
    </row>
    <row r="1463" spans="1:1" ht="15.75" customHeight="1" x14ac:dyDescent="0.45">
      <c r="A1463" s="2" t="s">
        <v>1462</v>
      </c>
    </row>
    <row r="1464" spans="1:1" ht="15.75" customHeight="1" x14ac:dyDescent="0.45">
      <c r="A1464" s="2" t="s">
        <v>1463</v>
      </c>
    </row>
    <row r="1465" spans="1:1" ht="15.75" customHeight="1" x14ac:dyDescent="0.45">
      <c r="A1465" s="2" t="s">
        <v>1464</v>
      </c>
    </row>
    <row r="1466" spans="1:1" ht="15.75" customHeight="1" x14ac:dyDescent="0.45">
      <c r="A1466" s="2" t="s">
        <v>1465</v>
      </c>
    </row>
    <row r="1467" spans="1:1" ht="15.75" customHeight="1" x14ac:dyDescent="0.45">
      <c r="A1467" s="2" t="s">
        <v>1466</v>
      </c>
    </row>
    <row r="1468" spans="1:1" ht="15.75" customHeight="1" x14ac:dyDescent="0.45">
      <c r="A1468" s="2" t="s">
        <v>1467</v>
      </c>
    </row>
    <row r="1469" spans="1:1" ht="15.75" customHeight="1" x14ac:dyDescent="0.45">
      <c r="A1469" s="2" t="s">
        <v>1468</v>
      </c>
    </row>
    <row r="1470" spans="1:1" ht="15.75" customHeight="1" x14ac:dyDescent="0.45">
      <c r="A1470" s="2" t="s">
        <v>1469</v>
      </c>
    </row>
    <row r="1471" spans="1:1" ht="15.75" customHeight="1" x14ac:dyDescent="0.45">
      <c r="A1471" s="2" t="s">
        <v>1470</v>
      </c>
    </row>
    <row r="1472" spans="1:1" ht="15.75" customHeight="1" x14ac:dyDescent="0.45">
      <c r="A1472" s="2" t="s">
        <v>1471</v>
      </c>
    </row>
    <row r="1473" spans="1:1" ht="15.75" customHeight="1" x14ac:dyDescent="0.45">
      <c r="A1473" s="2" t="s">
        <v>1472</v>
      </c>
    </row>
    <row r="1474" spans="1:1" ht="15.75" customHeight="1" x14ac:dyDescent="0.45">
      <c r="A1474" s="2" t="s">
        <v>1473</v>
      </c>
    </row>
    <row r="1475" spans="1:1" ht="15.75" customHeight="1" x14ac:dyDescent="0.45">
      <c r="A1475" s="2" t="s">
        <v>1474</v>
      </c>
    </row>
    <row r="1476" spans="1:1" ht="15.75" customHeight="1" x14ac:dyDescent="0.45">
      <c r="A1476" s="2" t="s">
        <v>1475</v>
      </c>
    </row>
    <row r="1477" spans="1:1" ht="15.75" customHeight="1" x14ac:dyDescent="0.45">
      <c r="A1477" s="2" t="s">
        <v>1476</v>
      </c>
    </row>
    <row r="1478" spans="1:1" ht="15.75" customHeight="1" x14ac:dyDescent="0.45">
      <c r="A1478" s="2" t="s">
        <v>1477</v>
      </c>
    </row>
    <row r="1479" spans="1:1" ht="15.75" customHeight="1" x14ac:dyDescent="0.45">
      <c r="A1479" s="2" t="s">
        <v>1478</v>
      </c>
    </row>
    <row r="1480" spans="1:1" ht="15.75" customHeight="1" x14ac:dyDescent="0.45">
      <c r="A1480" s="2" t="s">
        <v>1479</v>
      </c>
    </row>
    <row r="1481" spans="1:1" ht="15.75" customHeight="1" x14ac:dyDescent="0.45">
      <c r="A1481" s="2" t="s">
        <v>1480</v>
      </c>
    </row>
    <row r="1482" spans="1:1" ht="15.75" customHeight="1" x14ac:dyDescent="0.45">
      <c r="A1482" s="2" t="s">
        <v>1481</v>
      </c>
    </row>
    <row r="1483" spans="1:1" ht="15.75" customHeight="1" x14ac:dyDescent="0.45">
      <c r="A1483" s="2" t="s">
        <v>1482</v>
      </c>
    </row>
    <row r="1484" spans="1:1" ht="15.75" customHeight="1" x14ac:dyDescent="0.45">
      <c r="A1484" s="2" t="s">
        <v>1483</v>
      </c>
    </row>
    <row r="1485" spans="1:1" ht="15.75" customHeight="1" x14ac:dyDescent="0.45">
      <c r="A1485" s="2" t="s">
        <v>1484</v>
      </c>
    </row>
    <row r="1486" spans="1:1" ht="15.75" customHeight="1" x14ac:dyDescent="0.45">
      <c r="A1486" s="2" t="s">
        <v>1485</v>
      </c>
    </row>
    <row r="1487" spans="1:1" ht="15.75" customHeight="1" x14ac:dyDescent="0.45">
      <c r="A1487" s="2" t="s">
        <v>1486</v>
      </c>
    </row>
    <row r="1488" spans="1:1" ht="15.75" customHeight="1" x14ac:dyDescent="0.45">
      <c r="A1488" s="2" t="s">
        <v>1487</v>
      </c>
    </row>
    <row r="1489" spans="1:1" ht="15.75" customHeight="1" x14ac:dyDescent="0.45">
      <c r="A1489" s="2" t="s">
        <v>1488</v>
      </c>
    </row>
    <row r="1490" spans="1:1" ht="15.75" customHeight="1" x14ac:dyDescent="0.45">
      <c r="A1490" s="2" t="s">
        <v>1489</v>
      </c>
    </row>
    <row r="1491" spans="1:1" ht="15.75" customHeight="1" x14ac:dyDescent="0.45">
      <c r="A1491" s="2" t="s">
        <v>1490</v>
      </c>
    </row>
    <row r="1492" spans="1:1" ht="15.75" customHeight="1" x14ac:dyDescent="0.45">
      <c r="A1492" s="2" t="s">
        <v>1491</v>
      </c>
    </row>
    <row r="1493" spans="1:1" ht="15.75" customHeight="1" x14ac:dyDescent="0.45">
      <c r="A1493" s="2" t="s">
        <v>1492</v>
      </c>
    </row>
    <row r="1494" spans="1:1" ht="15.75" customHeight="1" x14ac:dyDescent="0.45">
      <c r="A1494" s="2" t="s">
        <v>1493</v>
      </c>
    </row>
    <row r="1495" spans="1:1" ht="15.75" customHeight="1" x14ac:dyDescent="0.45">
      <c r="A1495" s="2" t="s">
        <v>1494</v>
      </c>
    </row>
    <row r="1496" spans="1:1" ht="15.75" customHeight="1" x14ac:dyDescent="0.45">
      <c r="A1496" s="2" t="s">
        <v>1495</v>
      </c>
    </row>
    <row r="1497" spans="1:1" ht="15.75" customHeight="1" x14ac:dyDescent="0.45">
      <c r="A1497" s="2" t="s">
        <v>1496</v>
      </c>
    </row>
    <row r="1498" spans="1:1" ht="15.75" customHeight="1" x14ac:dyDescent="0.45">
      <c r="A1498" s="2" t="s">
        <v>1497</v>
      </c>
    </row>
    <row r="1499" spans="1:1" ht="15.75" customHeight="1" x14ac:dyDescent="0.45">
      <c r="A1499" s="2" t="s">
        <v>1498</v>
      </c>
    </row>
    <row r="1500" spans="1:1" ht="15.75" customHeight="1" x14ac:dyDescent="0.45">
      <c r="A1500" s="2" t="s">
        <v>1499</v>
      </c>
    </row>
    <row r="1501" spans="1:1" ht="15.75" customHeight="1" x14ac:dyDescent="0.45">
      <c r="A1501" s="2" t="s">
        <v>1500</v>
      </c>
    </row>
    <row r="1502" spans="1:1" ht="15.75" customHeight="1" x14ac:dyDescent="0.45">
      <c r="A1502" s="2" t="s">
        <v>1501</v>
      </c>
    </row>
    <row r="1503" spans="1:1" ht="15.75" customHeight="1" x14ac:dyDescent="0.45">
      <c r="A1503" s="2" t="s">
        <v>1502</v>
      </c>
    </row>
    <row r="1504" spans="1:1" ht="15.75" customHeight="1" x14ac:dyDescent="0.45">
      <c r="A1504" s="2" t="s">
        <v>1503</v>
      </c>
    </row>
    <row r="1505" spans="1:1" ht="15.75" customHeight="1" x14ac:dyDescent="0.45">
      <c r="A1505" s="2" t="s">
        <v>1504</v>
      </c>
    </row>
    <row r="1506" spans="1:1" ht="15.75" customHeight="1" x14ac:dyDescent="0.45">
      <c r="A1506" s="2" t="s">
        <v>1505</v>
      </c>
    </row>
    <row r="1507" spans="1:1" ht="15.75" customHeight="1" x14ac:dyDescent="0.45">
      <c r="A1507" s="2" t="s">
        <v>1506</v>
      </c>
    </row>
    <row r="1508" spans="1:1" ht="15.75" customHeight="1" x14ac:dyDescent="0.45">
      <c r="A1508" s="2" t="s">
        <v>1507</v>
      </c>
    </row>
    <row r="1509" spans="1:1" ht="15.75" customHeight="1" x14ac:dyDescent="0.45">
      <c r="A1509" s="2" t="s">
        <v>1508</v>
      </c>
    </row>
    <row r="1510" spans="1:1" ht="15.75" customHeight="1" x14ac:dyDescent="0.45">
      <c r="A1510" s="2" t="s">
        <v>1509</v>
      </c>
    </row>
    <row r="1511" spans="1:1" ht="15.75" customHeight="1" x14ac:dyDescent="0.45">
      <c r="A1511" s="2" t="s">
        <v>1510</v>
      </c>
    </row>
    <row r="1512" spans="1:1" ht="15.75" customHeight="1" x14ac:dyDescent="0.45">
      <c r="A1512" s="2" t="s">
        <v>1511</v>
      </c>
    </row>
    <row r="1513" spans="1:1" ht="15.75" customHeight="1" x14ac:dyDescent="0.45">
      <c r="A1513" s="2" t="s">
        <v>1512</v>
      </c>
    </row>
    <row r="1514" spans="1:1" ht="15.75" customHeight="1" x14ac:dyDescent="0.45">
      <c r="A1514" s="2" t="s">
        <v>1513</v>
      </c>
    </row>
    <row r="1515" spans="1:1" ht="15.75" customHeight="1" x14ac:dyDescent="0.45">
      <c r="A1515" s="2" t="s">
        <v>1514</v>
      </c>
    </row>
    <row r="1516" spans="1:1" ht="15.75" customHeight="1" x14ac:dyDescent="0.45">
      <c r="A1516" s="2" t="s">
        <v>1515</v>
      </c>
    </row>
    <row r="1517" spans="1:1" ht="15.75" customHeight="1" x14ac:dyDescent="0.45">
      <c r="A1517" s="2" t="s">
        <v>1516</v>
      </c>
    </row>
    <row r="1518" spans="1:1" ht="15.75" customHeight="1" x14ac:dyDescent="0.45">
      <c r="A1518" s="2" t="s">
        <v>1517</v>
      </c>
    </row>
    <row r="1519" spans="1:1" ht="15.75" customHeight="1" x14ac:dyDescent="0.45">
      <c r="A1519" s="2" t="s">
        <v>1518</v>
      </c>
    </row>
    <row r="1520" spans="1:1" ht="15.75" customHeight="1" x14ac:dyDescent="0.45">
      <c r="A1520" s="2" t="s">
        <v>1519</v>
      </c>
    </row>
    <row r="1521" spans="1:1" ht="15.75" customHeight="1" x14ac:dyDescent="0.45">
      <c r="A1521" s="2" t="s">
        <v>1520</v>
      </c>
    </row>
    <row r="1522" spans="1:1" ht="15.75" customHeight="1" x14ac:dyDescent="0.45">
      <c r="A1522" s="2" t="s">
        <v>1521</v>
      </c>
    </row>
    <row r="1523" spans="1:1" ht="15.75" customHeight="1" x14ac:dyDescent="0.45">
      <c r="A1523" s="2" t="s">
        <v>1522</v>
      </c>
    </row>
    <row r="1524" spans="1:1" ht="15.75" customHeight="1" x14ac:dyDescent="0.45">
      <c r="A1524" s="2" t="s">
        <v>1523</v>
      </c>
    </row>
    <row r="1525" spans="1:1" ht="15.75" customHeight="1" x14ac:dyDescent="0.45">
      <c r="A1525" s="2" t="s">
        <v>1524</v>
      </c>
    </row>
    <row r="1526" spans="1:1" ht="15.75" customHeight="1" x14ac:dyDescent="0.45">
      <c r="A1526" s="2" t="s">
        <v>1525</v>
      </c>
    </row>
    <row r="1527" spans="1:1" ht="15.75" customHeight="1" x14ac:dyDescent="0.45">
      <c r="A1527" s="2" t="s">
        <v>1526</v>
      </c>
    </row>
    <row r="1528" spans="1:1" ht="15.75" customHeight="1" x14ac:dyDescent="0.45">
      <c r="A1528" s="2" t="s">
        <v>1527</v>
      </c>
    </row>
    <row r="1529" spans="1:1" ht="15.75" customHeight="1" x14ac:dyDescent="0.45">
      <c r="A1529" s="2" t="s">
        <v>1528</v>
      </c>
    </row>
    <row r="1530" spans="1:1" ht="15.75" customHeight="1" x14ac:dyDescent="0.45">
      <c r="A1530" s="2" t="s">
        <v>1529</v>
      </c>
    </row>
    <row r="1531" spans="1:1" ht="15.75" customHeight="1" x14ac:dyDescent="0.45">
      <c r="A1531" s="2" t="s">
        <v>1530</v>
      </c>
    </row>
    <row r="1532" spans="1:1" ht="15.75" customHeight="1" x14ac:dyDescent="0.45">
      <c r="A1532" s="2" t="s">
        <v>1531</v>
      </c>
    </row>
    <row r="1533" spans="1:1" ht="15.75" customHeight="1" x14ac:dyDescent="0.45">
      <c r="A1533" s="2" t="s">
        <v>1532</v>
      </c>
    </row>
    <row r="1534" spans="1:1" ht="15.75" customHeight="1" x14ac:dyDescent="0.45">
      <c r="A1534" s="2" t="s">
        <v>1533</v>
      </c>
    </row>
    <row r="1535" spans="1:1" ht="15.75" customHeight="1" x14ac:dyDescent="0.45">
      <c r="A1535" s="2" t="s">
        <v>1534</v>
      </c>
    </row>
    <row r="1536" spans="1:1" ht="15.75" customHeight="1" x14ac:dyDescent="0.45">
      <c r="A1536" s="2" t="s">
        <v>1535</v>
      </c>
    </row>
    <row r="1537" spans="1:1" ht="15.75" customHeight="1" x14ac:dyDescent="0.45">
      <c r="A1537" s="2" t="s">
        <v>1536</v>
      </c>
    </row>
    <row r="1538" spans="1:1" ht="15.75" customHeight="1" x14ac:dyDescent="0.45">
      <c r="A1538" s="2" t="s">
        <v>1537</v>
      </c>
    </row>
    <row r="1539" spans="1:1" ht="15.75" customHeight="1" x14ac:dyDescent="0.45">
      <c r="A1539" s="2" t="s">
        <v>1538</v>
      </c>
    </row>
    <row r="1540" spans="1:1" ht="15.75" customHeight="1" x14ac:dyDescent="0.45">
      <c r="A1540" s="2" t="s">
        <v>1539</v>
      </c>
    </row>
    <row r="1541" spans="1:1" ht="15.75" customHeight="1" x14ac:dyDescent="0.45">
      <c r="A1541" s="2" t="s">
        <v>1540</v>
      </c>
    </row>
    <row r="1542" spans="1:1" ht="15.75" customHeight="1" x14ac:dyDescent="0.45">
      <c r="A1542" s="2" t="s">
        <v>1541</v>
      </c>
    </row>
    <row r="1543" spans="1:1" ht="15.75" customHeight="1" x14ac:dyDescent="0.45">
      <c r="A1543" s="2" t="s">
        <v>1542</v>
      </c>
    </row>
    <row r="1544" spans="1:1" ht="15.75" customHeight="1" x14ac:dyDescent="0.45">
      <c r="A1544" s="2" t="s">
        <v>1543</v>
      </c>
    </row>
    <row r="1545" spans="1:1" ht="15.75" customHeight="1" x14ac:dyDescent="0.45">
      <c r="A1545" s="2" t="s">
        <v>1544</v>
      </c>
    </row>
    <row r="1546" spans="1:1" ht="15.75" customHeight="1" x14ac:dyDescent="0.45">
      <c r="A1546" s="2" t="s">
        <v>1545</v>
      </c>
    </row>
    <row r="1547" spans="1:1" ht="15.75" customHeight="1" x14ac:dyDescent="0.45">
      <c r="A1547" s="2" t="s">
        <v>1546</v>
      </c>
    </row>
    <row r="1548" spans="1:1" ht="15.75" customHeight="1" x14ac:dyDescent="0.45">
      <c r="A1548" s="2" t="s">
        <v>1547</v>
      </c>
    </row>
    <row r="1549" spans="1:1" ht="15.75" customHeight="1" x14ac:dyDescent="0.45">
      <c r="A1549" s="2" t="s">
        <v>1548</v>
      </c>
    </row>
    <row r="1550" spans="1:1" ht="15.75" customHeight="1" x14ac:dyDescent="0.45">
      <c r="A1550" s="2" t="s">
        <v>1549</v>
      </c>
    </row>
    <row r="1551" spans="1:1" ht="15.75" customHeight="1" x14ac:dyDescent="0.45">
      <c r="A1551" s="2" t="s">
        <v>1550</v>
      </c>
    </row>
    <row r="1552" spans="1:1" ht="15.75" customHeight="1" x14ac:dyDescent="0.45">
      <c r="A1552" s="2" t="s">
        <v>1551</v>
      </c>
    </row>
    <row r="1553" spans="1:1" ht="15.75" customHeight="1" x14ac:dyDescent="0.45">
      <c r="A1553" s="2" t="s">
        <v>1552</v>
      </c>
    </row>
    <row r="1554" spans="1:1" ht="15.75" customHeight="1" x14ac:dyDescent="0.45">
      <c r="A1554" s="2" t="s">
        <v>1553</v>
      </c>
    </row>
    <row r="1555" spans="1:1" ht="15.75" customHeight="1" x14ac:dyDescent="0.45">
      <c r="A1555" s="2" t="s">
        <v>1554</v>
      </c>
    </row>
    <row r="1556" spans="1:1" ht="15.75" customHeight="1" x14ac:dyDescent="0.45">
      <c r="A1556" s="2" t="s">
        <v>1555</v>
      </c>
    </row>
    <row r="1557" spans="1:1" ht="15.75" customHeight="1" x14ac:dyDescent="0.45">
      <c r="A1557" s="2" t="s">
        <v>1556</v>
      </c>
    </row>
    <row r="1558" spans="1:1" ht="15.75" customHeight="1" x14ac:dyDescent="0.45">
      <c r="A1558" s="2" t="s">
        <v>1557</v>
      </c>
    </row>
    <row r="1559" spans="1:1" ht="15.75" customHeight="1" x14ac:dyDescent="0.45">
      <c r="A1559" s="2" t="s">
        <v>1558</v>
      </c>
    </row>
    <row r="1560" spans="1:1" ht="15.75" customHeight="1" x14ac:dyDescent="0.45">
      <c r="A1560" s="2" t="s">
        <v>1559</v>
      </c>
    </row>
    <row r="1561" spans="1:1" ht="15.75" customHeight="1" x14ac:dyDescent="0.45">
      <c r="A1561" s="2" t="s">
        <v>1560</v>
      </c>
    </row>
    <row r="1562" spans="1:1" ht="15.75" customHeight="1" x14ac:dyDescent="0.45">
      <c r="A1562" s="2" t="s">
        <v>1561</v>
      </c>
    </row>
    <row r="1563" spans="1:1" ht="15.75" customHeight="1" x14ac:dyDescent="0.45">
      <c r="A1563" s="2" t="s">
        <v>1562</v>
      </c>
    </row>
    <row r="1564" spans="1:1" ht="15.75" customHeight="1" x14ac:dyDescent="0.45">
      <c r="A1564" s="2" t="s">
        <v>1563</v>
      </c>
    </row>
    <row r="1565" spans="1:1" ht="15.75" customHeight="1" x14ac:dyDescent="0.45">
      <c r="A1565" s="2" t="s">
        <v>1564</v>
      </c>
    </row>
    <row r="1566" spans="1:1" ht="15.75" customHeight="1" x14ac:dyDescent="0.45">
      <c r="A1566" s="2" t="s">
        <v>1565</v>
      </c>
    </row>
    <row r="1567" spans="1:1" ht="15.75" customHeight="1" x14ac:dyDescent="0.45">
      <c r="A1567" s="2" t="s">
        <v>1566</v>
      </c>
    </row>
    <row r="1568" spans="1:1" ht="15.75" customHeight="1" x14ac:dyDescent="0.45">
      <c r="A1568" s="2" t="s">
        <v>1567</v>
      </c>
    </row>
    <row r="1569" spans="1:1" ht="15.75" customHeight="1" x14ac:dyDescent="0.45">
      <c r="A1569" s="2" t="s">
        <v>1568</v>
      </c>
    </row>
    <row r="1570" spans="1:1" ht="15.75" customHeight="1" x14ac:dyDescent="0.45">
      <c r="A1570" s="2" t="s">
        <v>1569</v>
      </c>
    </row>
    <row r="1571" spans="1:1" ht="15.75" customHeight="1" x14ac:dyDescent="0.45">
      <c r="A1571" s="2" t="s">
        <v>1570</v>
      </c>
    </row>
    <row r="1572" spans="1:1" ht="15.75" customHeight="1" x14ac:dyDescent="0.45">
      <c r="A1572" s="2" t="s">
        <v>1571</v>
      </c>
    </row>
    <row r="1573" spans="1:1" ht="15.75" customHeight="1" x14ac:dyDescent="0.45">
      <c r="A1573" s="2" t="s">
        <v>1572</v>
      </c>
    </row>
    <row r="1574" spans="1:1" ht="15.75" customHeight="1" x14ac:dyDescent="0.45">
      <c r="A1574" s="2" t="s">
        <v>1573</v>
      </c>
    </row>
    <row r="1575" spans="1:1" ht="15.75" customHeight="1" x14ac:dyDescent="0.45">
      <c r="A1575" s="2" t="s">
        <v>1574</v>
      </c>
    </row>
    <row r="1576" spans="1:1" ht="15.75" customHeight="1" x14ac:dyDescent="0.45">
      <c r="A1576" s="2" t="s">
        <v>1575</v>
      </c>
    </row>
    <row r="1577" spans="1:1" ht="15.75" customHeight="1" x14ac:dyDescent="0.45">
      <c r="A1577" s="2" t="s">
        <v>1576</v>
      </c>
    </row>
    <row r="1578" spans="1:1" ht="15.75" customHeight="1" x14ac:dyDescent="0.45">
      <c r="A1578" s="2" t="s">
        <v>1577</v>
      </c>
    </row>
    <row r="1579" spans="1:1" ht="15.75" customHeight="1" x14ac:dyDescent="0.45">
      <c r="A1579" s="2" t="s">
        <v>1578</v>
      </c>
    </row>
    <row r="1580" spans="1:1" ht="15.75" customHeight="1" x14ac:dyDescent="0.45">
      <c r="A1580" s="2" t="s">
        <v>1579</v>
      </c>
    </row>
    <row r="1581" spans="1:1" ht="15.75" customHeight="1" x14ac:dyDescent="0.45">
      <c r="A1581" s="2" t="s">
        <v>1580</v>
      </c>
    </row>
    <row r="1582" spans="1:1" ht="15.75" customHeight="1" x14ac:dyDescent="0.45">
      <c r="A1582" s="2" t="s">
        <v>1581</v>
      </c>
    </row>
    <row r="1583" spans="1:1" ht="15.75" customHeight="1" x14ac:dyDescent="0.45">
      <c r="A1583" s="2" t="s">
        <v>1582</v>
      </c>
    </row>
    <row r="1584" spans="1:1" ht="15.75" customHeight="1" x14ac:dyDescent="0.45">
      <c r="A1584" s="2" t="s">
        <v>1583</v>
      </c>
    </row>
    <row r="1585" spans="1:1" ht="15.75" customHeight="1" x14ac:dyDescent="0.45">
      <c r="A1585" s="2" t="s">
        <v>1584</v>
      </c>
    </row>
    <row r="1586" spans="1:1" ht="15.75" customHeight="1" x14ac:dyDescent="0.45">
      <c r="A1586" s="2" t="s">
        <v>1585</v>
      </c>
    </row>
    <row r="1587" spans="1:1" ht="15.75" customHeight="1" x14ac:dyDescent="0.45">
      <c r="A1587" s="2" t="s">
        <v>1586</v>
      </c>
    </row>
    <row r="1588" spans="1:1" ht="15.75" customHeight="1" x14ac:dyDescent="0.45">
      <c r="A1588" s="2" t="s">
        <v>1587</v>
      </c>
    </row>
    <row r="1589" spans="1:1" ht="15.75" customHeight="1" x14ac:dyDescent="0.45">
      <c r="A1589" s="2" t="s">
        <v>1588</v>
      </c>
    </row>
    <row r="1590" spans="1:1" ht="15.75" customHeight="1" x14ac:dyDescent="0.45">
      <c r="A1590" s="2" t="s">
        <v>1589</v>
      </c>
    </row>
    <row r="1591" spans="1:1" ht="15.75" customHeight="1" x14ac:dyDescent="0.45">
      <c r="A1591" s="2" t="s">
        <v>1590</v>
      </c>
    </row>
    <row r="1592" spans="1:1" ht="15.75" customHeight="1" x14ac:dyDescent="0.45">
      <c r="A1592" s="2" t="s">
        <v>1591</v>
      </c>
    </row>
    <row r="1593" spans="1:1" ht="15.75" customHeight="1" x14ac:dyDescent="0.45">
      <c r="A1593" s="2" t="s">
        <v>1592</v>
      </c>
    </row>
    <row r="1594" spans="1:1" ht="15.75" customHeight="1" x14ac:dyDescent="0.45">
      <c r="A1594" s="2" t="s">
        <v>1593</v>
      </c>
    </row>
    <row r="1595" spans="1:1" ht="15.75" customHeight="1" x14ac:dyDescent="0.45">
      <c r="A1595" s="2" t="s">
        <v>1594</v>
      </c>
    </row>
    <row r="1596" spans="1:1" ht="15.75" customHeight="1" x14ac:dyDescent="0.45">
      <c r="A1596" s="2" t="s">
        <v>1595</v>
      </c>
    </row>
    <row r="1597" spans="1:1" ht="15.75" customHeight="1" x14ac:dyDescent="0.45">
      <c r="A1597" s="2" t="s">
        <v>1596</v>
      </c>
    </row>
    <row r="1598" spans="1:1" ht="15.75" customHeight="1" x14ac:dyDescent="0.45">
      <c r="A1598" s="2" t="s">
        <v>1597</v>
      </c>
    </row>
    <row r="1599" spans="1:1" ht="15.75" customHeight="1" x14ac:dyDescent="0.45">
      <c r="A1599" s="2" t="s">
        <v>1598</v>
      </c>
    </row>
    <row r="1600" spans="1:1" ht="15.75" customHeight="1" x14ac:dyDescent="0.45">
      <c r="A1600" s="2" t="s">
        <v>1599</v>
      </c>
    </row>
    <row r="1601" spans="1:1" ht="15.75" customHeight="1" x14ac:dyDescent="0.45">
      <c r="A1601" s="2" t="s">
        <v>1600</v>
      </c>
    </row>
    <row r="1602" spans="1:1" ht="15.75" customHeight="1" x14ac:dyDescent="0.45">
      <c r="A1602" s="2" t="s">
        <v>1601</v>
      </c>
    </row>
    <row r="1603" spans="1:1" ht="15.75" customHeight="1" x14ac:dyDescent="0.45">
      <c r="A1603" s="2" t="s">
        <v>1602</v>
      </c>
    </row>
    <row r="1604" spans="1:1" ht="15.75" customHeight="1" x14ac:dyDescent="0.45">
      <c r="A1604" s="2" t="s">
        <v>1603</v>
      </c>
    </row>
    <row r="1605" spans="1:1" ht="15.75" customHeight="1" x14ac:dyDescent="0.45">
      <c r="A1605" s="2" t="s">
        <v>1604</v>
      </c>
    </row>
    <row r="1606" spans="1:1" ht="15.75" customHeight="1" x14ac:dyDescent="0.45">
      <c r="A1606" s="2" t="s">
        <v>1605</v>
      </c>
    </row>
    <row r="1607" spans="1:1" ht="15.75" customHeight="1" x14ac:dyDescent="0.45">
      <c r="A1607" s="2" t="s">
        <v>1606</v>
      </c>
    </row>
    <row r="1608" spans="1:1" ht="15.75" customHeight="1" x14ac:dyDescent="0.45">
      <c r="A1608" s="2" t="s">
        <v>1607</v>
      </c>
    </row>
    <row r="1609" spans="1:1" ht="15.75" customHeight="1" x14ac:dyDescent="0.45">
      <c r="A1609" s="2" t="s">
        <v>1608</v>
      </c>
    </row>
    <row r="1610" spans="1:1" ht="15.75" customHeight="1" x14ac:dyDescent="0.45">
      <c r="A1610" s="2" t="s">
        <v>1609</v>
      </c>
    </row>
    <row r="1611" spans="1:1" ht="15.75" customHeight="1" x14ac:dyDescent="0.45">
      <c r="A1611" s="2" t="s">
        <v>1610</v>
      </c>
    </row>
    <row r="1612" spans="1:1" ht="15.75" customHeight="1" x14ac:dyDescent="0.45">
      <c r="A1612" s="2" t="s">
        <v>1611</v>
      </c>
    </row>
    <row r="1613" spans="1:1" ht="15.75" customHeight="1" x14ac:dyDescent="0.45">
      <c r="A1613" s="2" t="s">
        <v>1612</v>
      </c>
    </row>
    <row r="1614" spans="1:1" ht="15.75" customHeight="1" x14ac:dyDescent="0.45">
      <c r="A1614" s="2" t="s">
        <v>1613</v>
      </c>
    </row>
    <row r="1615" spans="1:1" ht="15.75" customHeight="1" x14ac:dyDescent="0.45">
      <c r="A1615" s="2" t="s">
        <v>1614</v>
      </c>
    </row>
    <row r="1616" spans="1:1" ht="15.75" customHeight="1" x14ac:dyDescent="0.45">
      <c r="A1616" s="2" t="s">
        <v>1615</v>
      </c>
    </row>
    <row r="1617" spans="1:1" ht="15.75" customHeight="1" x14ac:dyDescent="0.45">
      <c r="A1617" s="2" t="s">
        <v>1616</v>
      </c>
    </row>
    <row r="1618" spans="1:1" ht="15.75" customHeight="1" x14ac:dyDescent="0.45">
      <c r="A1618" s="2" t="s">
        <v>1617</v>
      </c>
    </row>
    <row r="1619" spans="1:1" ht="15.75" customHeight="1" x14ac:dyDescent="0.45">
      <c r="A1619" s="2" t="s">
        <v>1618</v>
      </c>
    </row>
    <row r="1620" spans="1:1" ht="15.75" customHeight="1" x14ac:dyDescent="0.45">
      <c r="A1620" s="2" t="s">
        <v>1619</v>
      </c>
    </row>
    <row r="1621" spans="1:1" ht="15.75" customHeight="1" x14ac:dyDescent="0.45">
      <c r="A1621" s="2" t="s">
        <v>1620</v>
      </c>
    </row>
    <row r="1622" spans="1:1" ht="15.75" customHeight="1" x14ac:dyDescent="0.45">
      <c r="A1622" s="2" t="s">
        <v>1621</v>
      </c>
    </row>
    <row r="1623" spans="1:1" ht="15.75" customHeight="1" x14ac:dyDescent="0.45">
      <c r="A1623" s="2" t="s">
        <v>1622</v>
      </c>
    </row>
    <row r="1624" spans="1:1" ht="15.75" customHeight="1" x14ac:dyDescent="0.45">
      <c r="A1624" s="2" t="s">
        <v>1623</v>
      </c>
    </row>
    <row r="1625" spans="1:1" ht="15.75" customHeight="1" x14ac:dyDescent="0.45">
      <c r="A1625" s="2" t="s">
        <v>1624</v>
      </c>
    </row>
    <row r="1626" spans="1:1" ht="15.75" customHeight="1" x14ac:dyDescent="0.45">
      <c r="A1626" s="2" t="s">
        <v>1625</v>
      </c>
    </row>
    <row r="1627" spans="1:1" ht="15.75" customHeight="1" x14ac:dyDescent="0.45">
      <c r="A1627" s="2" t="s">
        <v>1626</v>
      </c>
    </row>
    <row r="1628" spans="1:1" ht="15.75" customHeight="1" x14ac:dyDescent="0.45">
      <c r="A1628" s="2" t="s">
        <v>1627</v>
      </c>
    </row>
    <row r="1629" spans="1:1" ht="15.75" customHeight="1" x14ac:dyDescent="0.45">
      <c r="A1629" s="2" t="s">
        <v>1628</v>
      </c>
    </row>
    <row r="1630" spans="1:1" ht="15.75" customHeight="1" x14ac:dyDescent="0.45">
      <c r="A1630" s="2" t="s">
        <v>1629</v>
      </c>
    </row>
    <row r="1631" spans="1:1" ht="15.75" customHeight="1" x14ac:dyDescent="0.45">
      <c r="A1631" s="2" t="s">
        <v>1630</v>
      </c>
    </row>
    <row r="1632" spans="1:1" ht="15.75" customHeight="1" x14ac:dyDescent="0.45">
      <c r="A1632" s="2" t="s">
        <v>1631</v>
      </c>
    </row>
    <row r="1633" spans="1:1" ht="15.75" customHeight="1" x14ac:dyDescent="0.45">
      <c r="A1633" s="2" t="s">
        <v>1632</v>
      </c>
    </row>
    <row r="1634" spans="1:1" ht="15.75" customHeight="1" x14ac:dyDescent="0.45">
      <c r="A1634" s="2" t="s">
        <v>1633</v>
      </c>
    </row>
    <row r="1635" spans="1:1" ht="15.75" customHeight="1" x14ac:dyDescent="0.45">
      <c r="A1635" s="2" t="s">
        <v>1634</v>
      </c>
    </row>
    <row r="1636" spans="1:1" ht="15.75" customHeight="1" x14ac:dyDescent="0.45">
      <c r="A1636" s="2" t="s">
        <v>1635</v>
      </c>
    </row>
    <row r="1637" spans="1:1" ht="15.75" customHeight="1" x14ac:dyDescent="0.45">
      <c r="A1637" s="2" t="s">
        <v>1636</v>
      </c>
    </row>
    <row r="1638" spans="1:1" ht="15.75" customHeight="1" x14ac:dyDescent="0.45">
      <c r="A1638" s="2" t="s">
        <v>1637</v>
      </c>
    </row>
    <row r="1639" spans="1:1" ht="15.75" customHeight="1" x14ac:dyDescent="0.45">
      <c r="A1639" s="2" t="s">
        <v>1638</v>
      </c>
    </row>
    <row r="1640" spans="1:1" ht="15.75" customHeight="1" x14ac:dyDescent="0.45">
      <c r="A1640" s="2" t="s">
        <v>1639</v>
      </c>
    </row>
    <row r="1641" spans="1:1" ht="15.75" customHeight="1" x14ac:dyDescent="0.45">
      <c r="A1641" s="2" t="s">
        <v>1640</v>
      </c>
    </row>
    <row r="1642" spans="1:1" ht="15.75" customHeight="1" x14ac:dyDescent="0.45">
      <c r="A1642" s="2" t="s">
        <v>1641</v>
      </c>
    </row>
    <row r="1643" spans="1:1" ht="15.75" customHeight="1" x14ac:dyDescent="0.45">
      <c r="A1643" s="2" t="s">
        <v>1642</v>
      </c>
    </row>
    <row r="1644" spans="1:1" ht="15.75" customHeight="1" x14ac:dyDescent="0.45">
      <c r="A1644" s="2" t="s">
        <v>1643</v>
      </c>
    </row>
    <row r="1645" spans="1:1" ht="15.75" customHeight="1" x14ac:dyDescent="0.45">
      <c r="A1645" s="2" t="s">
        <v>1644</v>
      </c>
    </row>
    <row r="1646" spans="1:1" ht="15.75" customHeight="1" x14ac:dyDescent="0.45">
      <c r="A1646" s="2" t="s">
        <v>1645</v>
      </c>
    </row>
    <row r="1647" spans="1:1" ht="15.75" customHeight="1" x14ac:dyDescent="0.45">
      <c r="A1647" s="2" t="s">
        <v>1646</v>
      </c>
    </row>
    <row r="1648" spans="1:1" ht="15.75" customHeight="1" x14ac:dyDescent="0.45">
      <c r="A1648" s="2" t="s">
        <v>1647</v>
      </c>
    </row>
    <row r="1649" spans="1:1" ht="15.75" customHeight="1" x14ac:dyDescent="0.45">
      <c r="A1649" s="2" t="s">
        <v>1648</v>
      </c>
    </row>
    <row r="1650" spans="1:1" ht="15.75" customHeight="1" x14ac:dyDescent="0.45">
      <c r="A1650" s="2" t="s">
        <v>1649</v>
      </c>
    </row>
    <row r="1651" spans="1:1" ht="15.75" customHeight="1" x14ac:dyDescent="0.45">
      <c r="A1651" s="2" t="s">
        <v>1650</v>
      </c>
    </row>
    <row r="1652" spans="1:1" ht="15.75" customHeight="1" x14ac:dyDescent="0.45">
      <c r="A1652" s="2" t="s">
        <v>1651</v>
      </c>
    </row>
    <row r="1653" spans="1:1" ht="15.75" customHeight="1" x14ac:dyDescent="0.45">
      <c r="A1653" s="2" t="s">
        <v>1652</v>
      </c>
    </row>
    <row r="1654" spans="1:1" ht="15.75" customHeight="1" x14ac:dyDescent="0.45">
      <c r="A1654" s="2" t="s">
        <v>1653</v>
      </c>
    </row>
    <row r="1655" spans="1:1" ht="15.75" customHeight="1" x14ac:dyDescent="0.45">
      <c r="A1655" s="2" t="s">
        <v>1654</v>
      </c>
    </row>
    <row r="1656" spans="1:1" ht="15.75" customHeight="1" x14ac:dyDescent="0.45">
      <c r="A1656" s="2" t="s">
        <v>1655</v>
      </c>
    </row>
    <row r="1657" spans="1:1" ht="15.75" customHeight="1" x14ac:dyDescent="0.45">
      <c r="A1657" s="2" t="s">
        <v>1656</v>
      </c>
    </row>
    <row r="1658" spans="1:1" ht="15.75" customHeight="1" x14ac:dyDescent="0.45">
      <c r="A1658" s="2" t="s">
        <v>1657</v>
      </c>
    </row>
    <row r="1659" spans="1:1" ht="15.75" customHeight="1" x14ac:dyDescent="0.45">
      <c r="A1659" s="2" t="s">
        <v>1658</v>
      </c>
    </row>
    <row r="1660" spans="1:1" ht="15.75" customHeight="1" x14ac:dyDescent="0.45">
      <c r="A1660" s="2" t="s">
        <v>1659</v>
      </c>
    </row>
    <row r="1661" spans="1:1" ht="15.75" customHeight="1" x14ac:dyDescent="0.45">
      <c r="A1661" s="2" t="s">
        <v>1660</v>
      </c>
    </row>
    <row r="1662" spans="1:1" ht="15.75" customHeight="1" x14ac:dyDescent="0.45">
      <c r="A1662" s="2" t="s">
        <v>1661</v>
      </c>
    </row>
    <row r="1663" spans="1:1" ht="15.75" customHeight="1" x14ac:dyDescent="0.45">
      <c r="A1663" s="2" t="s">
        <v>1662</v>
      </c>
    </row>
    <row r="1664" spans="1:1" ht="15.75" customHeight="1" x14ac:dyDescent="0.45">
      <c r="A1664" s="2" t="s">
        <v>1663</v>
      </c>
    </row>
    <row r="1665" spans="1:1" ht="15.75" customHeight="1" x14ac:dyDescent="0.45">
      <c r="A1665" s="2" t="s">
        <v>1664</v>
      </c>
    </row>
    <row r="1666" spans="1:1" ht="15.75" customHeight="1" x14ac:dyDescent="0.45">
      <c r="A1666" s="2" t="s">
        <v>1665</v>
      </c>
    </row>
    <row r="1667" spans="1:1" ht="15.75" customHeight="1" x14ac:dyDescent="0.45">
      <c r="A1667" s="2" t="s">
        <v>1666</v>
      </c>
    </row>
    <row r="1668" spans="1:1" ht="15.75" customHeight="1" x14ac:dyDescent="0.45">
      <c r="A1668" s="2" t="s">
        <v>1667</v>
      </c>
    </row>
    <row r="1669" spans="1:1" ht="15.75" customHeight="1" x14ac:dyDescent="0.45">
      <c r="A1669" s="2" t="s">
        <v>1668</v>
      </c>
    </row>
    <row r="1670" spans="1:1" ht="15.75" customHeight="1" x14ac:dyDescent="0.45">
      <c r="A1670" s="2" t="s">
        <v>1669</v>
      </c>
    </row>
    <row r="1671" spans="1:1" ht="15.75" customHeight="1" x14ac:dyDescent="0.45">
      <c r="A1671" s="2" t="s">
        <v>1670</v>
      </c>
    </row>
    <row r="1672" spans="1:1" ht="15.75" customHeight="1" x14ac:dyDescent="0.45">
      <c r="A1672" s="2" t="s">
        <v>1671</v>
      </c>
    </row>
    <row r="1673" spans="1:1" ht="15.75" customHeight="1" x14ac:dyDescent="0.45">
      <c r="A1673" s="2" t="s">
        <v>1672</v>
      </c>
    </row>
    <row r="1674" spans="1:1" ht="15.75" customHeight="1" x14ac:dyDescent="0.45">
      <c r="A1674" s="2" t="s">
        <v>1673</v>
      </c>
    </row>
    <row r="1675" spans="1:1" ht="15.75" customHeight="1" x14ac:dyDescent="0.45">
      <c r="A1675" s="2" t="s">
        <v>1674</v>
      </c>
    </row>
    <row r="1676" spans="1:1" ht="15.75" customHeight="1" x14ac:dyDescent="0.45">
      <c r="A1676" s="2" t="s">
        <v>1675</v>
      </c>
    </row>
    <row r="1677" spans="1:1" ht="15.75" customHeight="1" x14ac:dyDescent="0.45">
      <c r="A1677" s="2" t="s">
        <v>1676</v>
      </c>
    </row>
    <row r="1678" spans="1:1" ht="15.75" customHeight="1" x14ac:dyDescent="0.45">
      <c r="A1678" s="2" t="s">
        <v>1677</v>
      </c>
    </row>
    <row r="1679" spans="1:1" ht="15.75" customHeight="1" x14ac:dyDescent="0.45">
      <c r="A1679" s="2" t="s">
        <v>1678</v>
      </c>
    </row>
    <row r="1680" spans="1:1" ht="15.75" customHeight="1" x14ac:dyDescent="0.45">
      <c r="A1680" s="2" t="s">
        <v>1679</v>
      </c>
    </row>
    <row r="1681" spans="1:1" ht="15.75" customHeight="1" x14ac:dyDescent="0.45">
      <c r="A1681" s="2" t="s">
        <v>1680</v>
      </c>
    </row>
    <row r="1682" spans="1:1" ht="15.75" customHeight="1" x14ac:dyDescent="0.45">
      <c r="A1682" s="2" t="s">
        <v>1681</v>
      </c>
    </row>
    <row r="1683" spans="1:1" ht="15.75" customHeight="1" x14ac:dyDescent="0.45">
      <c r="A1683" s="2" t="s">
        <v>1682</v>
      </c>
    </row>
    <row r="1684" spans="1:1" ht="15.75" customHeight="1" x14ac:dyDescent="0.45">
      <c r="A1684" s="2" t="s">
        <v>1683</v>
      </c>
    </row>
    <row r="1685" spans="1:1" ht="15.75" customHeight="1" x14ac:dyDescent="0.45">
      <c r="A1685" s="2" t="s">
        <v>1684</v>
      </c>
    </row>
    <row r="1686" spans="1:1" ht="15.75" customHeight="1" x14ac:dyDescent="0.45">
      <c r="A1686" s="2" t="s">
        <v>1685</v>
      </c>
    </row>
    <row r="1687" spans="1:1" ht="15.75" customHeight="1" x14ac:dyDescent="0.45">
      <c r="A1687" s="2" t="s">
        <v>1686</v>
      </c>
    </row>
    <row r="1688" spans="1:1" ht="15.75" customHeight="1" x14ac:dyDescent="0.45">
      <c r="A1688" s="2" t="s">
        <v>1687</v>
      </c>
    </row>
    <row r="1689" spans="1:1" ht="15.75" customHeight="1" x14ac:dyDescent="0.45">
      <c r="A1689" s="2" t="s">
        <v>1688</v>
      </c>
    </row>
    <row r="1690" spans="1:1" ht="15.75" customHeight="1" x14ac:dyDescent="0.45">
      <c r="A1690" s="2" t="s">
        <v>1689</v>
      </c>
    </row>
    <row r="1691" spans="1:1" ht="15.75" customHeight="1" x14ac:dyDescent="0.45">
      <c r="A1691" s="2" t="s">
        <v>1690</v>
      </c>
    </row>
    <row r="1692" spans="1:1" ht="15.75" customHeight="1" x14ac:dyDescent="0.45">
      <c r="A1692" s="2" t="s">
        <v>1691</v>
      </c>
    </row>
    <row r="1693" spans="1:1" ht="15.75" customHeight="1" x14ac:dyDescent="0.45">
      <c r="A1693" s="2" t="s">
        <v>1692</v>
      </c>
    </row>
    <row r="1694" spans="1:1" ht="15.75" customHeight="1" x14ac:dyDescent="0.45">
      <c r="A1694" s="2" t="s">
        <v>1693</v>
      </c>
    </row>
    <row r="1695" spans="1:1" ht="15.75" customHeight="1" x14ac:dyDescent="0.45">
      <c r="A1695" s="2" t="s">
        <v>1694</v>
      </c>
    </row>
    <row r="1696" spans="1:1" ht="15.75" customHeight="1" x14ac:dyDescent="0.45">
      <c r="A1696" s="2" t="s">
        <v>1695</v>
      </c>
    </row>
    <row r="1697" spans="1:1" ht="15.75" customHeight="1" x14ac:dyDescent="0.45">
      <c r="A1697" s="2" t="s">
        <v>1696</v>
      </c>
    </row>
    <row r="1698" spans="1:1" ht="15.75" customHeight="1" x14ac:dyDescent="0.45">
      <c r="A1698" s="2" t="s">
        <v>1697</v>
      </c>
    </row>
    <row r="1699" spans="1:1" ht="15.75" customHeight="1" x14ac:dyDescent="0.45">
      <c r="A1699" s="2" t="s">
        <v>1698</v>
      </c>
    </row>
    <row r="1700" spans="1:1" ht="15.75" customHeight="1" x14ac:dyDescent="0.45">
      <c r="A1700" s="2" t="s">
        <v>1699</v>
      </c>
    </row>
    <row r="1701" spans="1:1" ht="15.75" customHeight="1" x14ac:dyDescent="0.45">
      <c r="A1701" s="2" t="s">
        <v>1700</v>
      </c>
    </row>
    <row r="1702" spans="1:1" ht="15.75" customHeight="1" x14ac:dyDescent="0.45">
      <c r="A1702" s="2" t="s">
        <v>1701</v>
      </c>
    </row>
    <row r="1703" spans="1:1" ht="15.75" customHeight="1" x14ac:dyDescent="0.45">
      <c r="A1703" s="2" t="s">
        <v>1702</v>
      </c>
    </row>
    <row r="1704" spans="1:1" ht="15.75" customHeight="1" x14ac:dyDescent="0.45">
      <c r="A1704" s="2" t="s">
        <v>1703</v>
      </c>
    </row>
    <row r="1705" spans="1:1" ht="15.75" customHeight="1" x14ac:dyDescent="0.45">
      <c r="A1705" s="2" t="s">
        <v>1704</v>
      </c>
    </row>
    <row r="1706" spans="1:1" ht="15.75" customHeight="1" x14ac:dyDescent="0.45">
      <c r="A1706" s="2" t="s">
        <v>1705</v>
      </c>
    </row>
    <row r="1707" spans="1:1" ht="15.75" customHeight="1" x14ac:dyDescent="0.45">
      <c r="A1707" s="2" t="s">
        <v>1706</v>
      </c>
    </row>
    <row r="1708" spans="1:1" ht="15.75" customHeight="1" x14ac:dyDescent="0.45">
      <c r="A1708" s="2" t="s">
        <v>1707</v>
      </c>
    </row>
    <row r="1709" spans="1:1" ht="15.75" customHeight="1" x14ac:dyDescent="0.45">
      <c r="A1709" s="2" t="s">
        <v>1708</v>
      </c>
    </row>
    <row r="1710" spans="1:1" ht="15.75" customHeight="1" x14ac:dyDescent="0.45">
      <c r="A1710" s="2" t="s">
        <v>1709</v>
      </c>
    </row>
    <row r="1711" spans="1:1" ht="15.75" customHeight="1" x14ac:dyDescent="0.45">
      <c r="A1711" s="2" t="s">
        <v>1710</v>
      </c>
    </row>
    <row r="1712" spans="1:1" ht="15.75" customHeight="1" x14ac:dyDescent="0.45">
      <c r="A1712" s="2" t="s">
        <v>1711</v>
      </c>
    </row>
    <row r="1713" spans="1:1" ht="15.75" customHeight="1" x14ac:dyDescent="0.45">
      <c r="A1713" s="2" t="s">
        <v>1712</v>
      </c>
    </row>
    <row r="1714" spans="1:1" ht="15.75" customHeight="1" x14ac:dyDescent="0.45">
      <c r="A1714" s="2" t="s">
        <v>1713</v>
      </c>
    </row>
    <row r="1715" spans="1:1" ht="15.75" customHeight="1" x14ac:dyDescent="0.45">
      <c r="A1715" s="2" t="s">
        <v>1714</v>
      </c>
    </row>
    <row r="1716" spans="1:1" ht="15.75" customHeight="1" x14ac:dyDescent="0.45">
      <c r="A1716" s="2" t="s">
        <v>1715</v>
      </c>
    </row>
    <row r="1717" spans="1:1" ht="15.75" customHeight="1" x14ac:dyDescent="0.45">
      <c r="A1717" s="2" t="s">
        <v>1716</v>
      </c>
    </row>
    <row r="1718" spans="1:1" ht="15.75" customHeight="1" x14ac:dyDescent="0.45">
      <c r="A1718" s="2" t="s">
        <v>1717</v>
      </c>
    </row>
    <row r="1719" spans="1:1" ht="15.75" customHeight="1" x14ac:dyDescent="0.45">
      <c r="A1719" s="2" t="s">
        <v>1718</v>
      </c>
    </row>
    <row r="1720" spans="1:1" ht="15.75" customHeight="1" x14ac:dyDescent="0.45">
      <c r="A1720" s="2" t="s">
        <v>1719</v>
      </c>
    </row>
    <row r="1721" spans="1:1" ht="15.75" customHeight="1" x14ac:dyDescent="0.45">
      <c r="A1721" s="2" t="s">
        <v>1720</v>
      </c>
    </row>
    <row r="1722" spans="1:1" ht="15.75" customHeight="1" x14ac:dyDescent="0.45">
      <c r="A1722" s="2" t="s">
        <v>1721</v>
      </c>
    </row>
    <row r="1723" spans="1:1" ht="15.75" customHeight="1" x14ac:dyDescent="0.45">
      <c r="A1723" s="2" t="s">
        <v>1722</v>
      </c>
    </row>
    <row r="1724" spans="1:1" ht="15.75" customHeight="1" x14ac:dyDescent="0.45">
      <c r="A1724" s="2" t="s">
        <v>1723</v>
      </c>
    </row>
    <row r="1725" spans="1:1" ht="15.75" customHeight="1" x14ac:dyDescent="0.45">
      <c r="A1725" s="2" t="s">
        <v>1724</v>
      </c>
    </row>
    <row r="1726" spans="1:1" ht="15.75" customHeight="1" x14ac:dyDescent="0.45">
      <c r="A1726" s="2" t="s">
        <v>1725</v>
      </c>
    </row>
    <row r="1727" spans="1:1" ht="15.75" customHeight="1" x14ac:dyDescent="0.45">
      <c r="A1727" s="2" t="s">
        <v>1726</v>
      </c>
    </row>
    <row r="1728" spans="1:1" ht="15.75" customHeight="1" x14ac:dyDescent="0.45">
      <c r="A1728" s="2" t="s">
        <v>1727</v>
      </c>
    </row>
    <row r="1729" spans="1:1" ht="15.75" customHeight="1" x14ac:dyDescent="0.45">
      <c r="A1729" s="2" t="s">
        <v>1728</v>
      </c>
    </row>
    <row r="1730" spans="1:1" ht="15.75" customHeight="1" x14ac:dyDescent="0.45">
      <c r="A1730" s="2" t="s">
        <v>1729</v>
      </c>
    </row>
    <row r="1731" spans="1:1" ht="15.75" customHeight="1" x14ac:dyDescent="0.45">
      <c r="A1731" s="2" t="s">
        <v>1730</v>
      </c>
    </row>
    <row r="1732" spans="1:1" ht="15.75" customHeight="1" x14ac:dyDescent="0.45">
      <c r="A1732" s="2" t="s">
        <v>1731</v>
      </c>
    </row>
    <row r="1733" spans="1:1" ht="15.75" customHeight="1" x14ac:dyDescent="0.45">
      <c r="A1733" s="2" t="s">
        <v>1732</v>
      </c>
    </row>
    <row r="1734" spans="1:1" ht="15.75" customHeight="1" x14ac:dyDescent="0.45">
      <c r="A1734" s="2" t="s">
        <v>1733</v>
      </c>
    </row>
    <row r="1735" spans="1:1" ht="15.75" customHeight="1" x14ac:dyDescent="0.45">
      <c r="A1735" s="2" t="s">
        <v>1734</v>
      </c>
    </row>
    <row r="1736" spans="1:1" ht="15.75" customHeight="1" x14ac:dyDescent="0.45">
      <c r="A1736" s="2" t="s">
        <v>1735</v>
      </c>
    </row>
    <row r="1737" spans="1:1" ht="15.75" customHeight="1" x14ac:dyDescent="0.45">
      <c r="A1737" s="2" t="s">
        <v>1736</v>
      </c>
    </row>
    <row r="1738" spans="1:1" ht="15.75" customHeight="1" x14ac:dyDescent="0.45">
      <c r="A1738" s="2" t="s">
        <v>1737</v>
      </c>
    </row>
    <row r="1739" spans="1:1" ht="15.75" customHeight="1" x14ac:dyDescent="0.45">
      <c r="A1739" s="2" t="s">
        <v>1738</v>
      </c>
    </row>
    <row r="1740" spans="1:1" ht="15.75" customHeight="1" x14ac:dyDescent="0.45">
      <c r="A1740" s="2" t="s">
        <v>1739</v>
      </c>
    </row>
    <row r="1741" spans="1:1" ht="15.75" customHeight="1" x14ac:dyDescent="0.45">
      <c r="A1741" s="2" t="s">
        <v>1740</v>
      </c>
    </row>
    <row r="1742" spans="1:1" ht="15.75" customHeight="1" x14ac:dyDescent="0.45">
      <c r="A1742" s="2" t="s">
        <v>1741</v>
      </c>
    </row>
    <row r="1743" spans="1:1" ht="15.75" customHeight="1" x14ac:dyDescent="0.45">
      <c r="A1743" s="2" t="s">
        <v>1742</v>
      </c>
    </row>
    <row r="1744" spans="1:1" ht="15.75" customHeight="1" x14ac:dyDescent="0.45">
      <c r="A1744" s="2" t="s">
        <v>1743</v>
      </c>
    </row>
    <row r="1745" spans="1:1" ht="15.75" customHeight="1" x14ac:dyDescent="0.45">
      <c r="A1745" s="2" t="s">
        <v>1744</v>
      </c>
    </row>
    <row r="1746" spans="1:1" ht="15.75" customHeight="1" x14ac:dyDescent="0.45">
      <c r="A1746" s="2" t="s">
        <v>1745</v>
      </c>
    </row>
    <row r="1747" spans="1:1" ht="15.75" customHeight="1" x14ac:dyDescent="0.45">
      <c r="A1747" s="2" t="s">
        <v>1746</v>
      </c>
    </row>
    <row r="1748" spans="1:1" ht="15.75" customHeight="1" x14ac:dyDescent="0.45">
      <c r="A1748" s="2" t="s">
        <v>1747</v>
      </c>
    </row>
    <row r="1749" spans="1:1" ht="15.75" customHeight="1" x14ac:dyDescent="0.45">
      <c r="A1749" s="2" t="s">
        <v>1748</v>
      </c>
    </row>
    <row r="1750" spans="1:1" ht="15.75" customHeight="1" x14ac:dyDescent="0.45">
      <c r="A1750" s="2" t="s">
        <v>1749</v>
      </c>
    </row>
    <row r="1751" spans="1:1" ht="15.75" customHeight="1" x14ac:dyDescent="0.45">
      <c r="A1751" s="2" t="s">
        <v>1750</v>
      </c>
    </row>
    <row r="1752" spans="1:1" ht="15.75" customHeight="1" x14ac:dyDescent="0.45">
      <c r="A1752" s="2" t="s">
        <v>1751</v>
      </c>
    </row>
    <row r="1753" spans="1:1" ht="15.75" customHeight="1" x14ac:dyDescent="0.45">
      <c r="A1753" s="2" t="s">
        <v>1752</v>
      </c>
    </row>
    <row r="1754" spans="1:1" ht="15.75" customHeight="1" x14ac:dyDescent="0.45">
      <c r="A1754" s="2" t="s">
        <v>1753</v>
      </c>
    </row>
    <row r="1755" spans="1:1" ht="15.75" customHeight="1" x14ac:dyDescent="0.45">
      <c r="A1755" s="2" t="s">
        <v>1754</v>
      </c>
    </row>
    <row r="1756" spans="1:1" ht="15.75" customHeight="1" x14ac:dyDescent="0.45">
      <c r="A1756" s="2" t="s">
        <v>1755</v>
      </c>
    </row>
    <row r="1757" spans="1:1" ht="15.75" customHeight="1" x14ac:dyDescent="0.45">
      <c r="A1757" s="2" t="s">
        <v>1756</v>
      </c>
    </row>
    <row r="1758" spans="1:1" ht="15.75" customHeight="1" x14ac:dyDescent="0.45">
      <c r="A1758" s="2" t="s">
        <v>1757</v>
      </c>
    </row>
    <row r="1759" spans="1:1" ht="15.75" customHeight="1" x14ac:dyDescent="0.45">
      <c r="A1759" s="2" t="s">
        <v>1758</v>
      </c>
    </row>
    <row r="1760" spans="1:1" ht="15.75" customHeight="1" x14ac:dyDescent="0.45">
      <c r="A1760" s="2" t="s">
        <v>1759</v>
      </c>
    </row>
    <row r="1761" spans="1:1" ht="15.75" customHeight="1" x14ac:dyDescent="0.45">
      <c r="A1761" s="2" t="s">
        <v>1760</v>
      </c>
    </row>
    <row r="1762" spans="1:1" ht="15.75" customHeight="1" x14ac:dyDescent="0.45">
      <c r="A1762" s="2" t="s">
        <v>1761</v>
      </c>
    </row>
    <row r="1763" spans="1:1" ht="15.75" customHeight="1" x14ac:dyDescent="0.45">
      <c r="A1763" s="2" t="s">
        <v>1762</v>
      </c>
    </row>
    <row r="1764" spans="1:1" ht="15.75" customHeight="1" x14ac:dyDescent="0.45">
      <c r="A1764" s="2" t="s">
        <v>1763</v>
      </c>
    </row>
    <row r="1765" spans="1:1" ht="15.75" customHeight="1" x14ac:dyDescent="0.45">
      <c r="A1765" s="2" t="s">
        <v>1764</v>
      </c>
    </row>
    <row r="1766" spans="1:1" ht="15.75" customHeight="1" x14ac:dyDescent="0.45">
      <c r="A1766" s="2" t="s">
        <v>1765</v>
      </c>
    </row>
    <row r="1767" spans="1:1" ht="15.75" customHeight="1" x14ac:dyDescent="0.45">
      <c r="A1767" s="2" t="s">
        <v>1766</v>
      </c>
    </row>
    <row r="1768" spans="1:1" ht="15.75" customHeight="1" x14ac:dyDescent="0.45">
      <c r="A1768" s="2" t="s">
        <v>1767</v>
      </c>
    </row>
    <row r="1769" spans="1:1" ht="15.75" customHeight="1" x14ac:dyDescent="0.45">
      <c r="A1769" s="2" t="s">
        <v>1768</v>
      </c>
    </row>
    <row r="1770" spans="1:1" ht="15.75" customHeight="1" x14ac:dyDescent="0.45">
      <c r="A1770" s="2" t="s">
        <v>1769</v>
      </c>
    </row>
    <row r="1771" spans="1:1" ht="15.75" customHeight="1" x14ac:dyDescent="0.45">
      <c r="A1771" s="2" t="s">
        <v>1770</v>
      </c>
    </row>
    <row r="1772" spans="1:1" ht="15.75" customHeight="1" x14ac:dyDescent="0.45">
      <c r="A1772" s="2" t="s">
        <v>1771</v>
      </c>
    </row>
    <row r="1773" spans="1:1" ht="15.75" customHeight="1" x14ac:dyDescent="0.45">
      <c r="A1773" s="2" t="s">
        <v>1772</v>
      </c>
    </row>
    <row r="1774" spans="1:1" ht="15.75" customHeight="1" x14ac:dyDescent="0.45">
      <c r="A1774" s="2" t="s">
        <v>1773</v>
      </c>
    </row>
    <row r="1775" spans="1:1" ht="15.75" customHeight="1" x14ac:dyDescent="0.45">
      <c r="A1775" s="2" t="s">
        <v>1774</v>
      </c>
    </row>
    <row r="1776" spans="1:1" ht="15.75" customHeight="1" x14ac:dyDescent="0.45">
      <c r="A1776" s="2" t="s">
        <v>1775</v>
      </c>
    </row>
    <row r="1777" spans="1:1" ht="15.75" customHeight="1" x14ac:dyDescent="0.45">
      <c r="A1777" s="2" t="s">
        <v>1776</v>
      </c>
    </row>
    <row r="1778" spans="1:1" ht="15.75" customHeight="1" x14ac:dyDescent="0.45">
      <c r="A1778" s="2" t="s">
        <v>1777</v>
      </c>
    </row>
    <row r="1779" spans="1:1" ht="15.75" customHeight="1" x14ac:dyDescent="0.45">
      <c r="A1779" s="2" t="s">
        <v>1778</v>
      </c>
    </row>
    <row r="1780" spans="1:1" ht="15.75" customHeight="1" x14ac:dyDescent="0.45">
      <c r="A1780" s="2" t="s">
        <v>1779</v>
      </c>
    </row>
    <row r="1781" spans="1:1" ht="15.75" customHeight="1" x14ac:dyDescent="0.45">
      <c r="A1781" s="2" t="s">
        <v>1780</v>
      </c>
    </row>
    <row r="1782" spans="1:1" ht="15.75" customHeight="1" x14ac:dyDescent="0.45">
      <c r="A1782" s="2" t="s">
        <v>1781</v>
      </c>
    </row>
    <row r="1783" spans="1:1" ht="15.75" customHeight="1" x14ac:dyDescent="0.45">
      <c r="A1783" s="2" t="s">
        <v>1782</v>
      </c>
    </row>
    <row r="1784" spans="1:1" ht="15.75" customHeight="1" x14ac:dyDescent="0.45">
      <c r="A1784" s="2" t="s">
        <v>1783</v>
      </c>
    </row>
    <row r="1785" spans="1:1" ht="15.75" customHeight="1" x14ac:dyDescent="0.45">
      <c r="A1785" s="2" t="s">
        <v>1784</v>
      </c>
    </row>
    <row r="1786" spans="1:1" ht="15.75" customHeight="1" x14ac:dyDescent="0.45">
      <c r="A1786" s="2" t="s">
        <v>1785</v>
      </c>
    </row>
    <row r="1787" spans="1:1" ht="15.75" customHeight="1" x14ac:dyDescent="0.45">
      <c r="A1787" s="2" t="s">
        <v>1786</v>
      </c>
    </row>
    <row r="1788" spans="1:1" ht="15.75" customHeight="1" x14ac:dyDescent="0.45">
      <c r="A1788" s="2" t="s">
        <v>1787</v>
      </c>
    </row>
    <row r="1789" spans="1:1" ht="15.75" customHeight="1" x14ac:dyDescent="0.45">
      <c r="A1789" s="2" t="s">
        <v>1788</v>
      </c>
    </row>
    <row r="1790" spans="1:1" ht="15.75" customHeight="1" x14ac:dyDescent="0.45">
      <c r="A1790" s="2" t="s">
        <v>1789</v>
      </c>
    </row>
    <row r="1791" spans="1:1" ht="15.75" customHeight="1" x14ac:dyDescent="0.45">
      <c r="A1791" s="2" t="s">
        <v>1790</v>
      </c>
    </row>
    <row r="1792" spans="1:1" ht="15.75" customHeight="1" x14ac:dyDescent="0.45">
      <c r="A1792" s="2" t="s">
        <v>1791</v>
      </c>
    </row>
    <row r="1793" spans="1:1" ht="15.75" customHeight="1" x14ac:dyDescent="0.45">
      <c r="A1793" s="2" t="s">
        <v>1792</v>
      </c>
    </row>
    <row r="1794" spans="1:1" ht="15.75" customHeight="1" x14ac:dyDescent="0.45">
      <c r="A1794" s="2" t="s">
        <v>1793</v>
      </c>
    </row>
    <row r="1795" spans="1:1" ht="15.75" customHeight="1" x14ac:dyDescent="0.45">
      <c r="A1795" s="2" t="s">
        <v>1794</v>
      </c>
    </row>
    <row r="1796" spans="1:1" ht="15.75" customHeight="1" x14ac:dyDescent="0.45">
      <c r="A1796" s="2" t="s">
        <v>1795</v>
      </c>
    </row>
    <row r="1797" spans="1:1" ht="15.75" customHeight="1" x14ac:dyDescent="0.45">
      <c r="A1797" s="2" t="s">
        <v>1796</v>
      </c>
    </row>
    <row r="1798" spans="1:1" ht="15.75" customHeight="1" x14ac:dyDescent="0.45">
      <c r="A1798" s="2" t="s">
        <v>1797</v>
      </c>
    </row>
    <row r="1799" spans="1:1" ht="15.75" customHeight="1" x14ac:dyDescent="0.45">
      <c r="A1799" s="2" t="s">
        <v>1798</v>
      </c>
    </row>
    <row r="1800" spans="1:1" ht="15.75" customHeight="1" x14ac:dyDescent="0.45">
      <c r="A1800" s="2" t="s">
        <v>1799</v>
      </c>
    </row>
    <row r="1801" spans="1:1" ht="15.75" customHeight="1" x14ac:dyDescent="0.45">
      <c r="A1801" s="2" t="s">
        <v>1800</v>
      </c>
    </row>
    <row r="1802" spans="1:1" ht="15.75" customHeight="1" x14ac:dyDescent="0.45">
      <c r="A1802" s="2" t="s">
        <v>1801</v>
      </c>
    </row>
    <row r="1803" spans="1:1" ht="15.75" customHeight="1" x14ac:dyDescent="0.45">
      <c r="A1803" s="2" t="s">
        <v>1802</v>
      </c>
    </row>
    <row r="1804" spans="1:1" ht="15.75" customHeight="1" x14ac:dyDescent="0.45">
      <c r="A1804" s="2" t="s">
        <v>1803</v>
      </c>
    </row>
    <row r="1805" spans="1:1" ht="15.75" customHeight="1" x14ac:dyDescent="0.45">
      <c r="A1805" s="2" t="s">
        <v>1804</v>
      </c>
    </row>
    <row r="1806" spans="1:1" ht="15.75" customHeight="1" x14ac:dyDescent="0.45">
      <c r="A1806" s="2" t="s">
        <v>1805</v>
      </c>
    </row>
    <row r="1807" spans="1:1" ht="15.75" customHeight="1" x14ac:dyDescent="0.45">
      <c r="A1807" s="2" t="s">
        <v>1806</v>
      </c>
    </row>
    <row r="1808" spans="1:1" ht="15.75" customHeight="1" x14ac:dyDescent="0.45">
      <c r="A1808" s="2" t="s">
        <v>1807</v>
      </c>
    </row>
    <row r="1809" spans="1:1" ht="15.75" customHeight="1" x14ac:dyDescent="0.45">
      <c r="A1809" s="2" t="s">
        <v>1808</v>
      </c>
    </row>
    <row r="1810" spans="1:1" ht="15.75" customHeight="1" x14ac:dyDescent="0.45">
      <c r="A1810" s="2" t="s">
        <v>1809</v>
      </c>
    </row>
    <row r="1811" spans="1:1" ht="15.75" customHeight="1" x14ac:dyDescent="0.45">
      <c r="A1811" s="2" t="s">
        <v>1810</v>
      </c>
    </row>
    <row r="1812" spans="1:1" ht="15.75" customHeight="1" x14ac:dyDescent="0.45">
      <c r="A1812" s="2" t="s">
        <v>1811</v>
      </c>
    </row>
    <row r="1813" spans="1:1" ht="15.75" customHeight="1" x14ac:dyDescent="0.45">
      <c r="A1813" s="2" t="s">
        <v>1812</v>
      </c>
    </row>
    <row r="1814" spans="1:1" ht="15.75" customHeight="1" x14ac:dyDescent="0.45">
      <c r="A1814" s="2" t="s">
        <v>1813</v>
      </c>
    </row>
    <row r="1815" spans="1:1" ht="15.75" customHeight="1" x14ac:dyDescent="0.45">
      <c r="A1815" s="2" t="s">
        <v>1814</v>
      </c>
    </row>
    <row r="1816" spans="1:1" ht="15.75" customHeight="1" x14ac:dyDescent="0.45">
      <c r="A1816" s="2" t="s">
        <v>1815</v>
      </c>
    </row>
    <row r="1817" spans="1:1" ht="15.75" customHeight="1" x14ac:dyDescent="0.45">
      <c r="A1817" s="2" t="s">
        <v>1816</v>
      </c>
    </row>
    <row r="1818" spans="1:1" ht="15.75" customHeight="1" x14ac:dyDescent="0.45">
      <c r="A1818" s="2" t="s">
        <v>1817</v>
      </c>
    </row>
    <row r="1819" spans="1:1" ht="15.75" customHeight="1" x14ac:dyDescent="0.45">
      <c r="A1819" s="2" t="s">
        <v>1818</v>
      </c>
    </row>
    <row r="1820" spans="1:1" ht="15.75" customHeight="1" x14ac:dyDescent="0.45">
      <c r="A1820" s="2" t="s">
        <v>1819</v>
      </c>
    </row>
    <row r="1821" spans="1:1" ht="15.75" customHeight="1" x14ac:dyDescent="0.45">
      <c r="A1821" s="2" t="s">
        <v>1820</v>
      </c>
    </row>
    <row r="1822" spans="1:1" ht="15.75" customHeight="1" x14ac:dyDescent="0.45">
      <c r="A1822" s="2" t="s">
        <v>1821</v>
      </c>
    </row>
    <row r="1823" spans="1:1" ht="15.75" customHeight="1" x14ac:dyDescent="0.45">
      <c r="A1823" s="2" t="s">
        <v>1822</v>
      </c>
    </row>
    <row r="1824" spans="1:1" ht="15.75" customHeight="1" x14ac:dyDescent="0.45">
      <c r="A1824" s="2" t="s">
        <v>1823</v>
      </c>
    </row>
    <row r="1825" spans="1:1" ht="15.75" customHeight="1" x14ac:dyDescent="0.45">
      <c r="A1825" s="2" t="s">
        <v>1824</v>
      </c>
    </row>
    <row r="1826" spans="1:1" ht="15.75" customHeight="1" x14ac:dyDescent="0.45">
      <c r="A1826" s="2" t="s">
        <v>1825</v>
      </c>
    </row>
    <row r="1827" spans="1:1" ht="15.75" customHeight="1" x14ac:dyDescent="0.45">
      <c r="A1827" s="2" t="s">
        <v>1826</v>
      </c>
    </row>
    <row r="1828" spans="1:1" ht="15.75" customHeight="1" x14ac:dyDescent="0.45">
      <c r="A1828" s="2" t="s">
        <v>1827</v>
      </c>
    </row>
    <row r="1829" spans="1:1" ht="15.75" customHeight="1" x14ac:dyDescent="0.45">
      <c r="A1829" s="2" t="s">
        <v>1828</v>
      </c>
    </row>
    <row r="1830" spans="1:1" ht="15.75" customHeight="1" x14ac:dyDescent="0.45">
      <c r="A1830" s="2" t="s">
        <v>1829</v>
      </c>
    </row>
    <row r="1831" spans="1:1" ht="15.75" customHeight="1" x14ac:dyDescent="0.45">
      <c r="A1831" s="2" t="s">
        <v>1830</v>
      </c>
    </row>
    <row r="1832" spans="1:1" ht="15.75" customHeight="1" x14ac:dyDescent="0.45">
      <c r="A1832" s="2" t="s">
        <v>1831</v>
      </c>
    </row>
    <row r="1833" spans="1:1" ht="15.75" customHeight="1" x14ac:dyDescent="0.45">
      <c r="A1833" s="2" t="s">
        <v>1832</v>
      </c>
    </row>
    <row r="1834" spans="1:1" ht="15.75" customHeight="1" x14ac:dyDescent="0.45">
      <c r="A1834" s="2" t="s">
        <v>1833</v>
      </c>
    </row>
    <row r="1835" spans="1:1" ht="15.75" customHeight="1" x14ac:dyDescent="0.45">
      <c r="A1835" s="2" t="s">
        <v>1834</v>
      </c>
    </row>
    <row r="1836" spans="1:1" ht="15.75" customHeight="1" x14ac:dyDescent="0.45">
      <c r="A1836" s="2" t="s">
        <v>1835</v>
      </c>
    </row>
    <row r="1837" spans="1:1" ht="15.75" customHeight="1" x14ac:dyDescent="0.45">
      <c r="A1837" s="2" t="s">
        <v>1836</v>
      </c>
    </row>
    <row r="1838" spans="1:1" ht="15.75" customHeight="1" x14ac:dyDescent="0.45">
      <c r="A1838" s="2" t="s">
        <v>1837</v>
      </c>
    </row>
    <row r="1839" spans="1:1" ht="15.75" customHeight="1" x14ac:dyDescent="0.45">
      <c r="A1839" s="2" t="s">
        <v>1838</v>
      </c>
    </row>
    <row r="1840" spans="1:1" ht="15.75" customHeight="1" x14ac:dyDescent="0.45">
      <c r="A1840" s="2" t="s">
        <v>1839</v>
      </c>
    </row>
    <row r="1841" spans="1:1" ht="15.75" customHeight="1" x14ac:dyDescent="0.45">
      <c r="A1841" s="2" t="s">
        <v>1840</v>
      </c>
    </row>
    <row r="1842" spans="1:1" ht="15.75" customHeight="1" x14ac:dyDescent="0.45">
      <c r="A1842" s="2" t="s">
        <v>1841</v>
      </c>
    </row>
    <row r="1843" spans="1:1" ht="15.75" customHeight="1" x14ac:dyDescent="0.45">
      <c r="A1843" s="2" t="s">
        <v>1842</v>
      </c>
    </row>
    <row r="1844" spans="1:1" ht="15.75" customHeight="1" x14ac:dyDescent="0.45">
      <c r="A1844" s="2" t="s">
        <v>1843</v>
      </c>
    </row>
    <row r="1845" spans="1:1" ht="15.75" customHeight="1" x14ac:dyDescent="0.45">
      <c r="A1845" s="2" t="s">
        <v>1844</v>
      </c>
    </row>
    <row r="1846" spans="1:1" ht="15.75" customHeight="1" x14ac:dyDescent="0.45">
      <c r="A1846" s="2" t="s">
        <v>1845</v>
      </c>
    </row>
    <row r="1847" spans="1:1" ht="15.75" customHeight="1" x14ac:dyDescent="0.45">
      <c r="A1847" s="2" t="s">
        <v>1846</v>
      </c>
    </row>
    <row r="1848" spans="1:1" ht="15.75" customHeight="1" x14ac:dyDescent="0.45">
      <c r="A1848" s="2" t="s">
        <v>1847</v>
      </c>
    </row>
    <row r="1849" spans="1:1" ht="15.75" customHeight="1" x14ac:dyDescent="0.45">
      <c r="A1849" s="2" t="s">
        <v>1848</v>
      </c>
    </row>
    <row r="1850" spans="1:1" ht="15.75" customHeight="1" x14ac:dyDescent="0.45">
      <c r="A1850" s="2" t="s">
        <v>1849</v>
      </c>
    </row>
    <row r="1851" spans="1:1" ht="15.75" customHeight="1" x14ac:dyDescent="0.45">
      <c r="A1851" s="2" t="s">
        <v>1850</v>
      </c>
    </row>
    <row r="1852" spans="1:1" ht="15.75" customHeight="1" x14ac:dyDescent="0.45">
      <c r="A1852" s="2" t="s">
        <v>1851</v>
      </c>
    </row>
    <row r="1853" spans="1:1" ht="15.75" customHeight="1" x14ac:dyDescent="0.45">
      <c r="A1853" s="2" t="s">
        <v>1852</v>
      </c>
    </row>
    <row r="1854" spans="1:1" ht="15.75" customHeight="1" x14ac:dyDescent="0.45">
      <c r="A1854" s="2" t="s">
        <v>1853</v>
      </c>
    </row>
    <row r="1855" spans="1:1" ht="15.75" customHeight="1" x14ac:dyDescent="0.45">
      <c r="A1855" s="2" t="s">
        <v>1854</v>
      </c>
    </row>
    <row r="1856" spans="1:1" ht="15.75" customHeight="1" x14ac:dyDescent="0.45">
      <c r="A1856" s="2" t="s">
        <v>1855</v>
      </c>
    </row>
    <row r="1857" spans="1:1" ht="15.75" customHeight="1" x14ac:dyDescent="0.45">
      <c r="A1857" s="2" t="s">
        <v>1856</v>
      </c>
    </row>
    <row r="1858" spans="1:1" ht="15.75" customHeight="1" x14ac:dyDescent="0.45">
      <c r="A1858" s="2" t="s">
        <v>1857</v>
      </c>
    </row>
    <row r="1859" spans="1:1" ht="15.75" customHeight="1" x14ac:dyDescent="0.45">
      <c r="A1859" s="2" t="s">
        <v>1858</v>
      </c>
    </row>
    <row r="1860" spans="1:1" ht="15.75" customHeight="1" x14ac:dyDescent="0.45">
      <c r="A1860" s="2" t="s">
        <v>1859</v>
      </c>
    </row>
    <row r="1861" spans="1:1" ht="15.75" customHeight="1" x14ac:dyDescent="0.45">
      <c r="A1861" s="2" t="s">
        <v>1860</v>
      </c>
    </row>
    <row r="1862" spans="1:1" ht="15.75" customHeight="1" x14ac:dyDescent="0.45">
      <c r="A1862" s="2" t="s">
        <v>1861</v>
      </c>
    </row>
    <row r="1863" spans="1:1" ht="15.75" customHeight="1" x14ac:dyDescent="0.45">
      <c r="A1863" s="2" t="s">
        <v>1862</v>
      </c>
    </row>
    <row r="1864" spans="1:1" ht="15.75" customHeight="1" x14ac:dyDescent="0.45">
      <c r="A1864" s="2" t="s">
        <v>1863</v>
      </c>
    </row>
    <row r="1865" spans="1:1" ht="15.75" customHeight="1" x14ac:dyDescent="0.45">
      <c r="A1865" s="2" t="s">
        <v>1864</v>
      </c>
    </row>
    <row r="1866" spans="1:1" ht="15.75" customHeight="1" x14ac:dyDescent="0.45">
      <c r="A1866" s="2" t="s">
        <v>1865</v>
      </c>
    </row>
    <row r="1867" spans="1:1" ht="15.75" customHeight="1" x14ac:dyDescent="0.45">
      <c r="A1867" s="2" t="s">
        <v>1866</v>
      </c>
    </row>
    <row r="1868" spans="1:1" ht="15.75" customHeight="1" x14ac:dyDescent="0.45">
      <c r="A1868" s="2" t="s">
        <v>1867</v>
      </c>
    </row>
    <row r="1869" spans="1:1" ht="15.75" customHeight="1" x14ac:dyDescent="0.45">
      <c r="A1869" s="2" t="s">
        <v>1868</v>
      </c>
    </row>
    <row r="1870" spans="1:1" ht="15.75" customHeight="1" x14ac:dyDescent="0.45">
      <c r="A1870" s="2" t="s">
        <v>1869</v>
      </c>
    </row>
    <row r="1871" spans="1:1" ht="15.75" customHeight="1" x14ac:dyDescent="0.45">
      <c r="A1871" s="2" t="s">
        <v>1870</v>
      </c>
    </row>
    <row r="1872" spans="1:1" ht="15.75" customHeight="1" x14ac:dyDescent="0.45">
      <c r="A1872" s="2" t="s">
        <v>1871</v>
      </c>
    </row>
    <row r="1873" spans="1:1" ht="15.75" customHeight="1" x14ac:dyDescent="0.45">
      <c r="A1873" s="2" t="s">
        <v>1872</v>
      </c>
    </row>
    <row r="1874" spans="1:1" ht="15.75" customHeight="1" x14ac:dyDescent="0.45">
      <c r="A1874" s="2" t="s">
        <v>1873</v>
      </c>
    </row>
    <row r="1875" spans="1:1" ht="15.75" customHeight="1" x14ac:dyDescent="0.45">
      <c r="A1875" s="2" t="s">
        <v>1874</v>
      </c>
    </row>
    <row r="1876" spans="1:1" ht="15.75" customHeight="1" x14ac:dyDescent="0.45">
      <c r="A1876" s="2" t="s">
        <v>1875</v>
      </c>
    </row>
    <row r="1877" spans="1:1" ht="15.75" customHeight="1" x14ac:dyDescent="0.45">
      <c r="A1877" s="2" t="s">
        <v>1876</v>
      </c>
    </row>
    <row r="1878" spans="1:1" ht="15.75" customHeight="1" x14ac:dyDescent="0.45">
      <c r="A1878" s="2" t="s">
        <v>1877</v>
      </c>
    </row>
    <row r="1879" spans="1:1" ht="15.75" customHeight="1" x14ac:dyDescent="0.45">
      <c r="A1879" s="2" t="s">
        <v>1878</v>
      </c>
    </row>
    <row r="1880" spans="1:1" ht="15.75" customHeight="1" x14ac:dyDescent="0.45">
      <c r="A1880" s="2" t="s">
        <v>1879</v>
      </c>
    </row>
    <row r="1881" spans="1:1" ht="15.75" customHeight="1" x14ac:dyDescent="0.45">
      <c r="A1881" s="2" t="s">
        <v>1880</v>
      </c>
    </row>
    <row r="1882" spans="1:1" ht="15.75" customHeight="1" x14ac:dyDescent="0.45">
      <c r="A1882" s="2" t="s">
        <v>1881</v>
      </c>
    </row>
    <row r="1883" spans="1:1" ht="15.75" customHeight="1" x14ac:dyDescent="0.45">
      <c r="A1883" s="2" t="s">
        <v>1882</v>
      </c>
    </row>
    <row r="1884" spans="1:1" ht="15.75" customHeight="1" x14ac:dyDescent="0.45">
      <c r="A1884" s="2" t="s">
        <v>1883</v>
      </c>
    </row>
    <row r="1885" spans="1:1" ht="15.75" customHeight="1" x14ac:dyDescent="0.45">
      <c r="A1885" s="2" t="s">
        <v>1884</v>
      </c>
    </row>
    <row r="1886" spans="1:1" ht="15.75" customHeight="1" x14ac:dyDescent="0.45">
      <c r="A1886" s="2" t="s">
        <v>1885</v>
      </c>
    </row>
    <row r="1887" spans="1:1" ht="15.75" customHeight="1" x14ac:dyDescent="0.45">
      <c r="A1887" s="2" t="s">
        <v>1886</v>
      </c>
    </row>
    <row r="1888" spans="1:1" ht="15.75" customHeight="1" x14ac:dyDescent="0.45">
      <c r="A1888" s="2" t="s">
        <v>1887</v>
      </c>
    </row>
    <row r="1889" spans="1:1" ht="15.75" customHeight="1" x14ac:dyDescent="0.45">
      <c r="A1889" s="2" t="s">
        <v>1888</v>
      </c>
    </row>
    <row r="1890" spans="1:1" ht="15.75" customHeight="1" x14ac:dyDescent="0.45">
      <c r="A1890" s="2" t="s">
        <v>1889</v>
      </c>
    </row>
    <row r="1891" spans="1:1" ht="15.75" customHeight="1" x14ac:dyDescent="0.45">
      <c r="A1891" s="2" t="s">
        <v>1890</v>
      </c>
    </row>
    <row r="1892" spans="1:1" ht="15.75" customHeight="1" x14ac:dyDescent="0.45">
      <c r="A1892" s="2" t="s">
        <v>1891</v>
      </c>
    </row>
    <row r="1893" spans="1:1" ht="15.75" customHeight="1" x14ac:dyDescent="0.45">
      <c r="A1893" s="2" t="s">
        <v>1892</v>
      </c>
    </row>
    <row r="1894" spans="1:1" ht="15.75" customHeight="1" x14ac:dyDescent="0.45">
      <c r="A1894" s="2" t="s">
        <v>1893</v>
      </c>
    </row>
    <row r="1895" spans="1:1" ht="15.75" customHeight="1" x14ac:dyDescent="0.45">
      <c r="A1895" s="2" t="s">
        <v>1894</v>
      </c>
    </row>
    <row r="1896" spans="1:1" ht="15.75" customHeight="1" x14ac:dyDescent="0.45">
      <c r="A1896" s="2" t="s">
        <v>1895</v>
      </c>
    </row>
    <row r="1897" spans="1:1" ht="15.75" customHeight="1" x14ac:dyDescent="0.45">
      <c r="A1897" s="2" t="s">
        <v>1896</v>
      </c>
    </row>
    <row r="1898" spans="1:1" ht="15.75" customHeight="1" x14ac:dyDescent="0.45">
      <c r="A1898" s="2" t="s">
        <v>1897</v>
      </c>
    </row>
    <row r="1899" spans="1:1" ht="15.75" customHeight="1" x14ac:dyDescent="0.45">
      <c r="A1899" s="2" t="s">
        <v>1898</v>
      </c>
    </row>
    <row r="1900" spans="1:1" ht="15.75" customHeight="1" x14ac:dyDescent="0.45">
      <c r="A1900" s="2" t="s">
        <v>1899</v>
      </c>
    </row>
    <row r="1901" spans="1:1" ht="15.75" customHeight="1" x14ac:dyDescent="0.45">
      <c r="A1901" s="2" t="s">
        <v>1900</v>
      </c>
    </row>
    <row r="1902" spans="1:1" ht="15.75" customHeight="1" x14ac:dyDescent="0.45">
      <c r="A1902" s="2" t="s">
        <v>1901</v>
      </c>
    </row>
    <row r="1903" spans="1:1" ht="15.75" customHeight="1" x14ac:dyDescent="0.45">
      <c r="A1903" s="2" t="s">
        <v>1902</v>
      </c>
    </row>
    <row r="1904" spans="1:1" ht="15.75" customHeight="1" x14ac:dyDescent="0.45">
      <c r="A1904" s="2" t="s">
        <v>1903</v>
      </c>
    </row>
    <row r="1905" spans="1:1" ht="15.75" customHeight="1" x14ac:dyDescent="0.45">
      <c r="A1905" s="2" t="s">
        <v>1904</v>
      </c>
    </row>
    <row r="1906" spans="1:1" ht="15.75" customHeight="1" x14ac:dyDescent="0.45">
      <c r="A1906" s="2" t="s">
        <v>1905</v>
      </c>
    </row>
    <row r="1907" spans="1:1" ht="15.75" customHeight="1" x14ac:dyDescent="0.45">
      <c r="A1907" s="2" t="s">
        <v>1906</v>
      </c>
    </row>
    <row r="1908" spans="1:1" ht="15.75" customHeight="1" x14ac:dyDescent="0.45">
      <c r="A1908" s="2" t="s">
        <v>1907</v>
      </c>
    </row>
    <row r="1909" spans="1:1" ht="15.75" customHeight="1" x14ac:dyDescent="0.45">
      <c r="A1909" s="2" t="s">
        <v>1908</v>
      </c>
    </row>
    <row r="1910" spans="1:1" ht="15.75" customHeight="1" x14ac:dyDescent="0.45">
      <c r="A1910" s="2" t="s">
        <v>1909</v>
      </c>
    </row>
    <row r="1911" spans="1:1" ht="15.75" customHeight="1" x14ac:dyDescent="0.45">
      <c r="A1911" s="2" t="s">
        <v>1910</v>
      </c>
    </row>
    <row r="1912" spans="1:1" ht="15.75" customHeight="1" x14ac:dyDescent="0.45">
      <c r="A1912" s="2" t="s">
        <v>1911</v>
      </c>
    </row>
    <row r="1913" spans="1:1" ht="15.75" customHeight="1" x14ac:dyDescent="0.45">
      <c r="A1913" s="2" t="s">
        <v>1912</v>
      </c>
    </row>
    <row r="1914" spans="1:1" ht="15.75" customHeight="1" x14ac:dyDescent="0.45">
      <c r="A1914" s="2" t="s">
        <v>1913</v>
      </c>
    </row>
    <row r="1915" spans="1:1" ht="15.75" customHeight="1" x14ac:dyDescent="0.45">
      <c r="A1915" s="2" t="s">
        <v>1914</v>
      </c>
    </row>
    <row r="1916" spans="1:1" ht="15.75" customHeight="1" x14ac:dyDescent="0.45">
      <c r="A1916" s="2" t="s">
        <v>1915</v>
      </c>
    </row>
    <row r="1917" spans="1:1" ht="15.75" customHeight="1" x14ac:dyDescent="0.45">
      <c r="A1917" s="2" t="s">
        <v>1916</v>
      </c>
    </row>
    <row r="1918" spans="1:1" ht="15.75" customHeight="1" x14ac:dyDescent="0.45">
      <c r="A1918" s="2" t="s">
        <v>1917</v>
      </c>
    </row>
    <row r="1919" spans="1:1" ht="15.75" customHeight="1" x14ac:dyDescent="0.45">
      <c r="A1919" s="2" t="s">
        <v>1918</v>
      </c>
    </row>
    <row r="1920" spans="1:1" ht="15.75" customHeight="1" x14ac:dyDescent="0.45">
      <c r="A1920" s="2" t="s">
        <v>1919</v>
      </c>
    </row>
    <row r="1921" spans="1:1" ht="15.75" customHeight="1" x14ac:dyDescent="0.45">
      <c r="A1921" s="2" t="s">
        <v>1920</v>
      </c>
    </row>
    <row r="1922" spans="1:1" ht="15.75" customHeight="1" x14ac:dyDescent="0.45">
      <c r="A1922" s="2" t="s">
        <v>1921</v>
      </c>
    </row>
    <row r="1923" spans="1:1" ht="15.75" customHeight="1" x14ac:dyDescent="0.45">
      <c r="A1923" s="2" t="s">
        <v>1922</v>
      </c>
    </row>
    <row r="1924" spans="1:1" ht="15.75" customHeight="1" x14ac:dyDescent="0.45">
      <c r="A1924" s="2" t="s">
        <v>1923</v>
      </c>
    </row>
    <row r="1925" spans="1:1" ht="15.75" customHeight="1" x14ac:dyDescent="0.45">
      <c r="A1925" s="2" t="s">
        <v>1924</v>
      </c>
    </row>
    <row r="1926" spans="1:1" ht="15.75" customHeight="1" x14ac:dyDescent="0.45">
      <c r="A1926" s="2" t="s">
        <v>1925</v>
      </c>
    </row>
    <row r="1927" spans="1:1" ht="15.75" customHeight="1" x14ac:dyDescent="0.45">
      <c r="A1927" s="2" t="s">
        <v>1926</v>
      </c>
    </row>
    <row r="1928" spans="1:1" ht="15.75" customHeight="1" x14ac:dyDescent="0.45">
      <c r="A1928" s="2" t="s">
        <v>1927</v>
      </c>
    </row>
    <row r="1929" spans="1:1" ht="15.75" customHeight="1" x14ac:dyDescent="0.45">
      <c r="A1929" s="2" t="s">
        <v>1928</v>
      </c>
    </row>
    <row r="1930" spans="1:1" ht="15.75" customHeight="1" x14ac:dyDescent="0.45">
      <c r="A1930" s="2" t="s">
        <v>1929</v>
      </c>
    </row>
    <row r="1931" spans="1:1" ht="15.75" customHeight="1" x14ac:dyDescent="0.45">
      <c r="A1931" s="2" t="s">
        <v>1930</v>
      </c>
    </row>
    <row r="1932" spans="1:1" ht="15.75" customHeight="1" x14ac:dyDescent="0.45">
      <c r="A1932" s="2" t="s">
        <v>1931</v>
      </c>
    </row>
    <row r="1933" spans="1:1" ht="15.75" customHeight="1" x14ac:dyDescent="0.45">
      <c r="A1933" s="2" t="s">
        <v>1932</v>
      </c>
    </row>
    <row r="1934" spans="1:1" ht="15.75" customHeight="1" x14ac:dyDescent="0.45">
      <c r="A1934" s="2" t="s">
        <v>1933</v>
      </c>
    </row>
    <row r="1935" spans="1:1" ht="15.75" customHeight="1" x14ac:dyDescent="0.45">
      <c r="A1935" s="2" t="s">
        <v>1934</v>
      </c>
    </row>
    <row r="1936" spans="1:1" ht="15.75" customHeight="1" x14ac:dyDescent="0.45">
      <c r="A1936" s="2" t="s">
        <v>1935</v>
      </c>
    </row>
    <row r="1937" spans="1:1" ht="15.75" customHeight="1" x14ac:dyDescent="0.45">
      <c r="A1937" s="2" t="s">
        <v>1936</v>
      </c>
    </row>
    <row r="1938" spans="1:1" ht="15.75" customHeight="1" x14ac:dyDescent="0.45">
      <c r="A1938" s="2" t="s">
        <v>1937</v>
      </c>
    </row>
    <row r="1939" spans="1:1" ht="15.75" customHeight="1" x14ac:dyDescent="0.45">
      <c r="A1939" s="2" t="s">
        <v>1938</v>
      </c>
    </row>
    <row r="1940" spans="1:1" ht="15.75" customHeight="1" x14ac:dyDescent="0.45">
      <c r="A1940" s="2" t="s">
        <v>1939</v>
      </c>
    </row>
    <row r="1941" spans="1:1" ht="15.75" customHeight="1" x14ac:dyDescent="0.45">
      <c r="A1941" s="2" t="s">
        <v>1940</v>
      </c>
    </row>
    <row r="1942" spans="1:1" ht="15.75" customHeight="1" x14ac:dyDescent="0.45">
      <c r="A1942" s="2" t="s">
        <v>1941</v>
      </c>
    </row>
    <row r="1943" spans="1:1" ht="15.75" customHeight="1" x14ac:dyDescent="0.45">
      <c r="A1943" s="2" t="s">
        <v>1942</v>
      </c>
    </row>
    <row r="1944" spans="1:1" ht="15.75" customHeight="1" x14ac:dyDescent="0.45">
      <c r="A1944" s="2" t="s">
        <v>1943</v>
      </c>
    </row>
    <row r="1945" spans="1:1" ht="15.75" customHeight="1" x14ac:dyDescent="0.45">
      <c r="A1945" s="2" t="s">
        <v>1944</v>
      </c>
    </row>
    <row r="1946" spans="1:1" ht="15.75" customHeight="1" x14ac:dyDescent="0.45">
      <c r="A1946" s="2" t="s">
        <v>1945</v>
      </c>
    </row>
    <row r="1947" spans="1:1" ht="15.75" customHeight="1" x14ac:dyDescent="0.45">
      <c r="A1947" s="2" t="s">
        <v>1946</v>
      </c>
    </row>
    <row r="1948" spans="1:1" ht="15.75" customHeight="1" x14ac:dyDescent="0.45">
      <c r="A1948" s="2" t="s">
        <v>1947</v>
      </c>
    </row>
    <row r="1949" spans="1:1" ht="15.75" customHeight="1" x14ac:dyDescent="0.45">
      <c r="A1949" s="2" t="s">
        <v>1948</v>
      </c>
    </row>
    <row r="1950" spans="1:1" ht="15.75" customHeight="1" x14ac:dyDescent="0.45">
      <c r="A1950" s="2" t="s">
        <v>1949</v>
      </c>
    </row>
    <row r="1951" spans="1:1" ht="15.75" customHeight="1" x14ac:dyDescent="0.45">
      <c r="A1951" s="2" t="s">
        <v>1950</v>
      </c>
    </row>
    <row r="1952" spans="1:1" ht="15.75" customHeight="1" x14ac:dyDescent="0.45">
      <c r="A1952" s="2" t="s">
        <v>1951</v>
      </c>
    </row>
    <row r="1953" spans="1:1" ht="15.75" customHeight="1" x14ac:dyDescent="0.45">
      <c r="A1953" s="2" t="s">
        <v>1952</v>
      </c>
    </row>
    <row r="1954" spans="1:1" ht="15.75" customHeight="1" x14ac:dyDescent="0.45">
      <c r="A1954" s="2" t="s">
        <v>1953</v>
      </c>
    </row>
    <row r="1955" spans="1:1" ht="15.75" customHeight="1" x14ac:dyDescent="0.45">
      <c r="A1955" s="2" t="s">
        <v>1954</v>
      </c>
    </row>
    <row r="1956" spans="1:1" ht="15.75" customHeight="1" x14ac:dyDescent="0.45">
      <c r="A1956" s="2" t="s">
        <v>1955</v>
      </c>
    </row>
    <row r="1957" spans="1:1" ht="15.75" customHeight="1" x14ac:dyDescent="0.45">
      <c r="A1957" s="2" t="s">
        <v>1956</v>
      </c>
    </row>
    <row r="1958" spans="1:1" ht="15.75" customHeight="1" x14ac:dyDescent="0.45">
      <c r="A1958" s="2" t="s">
        <v>1957</v>
      </c>
    </row>
    <row r="1959" spans="1:1" ht="15.75" customHeight="1" x14ac:dyDescent="0.45">
      <c r="A1959" s="2" t="s">
        <v>1958</v>
      </c>
    </row>
    <row r="1960" spans="1:1" ht="15.75" customHeight="1" x14ac:dyDescent="0.45">
      <c r="A1960" s="2" t="s">
        <v>1959</v>
      </c>
    </row>
    <row r="1961" spans="1:1" ht="15.75" customHeight="1" x14ac:dyDescent="0.45">
      <c r="A1961" s="2" t="s">
        <v>1960</v>
      </c>
    </row>
    <row r="1962" spans="1:1" ht="15.75" customHeight="1" x14ac:dyDescent="0.45">
      <c r="A1962" s="2" t="s">
        <v>1961</v>
      </c>
    </row>
    <row r="1963" spans="1:1" ht="15.75" customHeight="1" x14ac:dyDescent="0.45">
      <c r="A1963" s="2" t="s">
        <v>1962</v>
      </c>
    </row>
    <row r="1964" spans="1:1" ht="15.75" customHeight="1" x14ac:dyDescent="0.45">
      <c r="A1964" s="2" t="s">
        <v>1963</v>
      </c>
    </row>
    <row r="1965" spans="1:1" ht="15.75" customHeight="1" x14ac:dyDescent="0.45">
      <c r="A1965" s="2" t="s">
        <v>1964</v>
      </c>
    </row>
    <row r="1966" spans="1:1" ht="15.75" customHeight="1" x14ac:dyDescent="0.45">
      <c r="A1966" s="2" t="s">
        <v>1965</v>
      </c>
    </row>
    <row r="1967" spans="1:1" ht="15.75" customHeight="1" x14ac:dyDescent="0.45">
      <c r="A1967" s="2" t="s">
        <v>1966</v>
      </c>
    </row>
    <row r="1968" spans="1:1" ht="15.75" customHeight="1" x14ac:dyDescent="0.45">
      <c r="A1968" s="2" t="s">
        <v>1967</v>
      </c>
    </row>
    <row r="1969" spans="1:1" ht="15.75" customHeight="1" x14ac:dyDescent="0.45">
      <c r="A1969" s="2" t="s">
        <v>1968</v>
      </c>
    </row>
    <row r="1970" spans="1:1" ht="15.75" customHeight="1" x14ac:dyDescent="0.45">
      <c r="A1970" s="2" t="s">
        <v>1969</v>
      </c>
    </row>
    <row r="1971" spans="1:1" ht="15.75" customHeight="1" x14ac:dyDescent="0.45">
      <c r="A1971" s="2" t="s">
        <v>1970</v>
      </c>
    </row>
    <row r="1972" spans="1:1" ht="15.75" customHeight="1" x14ac:dyDescent="0.45">
      <c r="A1972" s="2" t="s">
        <v>1971</v>
      </c>
    </row>
    <row r="1973" spans="1:1" ht="15.75" customHeight="1" x14ac:dyDescent="0.45">
      <c r="A1973" s="2" t="s">
        <v>1972</v>
      </c>
    </row>
    <row r="1974" spans="1:1" ht="15.75" customHeight="1" x14ac:dyDescent="0.45">
      <c r="A1974" s="2" t="s">
        <v>1973</v>
      </c>
    </row>
    <row r="1975" spans="1:1" ht="15.75" customHeight="1" x14ac:dyDescent="0.45">
      <c r="A1975" s="2" t="s">
        <v>1974</v>
      </c>
    </row>
    <row r="1976" spans="1:1" ht="15.75" customHeight="1" x14ac:dyDescent="0.45">
      <c r="A1976" s="2" t="s">
        <v>1975</v>
      </c>
    </row>
    <row r="1977" spans="1:1" ht="15.75" customHeight="1" x14ac:dyDescent="0.45">
      <c r="A1977" s="2" t="s">
        <v>1976</v>
      </c>
    </row>
    <row r="1978" spans="1:1" ht="15.75" customHeight="1" x14ac:dyDescent="0.45">
      <c r="A1978" s="2" t="s">
        <v>1977</v>
      </c>
    </row>
    <row r="1979" spans="1:1" ht="15.75" customHeight="1" x14ac:dyDescent="0.45">
      <c r="A1979" s="2" t="s">
        <v>1978</v>
      </c>
    </row>
    <row r="1980" spans="1:1" ht="15.75" customHeight="1" x14ac:dyDescent="0.45">
      <c r="A1980" s="2" t="s">
        <v>1979</v>
      </c>
    </row>
    <row r="1981" spans="1:1" ht="15.75" customHeight="1" x14ac:dyDescent="0.45">
      <c r="A1981" s="2" t="s">
        <v>1980</v>
      </c>
    </row>
    <row r="1982" spans="1:1" ht="15.75" customHeight="1" x14ac:dyDescent="0.45">
      <c r="A1982" s="2" t="s">
        <v>1981</v>
      </c>
    </row>
    <row r="1983" spans="1:1" ht="15.75" customHeight="1" x14ac:dyDescent="0.45">
      <c r="A1983" s="2" t="s">
        <v>1982</v>
      </c>
    </row>
    <row r="1984" spans="1:1" ht="15.75" customHeight="1" x14ac:dyDescent="0.45">
      <c r="A1984" s="2" t="s">
        <v>1983</v>
      </c>
    </row>
    <row r="1985" spans="1:1" ht="15.75" customHeight="1" x14ac:dyDescent="0.45">
      <c r="A1985" s="2" t="s">
        <v>1984</v>
      </c>
    </row>
    <row r="1986" spans="1:1" ht="15.75" customHeight="1" x14ac:dyDescent="0.45">
      <c r="A1986" s="2" t="s">
        <v>1985</v>
      </c>
    </row>
    <row r="1987" spans="1:1" ht="15.75" customHeight="1" x14ac:dyDescent="0.45">
      <c r="A1987" s="2" t="s">
        <v>1986</v>
      </c>
    </row>
    <row r="1988" spans="1:1" ht="15.75" customHeight="1" x14ac:dyDescent="0.45">
      <c r="A1988" s="2" t="s">
        <v>1987</v>
      </c>
    </row>
    <row r="1989" spans="1:1" ht="15.75" customHeight="1" x14ac:dyDescent="0.45">
      <c r="A1989" s="2" t="s">
        <v>1988</v>
      </c>
    </row>
    <row r="1990" spans="1:1" ht="15.75" customHeight="1" x14ac:dyDescent="0.45">
      <c r="A1990" s="2" t="s">
        <v>1989</v>
      </c>
    </row>
    <row r="1991" spans="1:1" ht="15.75" customHeight="1" x14ac:dyDescent="0.45">
      <c r="A1991" s="2" t="s">
        <v>1990</v>
      </c>
    </row>
    <row r="1992" spans="1:1" ht="15.75" customHeight="1" x14ac:dyDescent="0.45">
      <c r="A1992" s="2" t="s">
        <v>1991</v>
      </c>
    </row>
    <row r="1993" spans="1:1" ht="15.75" customHeight="1" x14ac:dyDescent="0.45">
      <c r="A1993" s="2" t="s">
        <v>1992</v>
      </c>
    </row>
    <row r="1994" spans="1:1" ht="15.75" customHeight="1" x14ac:dyDescent="0.45">
      <c r="A1994" s="2" t="s">
        <v>1993</v>
      </c>
    </row>
    <row r="1995" spans="1:1" ht="15.75" customHeight="1" x14ac:dyDescent="0.45">
      <c r="A1995" s="2" t="s">
        <v>1994</v>
      </c>
    </row>
    <row r="1996" spans="1:1" ht="15.75" customHeight="1" x14ac:dyDescent="0.45">
      <c r="A1996" s="2" t="s">
        <v>1995</v>
      </c>
    </row>
    <row r="1997" spans="1:1" ht="15.75" customHeight="1" x14ac:dyDescent="0.45">
      <c r="A1997" s="2" t="s">
        <v>1996</v>
      </c>
    </row>
    <row r="1998" spans="1:1" ht="15.75" customHeight="1" x14ac:dyDescent="0.45">
      <c r="A1998" s="2" t="s">
        <v>1997</v>
      </c>
    </row>
    <row r="1999" spans="1:1" ht="15.75" customHeight="1" x14ac:dyDescent="0.45">
      <c r="A1999" s="2" t="s">
        <v>1998</v>
      </c>
    </row>
    <row r="2000" spans="1:1" ht="15.75" customHeight="1" x14ac:dyDescent="0.45">
      <c r="A2000" s="2" t="s">
        <v>1999</v>
      </c>
    </row>
    <row r="2001" spans="1:1" ht="15.75" customHeight="1" x14ac:dyDescent="0.45">
      <c r="A2001" s="2" t="s">
        <v>2000</v>
      </c>
    </row>
    <row r="2002" spans="1:1" ht="15.75" customHeight="1" x14ac:dyDescent="0.45">
      <c r="A2002" s="2" t="s">
        <v>2001</v>
      </c>
    </row>
    <row r="2003" spans="1:1" ht="15.75" customHeight="1" x14ac:dyDescent="0.45">
      <c r="A2003" s="2" t="s">
        <v>2002</v>
      </c>
    </row>
    <row r="2004" spans="1:1" ht="15.75" customHeight="1" x14ac:dyDescent="0.45">
      <c r="A2004" s="2" t="s">
        <v>2003</v>
      </c>
    </row>
    <row r="2005" spans="1:1" ht="15.75" customHeight="1" x14ac:dyDescent="0.45">
      <c r="A2005" s="2" t="s">
        <v>2004</v>
      </c>
    </row>
    <row r="2006" spans="1:1" ht="15.75" customHeight="1" x14ac:dyDescent="0.45">
      <c r="A2006" s="2" t="s">
        <v>2005</v>
      </c>
    </row>
    <row r="2007" spans="1:1" ht="15.75" customHeight="1" x14ac:dyDescent="0.45">
      <c r="A2007" s="2" t="s">
        <v>2006</v>
      </c>
    </row>
    <row r="2008" spans="1:1" ht="15.75" customHeight="1" x14ac:dyDescent="0.45">
      <c r="A2008" s="2" t="s">
        <v>2007</v>
      </c>
    </row>
    <row r="2009" spans="1:1" ht="15.75" customHeight="1" x14ac:dyDescent="0.45">
      <c r="A2009" s="2" t="s">
        <v>2008</v>
      </c>
    </row>
    <row r="2010" spans="1:1" ht="15.75" customHeight="1" x14ac:dyDescent="0.45">
      <c r="A2010" s="2" t="s">
        <v>2009</v>
      </c>
    </row>
    <row r="2011" spans="1:1" ht="15.75" customHeight="1" x14ac:dyDescent="0.45">
      <c r="A2011" s="2" t="s">
        <v>2010</v>
      </c>
    </row>
    <row r="2012" spans="1:1" ht="15.75" customHeight="1" x14ac:dyDescent="0.45">
      <c r="A2012" s="2" t="s">
        <v>2011</v>
      </c>
    </row>
    <row r="2013" spans="1:1" ht="15.75" customHeight="1" x14ac:dyDescent="0.45">
      <c r="A2013" s="2" t="s">
        <v>2012</v>
      </c>
    </row>
    <row r="2014" spans="1:1" ht="15.75" customHeight="1" x14ac:dyDescent="0.45">
      <c r="A2014" s="2" t="s">
        <v>2013</v>
      </c>
    </row>
    <row r="2015" spans="1:1" ht="15.75" customHeight="1" x14ac:dyDescent="0.45">
      <c r="A2015" s="2" t="s">
        <v>2014</v>
      </c>
    </row>
    <row r="2016" spans="1:1" ht="15.75" customHeight="1" x14ac:dyDescent="0.45">
      <c r="A2016" s="2" t="s">
        <v>2015</v>
      </c>
    </row>
    <row r="2017" spans="1:1" ht="15.75" customHeight="1" x14ac:dyDescent="0.45">
      <c r="A2017" s="2" t="s">
        <v>2016</v>
      </c>
    </row>
    <row r="2018" spans="1:1" ht="15.75" customHeight="1" x14ac:dyDescent="0.45">
      <c r="A2018" s="2" t="s">
        <v>2017</v>
      </c>
    </row>
    <row r="2019" spans="1:1" ht="15.75" customHeight="1" x14ac:dyDescent="0.45">
      <c r="A2019" s="2" t="s">
        <v>2018</v>
      </c>
    </row>
    <row r="2020" spans="1:1" ht="15.75" customHeight="1" x14ac:dyDescent="0.45">
      <c r="A2020" s="2" t="s">
        <v>2019</v>
      </c>
    </row>
    <row r="2021" spans="1:1" ht="15.75" customHeight="1" x14ac:dyDescent="0.45">
      <c r="A2021" s="2" t="s">
        <v>2020</v>
      </c>
    </row>
    <row r="2022" spans="1:1" ht="15.75" customHeight="1" x14ac:dyDescent="0.45">
      <c r="A2022" s="2" t="s">
        <v>2021</v>
      </c>
    </row>
    <row r="2023" spans="1:1" ht="15.75" customHeight="1" x14ac:dyDescent="0.45">
      <c r="A2023" s="2" t="s">
        <v>2022</v>
      </c>
    </row>
    <row r="2024" spans="1:1" ht="15.75" customHeight="1" x14ac:dyDescent="0.45">
      <c r="A2024" s="2" t="s">
        <v>2023</v>
      </c>
    </row>
    <row r="2025" spans="1:1" ht="15.75" customHeight="1" x14ac:dyDescent="0.45">
      <c r="A2025" s="2" t="s">
        <v>2024</v>
      </c>
    </row>
    <row r="2026" spans="1:1" ht="15.75" customHeight="1" x14ac:dyDescent="0.45">
      <c r="A2026" s="2" t="s">
        <v>2025</v>
      </c>
    </row>
    <row r="2027" spans="1:1" ht="15.75" customHeight="1" x14ac:dyDescent="0.45">
      <c r="A2027" s="2" t="s">
        <v>2026</v>
      </c>
    </row>
    <row r="2028" spans="1:1" ht="15.75" customHeight="1" x14ac:dyDescent="0.45">
      <c r="A2028" s="2" t="s">
        <v>2027</v>
      </c>
    </row>
    <row r="2029" spans="1:1" ht="15.75" customHeight="1" x14ac:dyDescent="0.45">
      <c r="A2029" s="2" t="s">
        <v>2028</v>
      </c>
    </row>
    <row r="2030" spans="1:1" ht="15.75" customHeight="1" x14ac:dyDescent="0.45">
      <c r="A2030" s="2" t="s">
        <v>2029</v>
      </c>
    </row>
    <row r="2031" spans="1:1" ht="15.75" customHeight="1" x14ac:dyDescent="0.45">
      <c r="A2031" s="2" t="s">
        <v>2030</v>
      </c>
    </row>
    <row r="2032" spans="1:1" ht="15.75" customHeight="1" x14ac:dyDescent="0.45">
      <c r="A2032" s="2" t="s">
        <v>2031</v>
      </c>
    </row>
    <row r="2033" spans="1:1" ht="15.75" customHeight="1" x14ac:dyDescent="0.45">
      <c r="A2033" s="2" t="s">
        <v>2032</v>
      </c>
    </row>
    <row r="2034" spans="1:1" ht="15.75" customHeight="1" x14ac:dyDescent="0.45">
      <c r="A2034" s="2" t="s">
        <v>2033</v>
      </c>
    </row>
    <row r="2035" spans="1:1" ht="15.75" customHeight="1" x14ac:dyDescent="0.45">
      <c r="A2035" s="2" t="s">
        <v>2034</v>
      </c>
    </row>
    <row r="2036" spans="1:1" ht="15.75" customHeight="1" x14ac:dyDescent="0.45">
      <c r="A2036" s="2" t="s">
        <v>2035</v>
      </c>
    </row>
    <row r="2037" spans="1:1" ht="15.75" customHeight="1" x14ac:dyDescent="0.45">
      <c r="A2037" s="2" t="s">
        <v>2036</v>
      </c>
    </row>
    <row r="2038" spans="1:1" ht="15.75" customHeight="1" x14ac:dyDescent="0.45">
      <c r="A2038" s="2" t="s">
        <v>2037</v>
      </c>
    </row>
    <row r="2039" spans="1:1" ht="15.75" customHeight="1" x14ac:dyDescent="0.45">
      <c r="A2039" s="2" t="s">
        <v>2038</v>
      </c>
    </row>
    <row r="2040" spans="1:1" ht="15.75" customHeight="1" x14ac:dyDescent="0.45">
      <c r="A2040" s="2" t="s">
        <v>2039</v>
      </c>
    </row>
    <row r="2041" spans="1:1" ht="15.75" customHeight="1" x14ac:dyDescent="0.45">
      <c r="A2041" s="2" t="s">
        <v>2040</v>
      </c>
    </row>
    <row r="2042" spans="1:1" ht="15.75" customHeight="1" x14ac:dyDescent="0.45">
      <c r="A2042" s="2" t="s">
        <v>2041</v>
      </c>
    </row>
    <row r="2043" spans="1:1" ht="15.75" customHeight="1" x14ac:dyDescent="0.45">
      <c r="A2043" s="2" t="s">
        <v>2042</v>
      </c>
    </row>
    <row r="2044" spans="1:1" ht="15.75" customHeight="1" x14ac:dyDescent="0.45">
      <c r="A2044" s="2" t="s">
        <v>2043</v>
      </c>
    </row>
    <row r="2045" spans="1:1" ht="15.75" customHeight="1" x14ac:dyDescent="0.45">
      <c r="A2045" s="2" t="s">
        <v>2044</v>
      </c>
    </row>
    <row r="2046" spans="1:1" ht="15.75" customHeight="1" x14ac:dyDescent="0.45">
      <c r="A2046" s="2" t="s">
        <v>2045</v>
      </c>
    </row>
    <row r="2047" spans="1:1" ht="15.75" customHeight="1" x14ac:dyDescent="0.45">
      <c r="A2047" s="2" t="s">
        <v>2046</v>
      </c>
    </row>
    <row r="2048" spans="1:1" ht="15.75" customHeight="1" x14ac:dyDescent="0.45">
      <c r="A2048" s="2" t="s">
        <v>2047</v>
      </c>
    </row>
    <row r="2049" spans="1:1" ht="15.75" customHeight="1" x14ac:dyDescent="0.45">
      <c r="A2049" s="2" t="s">
        <v>2048</v>
      </c>
    </row>
    <row r="2050" spans="1:1" ht="15.75" customHeight="1" x14ac:dyDescent="0.45">
      <c r="A2050" s="2" t="s">
        <v>2049</v>
      </c>
    </row>
    <row r="2051" spans="1:1" ht="15.75" customHeight="1" x14ac:dyDescent="0.45">
      <c r="A2051" s="2" t="s">
        <v>2050</v>
      </c>
    </row>
    <row r="2052" spans="1:1" ht="15.75" customHeight="1" x14ac:dyDescent="0.45">
      <c r="A2052" s="2" t="s">
        <v>2051</v>
      </c>
    </row>
    <row r="2053" spans="1:1" ht="15.75" customHeight="1" x14ac:dyDescent="0.45">
      <c r="A2053" s="2" t="s">
        <v>2052</v>
      </c>
    </row>
    <row r="2054" spans="1:1" ht="15.75" customHeight="1" x14ac:dyDescent="0.45">
      <c r="A2054" s="2" t="s">
        <v>2053</v>
      </c>
    </row>
    <row r="2055" spans="1:1" ht="15.75" customHeight="1" x14ac:dyDescent="0.45">
      <c r="A2055" s="2" t="s">
        <v>2054</v>
      </c>
    </row>
    <row r="2056" spans="1:1" ht="15.75" customHeight="1" x14ac:dyDescent="0.45">
      <c r="A2056" s="2" t="s">
        <v>2055</v>
      </c>
    </row>
    <row r="2057" spans="1:1" ht="15.75" customHeight="1" x14ac:dyDescent="0.45">
      <c r="A2057" s="2" t="s">
        <v>2056</v>
      </c>
    </row>
    <row r="2058" spans="1:1" ht="15.75" customHeight="1" x14ac:dyDescent="0.45">
      <c r="A2058" s="2" t="s">
        <v>2057</v>
      </c>
    </row>
    <row r="2059" spans="1:1" ht="15.75" customHeight="1" x14ac:dyDescent="0.45">
      <c r="A2059" s="2" t="s">
        <v>2058</v>
      </c>
    </row>
    <row r="2060" spans="1:1" ht="15.75" customHeight="1" x14ac:dyDescent="0.45">
      <c r="A2060" s="2" t="s">
        <v>2059</v>
      </c>
    </row>
    <row r="2061" spans="1:1" ht="15.75" customHeight="1" x14ac:dyDescent="0.45">
      <c r="A2061" s="2" t="s">
        <v>2060</v>
      </c>
    </row>
    <row r="2062" spans="1:1" ht="15.75" customHeight="1" x14ac:dyDescent="0.45">
      <c r="A2062" s="2" t="s">
        <v>2061</v>
      </c>
    </row>
    <row r="2063" spans="1:1" ht="15.75" customHeight="1" x14ac:dyDescent="0.45">
      <c r="A2063" s="2" t="s">
        <v>2062</v>
      </c>
    </row>
    <row r="2064" spans="1:1" ht="15.75" customHeight="1" x14ac:dyDescent="0.45">
      <c r="A2064" s="2" t="s">
        <v>2063</v>
      </c>
    </row>
    <row r="2065" spans="1:1" ht="15.75" customHeight="1" x14ac:dyDescent="0.45">
      <c r="A2065" s="2" t="s">
        <v>2064</v>
      </c>
    </row>
    <row r="2066" spans="1:1" ht="15.75" customHeight="1" x14ac:dyDescent="0.45">
      <c r="A2066" s="2" t="s">
        <v>2065</v>
      </c>
    </row>
    <row r="2067" spans="1:1" ht="15.75" customHeight="1" x14ac:dyDescent="0.45">
      <c r="A2067" s="2" t="s">
        <v>2066</v>
      </c>
    </row>
    <row r="2068" spans="1:1" ht="15.75" customHeight="1" x14ac:dyDescent="0.45">
      <c r="A2068" s="2" t="s">
        <v>2067</v>
      </c>
    </row>
    <row r="2069" spans="1:1" ht="15.75" customHeight="1" x14ac:dyDescent="0.45">
      <c r="A2069" s="2" t="s">
        <v>2068</v>
      </c>
    </row>
    <row r="2070" spans="1:1" ht="15.75" customHeight="1" x14ac:dyDescent="0.45">
      <c r="A2070" s="2" t="s">
        <v>2069</v>
      </c>
    </row>
    <row r="2071" spans="1:1" ht="15.75" customHeight="1" x14ac:dyDescent="0.45">
      <c r="A2071" s="2" t="s">
        <v>2070</v>
      </c>
    </row>
    <row r="2072" spans="1:1" ht="15.75" customHeight="1" x14ac:dyDescent="0.45">
      <c r="A2072" s="2" t="s">
        <v>2071</v>
      </c>
    </row>
    <row r="2073" spans="1:1" ht="15.75" customHeight="1" x14ac:dyDescent="0.45">
      <c r="A2073" s="2" t="s">
        <v>2072</v>
      </c>
    </row>
    <row r="2074" spans="1:1" ht="15.75" customHeight="1" x14ac:dyDescent="0.45">
      <c r="A2074" s="2" t="s">
        <v>2073</v>
      </c>
    </row>
    <row r="2075" spans="1:1" ht="15.75" customHeight="1" x14ac:dyDescent="0.45">
      <c r="A2075" s="2" t="s">
        <v>2074</v>
      </c>
    </row>
    <row r="2076" spans="1:1" ht="15.75" customHeight="1" x14ac:dyDescent="0.45">
      <c r="A2076" s="2" t="s">
        <v>2075</v>
      </c>
    </row>
    <row r="2077" spans="1:1" ht="15.75" customHeight="1" x14ac:dyDescent="0.45">
      <c r="A2077" s="2" t="s">
        <v>2076</v>
      </c>
    </row>
    <row r="2078" spans="1:1" ht="15.75" customHeight="1" x14ac:dyDescent="0.45">
      <c r="A2078" s="2" t="s">
        <v>2077</v>
      </c>
    </row>
    <row r="2079" spans="1:1" ht="15.75" customHeight="1" x14ac:dyDescent="0.45">
      <c r="A2079" s="2" t="s">
        <v>2078</v>
      </c>
    </row>
    <row r="2080" spans="1:1" ht="15.75" customHeight="1" x14ac:dyDescent="0.45">
      <c r="A2080" s="2" t="s">
        <v>2079</v>
      </c>
    </row>
    <row r="2081" spans="1:1" ht="15.75" customHeight="1" x14ac:dyDescent="0.45">
      <c r="A2081" s="2" t="s">
        <v>2080</v>
      </c>
    </row>
    <row r="2082" spans="1:1" ht="15.75" customHeight="1" x14ac:dyDescent="0.45">
      <c r="A2082" s="2" t="s">
        <v>2081</v>
      </c>
    </row>
    <row r="2083" spans="1:1" ht="15.75" customHeight="1" x14ac:dyDescent="0.45">
      <c r="A2083" s="2" t="s">
        <v>2082</v>
      </c>
    </row>
    <row r="2084" spans="1:1" ht="15.75" customHeight="1" x14ac:dyDescent="0.45">
      <c r="A2084" s="2" t="s">
        <v>2083</v>
      </c>
    </row>
    <row r="2085" spans="1:1" ht="15.75" customHeight="1" x14ac:dyDescent="0.45">
      <c r="A2085" s="2" t="s">
        <v>2084</v>
      </c>
    </row>
    <row r="2086" spans="1:1" ht="15.75" customHeight="1" x14ac:dyDescent="0.45">
      <c r="A2086" s="2" t="s">
        <v>2085</v>
      </c>
    </row>
    <row r="2087" spans="1:1" ht="15.75" customHeight="1" x14ac:dyDescent="0.45">
      <c r="A2087" s="2" t="s">
        <v>2086</v>
      </c>
    </row>
    <row r="2088" spans="1:1" ht="15.75" customHeight="1" x14ac:dyDescent="0.45">
      <c r="A2088" s="2" t="s">
        <v>2087</v>
      </c>
    </row>
    <row r="2089" spans="1:1" ht="15.75" customHeight="1" x14ac:dyDescent="0.45">
      <c r="A2089" s="2" t="s">
        <v>2088</v>
      </c>
    </row>
    <row r="2090" spans="1:1" ht="15.75" customHeight="1" x14ac:dyDescent="0.45">
      <c r="A2090" s="2" t="s">
        <v>2089</v>
      </c>
    </row>
    <row r="2091" spans="1:1" ht="15.75" customHeight="1" x14ac:dyDescent="0.45">
      <c r="A2091" s="2" t="s">
        <v>2090</v>
      </c>
    </row>
    <row r="2092" spans="1:1" ht="15.75" customHeight="1" x14ac:dyDescent="0.45">
      <c r="A2092" s="2" t="s">
        <v>2091</v>
      </c>
    </row>
    <row r="2093" spans="1:1" ht="15.75" customHeight="1" x14ac:dyDescent="0.45">
      <c r="A2093" s="2" t="s">
        <v>2092</v>
      </c>
    </row>
    <row r="2094" spans="1:1" ht="15.75" customHeight="1" x14ac:dyDescent="0.45">
      <c r="A2094" s="2" t="s">
        <v>2093</v>
      </c>
    </row>
    <row r="2095" spans="1:1" ht="15.75" customHeight="1" x14ac:dyDescent="0.45">
      <c r="A2095" s="2" t="s">
        <v>2094</v>
      </c>
    </row>
    <row r="2096" spans="1:1" ht="15.75" customHeight="1" x14ac:dyDescent="0.45">
      <c r="A2096" s="2" t="s">
        <v>2095</v>
      </c>
    </row>
    <row r="2097" spans="1:1" ht="15.75" customHeight="1" x14ac:dyDescent="0.45">
      <c r="A2097" s="2" t="s">
        <v>2096</v>
      </c>
    </row>
    <row r="2098" spans="1:1" ht="15.75" customHeight="1" x14ac:dyDescent="0.45">
      <c r="A2098" s="2" t="s">
        <v>2097</v>
      </c>
    </row>
    <row r="2099" spans="1:1" ht="15.75" customHeight="1" x14ac:dyDescent="0.45">
      <c r="A2099" s="2" t="s">
        <v>2098</v>
      </c>
    </row>
    <row r="2100" spans="1:1" ht="15.75" customHeight="1" x14ac:dyDescent="0.45">
      <c r="A2100" s="2" t="s">
        <v>2099</v>
      </c>
    </row>
    <row r="2101" spans="1:1" ht="15.75" customHeight="1" x14ac:dyDescent="0.45">
      <c r="A2101" s="2" t="s">
        <v>2100</v>
      </c>
    </row>
    <row r="2102" spans="1:1" ht="15.75" customHeight="1" x14ac:dyDescent="0.45">
      <c r="A2102" s="2" t="s">
        <v>2101</v>
      </c>
    </row>
    <row r="2103" spans="1:1" ht="15.75" customHeight="1" x14ac:dyDescent="0.45">
      <c r="A2103" s="2" t="s">
        <v>2102</v>
      </c>
    </row>
    <row r="2104" spans="1:1" ht="15.75" customHeight="1" x14ac:dyDescent="0.45">
      <c r="A2104" s="2" t="s">
        <v>2103</v>
      </c>
    </row>
    <row r="2105" spans="1:1" ht="15.75" customHeight="1" x14ac:dyDescent="0.45">
      <c r="A2105" s="2" t="s">
        <v>2104</v>
      </c>
    </row>
    <row r="2106" spans="1:1" ht="15.75" customHeight="1" x14ac:dyDescent="0.45">
      <c r="A2106" s="2" t="s">
        <v>2105</v>
      </c>
    </row>
    <row r="2107" spans="1:1" ht="15.75" customHeight="1" x14ac:dyDescent="0.45">
      <c r="A2107" s="2" t="s">
        <v>2106</v>
      </c>
    </row>
    <row r="2108" spans="1:1" ht="15.75" customHeight="1" x14ac:dyDescent="0.45">
      <c r="A2108" s="2" t="s">
        <v>2107</v>
      </c>
    </row>
    <row r="2109" spans="1:1" ht="15.75" customHeight="1" x14ac:dyDescent="0.45">
      <c r="A2109" s="2" t="s">
        <v>2108</v>
      </c>
    </row>
    <row r="2110" spans="1:1" ht="15.75" customHeight="1" x14ac:dyDescent="0.45">
      <c r="A2110" s="2" t="s">
        <v>2109</v>
      </c>
    </row>
    <row r="2111" spans="1:1" ht="15.75" customHeight="1" x14ac:dyDescent="0.45">
      <c r="A2111" s="2" t="s">
        <v>2110</v>
      </c>
    </row>
    <row r="2112" spans="1:1" ht="15.75" customHeight="1" x14ac:dyDescent="0.45">
      <c r="A2112" s="2" t="s">
        <v>2111</v>
      </c>
    </row>
    <row r="2113" spans="1:1" ht="15.75" customHeight="1" x14ac:dyDescent="0.45">
      <c r="A2113" s="2" t="s">
        <v>2112</v>
      </c>
    </row>
    <row r="2114" spans="1:1" ht="15.75" customHeight="1" x14ac:dyDescent="0.45">
      <c r="A2114" s="2" t="s">
        <v>2113</v>
      </c>
    </row>
    <row r="2115" spans="1:1" ht="15.75" customHeight="1" x14ac:dyDescent="0.45">
      <c r="A2115" s="2" t="s">
        <v>2114</v>
      </c>
    </row>
    <row r="2116" spans="1:1" ht="15.75" customHeight="1" x14ac:dyDescent="0.45">
      <c r="A2116" s="2" t="s">
        <v>2115</v>
      </c>
    </row>
    <row r="2117" spans="1:1" ht="15.75" customHeight="1" x14ac:dyDescent="0.45">
      <c r="A2117" s="2" t="s">
        <v>2116</v>
      </c>
    </row>
    <row r="2118" spans="1:1" ht="15.75" customHeight="1" x14ac:dyDescent="0.45">
      <c r="A2118" s="2" t="s">
        <v>2117</v>
      </c>
    </row>
    <row r="2119" spans="1:1" ht="15.75" customHeight="1" x14ac:dyDescent="0.45">
      <c r="A2119" s="2" t="s">
        <v>2118</v>
      </c>
    </row>
    <row r="2120" spans="1:1" ht="15.75" customHeight="1" x14ac:dyDescent="0.45">
      <c r="A2120" s="2" t="s">
        <v>2119</v>
      </c>
    </row>
    <row r="2121" spans="1:1" ht="15.75" customHeight="1" x14ac:dyDescent="0.45">
      <c r="A2121" s="2" t="s">
        <v>2120</v>
      </c>
    </row>
    <row r="2122" spans="1:1" ht="15.75" customHeight="1" x14ac:dyDescent="0.45">
      <c r="A2122" s="2" t="s">
        <v>2121</v>
      </c>
    </row>
    <row r="2123" spans="1:1" ht="15.75" customHeight="1" x14ac:dyDescent="0.45">
      <c r="A2123" s="2" t="s">
        <v>2122</v>
      </c>
    </row>
    <row r="2124" spans="1:1" ht="15.75" customHeight="1" x14ac:dyDescent="0.45">
      <c r="A2124" s="2" t="s">
        <v>2123</v>
      </c>
    </row>
    <row r="2125" spans="1:1" ht="15.75" customHeight="1" x14ac:dyDescent="0.45">
      <c r="A2125" s="2" t="s">
        <v>2124</v>
      </c>
    </row>
    <row r="2126" spans="1:1" ht="15.75" customHeight="1" x14ac:dyDescent="0.45">
      <c r="A2126" s="2" t="s">
        <v>2125</v>
      </c>
    </row>
    <row r="2127" spans="1:1" ht="15.75" customHeight="1" x14ac:dyDescent="0.45">
      <c r="A2127" s="2" t="s">
        <v>2126</v>
      </c>
    </row>
    <row r="2128" spans="1:1" ht="15.75" customHeight="1" x14ac:dyDescent="0.45">
      <c r="A2128" s="2" t="s">
        <v>2127</v>
      </c>
    </row>
    <row r="2129" spans="1:1" ht="15.75" customHeight="1" x14ac:dyDescent="0.45">
      <c r="A2129" s="2" t="s">
        <v>2128</v>
      </c>
    </row>
    <row r="2130" spans="1:1" ht="15.75" customHeight="1" x14ac:dyDescent="0.45">
      <c r="A2130" s="2" t="s">
        <v>2129</v>
      </c>
    </row>
    <row r="2131" spans="1:1" ht="15.75" customHeight="1" x14ac:dyDescent="0.45">
      <c r="A2131" s="2" t="s">
        <v>2130</v>
      </c>
    </row>
    <row r="2132" spans="1:1" ht="15.75" customHeight="1" x14ac:dyDescent="0.45">
      <c r="A2132" s="2" t="s">
        <v>2131</v>
      </c>
    </row>
    <row r="2133" spans="1:1" ht="15.75" customHeight="1" x14ac:dyDescent="0.45">
      <c r="A2133" s="2" t="s">
        <v>2132</v>
      </c>
    </row>
    <row r="2134" spans="1:1" ht="15.75" customHeight="1" x14ac:dyDescent="0.45">
      <c r="A2134" s="2" t="s">
        <v>2133</v>
      </c>
    </row>
    <row r="2135" spans="1:1" ht="15.75" customHeight="1" x14ac:dyDescent="0.45">
      <c r="A2135" s="2" t="s">
        <v>2134</v>
      </c>
    </row>
    <row r="2136" spans="1:1" ht="15.75" customHeight="1" x14ac:dyDescent="0.45">
      <c r="A2136" s="2" t="s">
        <v>2135</v>
      </c>
    </row>
    <row r="2137" spans="1:1" ht="15.75" customHeight="1" x14ac:dyDescent="0.45">
      <c r="A2137" s="2" t="s">
        <v>2136</v>
      </c>
    </row>
    <row r="2138" spans="1:1" ht="15.75" customHeight="1" x14ac:dyDescent="0.45">
      <c r="A2138" s="2" t="s">
        <v>2137</v>
      </c>
    </row>
    <row r="2139" spans="1:1" ht="15.75" customHeight="1" x14ac:dyDescent="0.45">
      <c r="A2139" s="2" t="s">
        <v>2138</v>
      </c>
    </row>
    <row r="2140" spans="1:1" ht="15.75" customHeight="1" x14ac:dyDescent="0.45">
      <c r="A2140" s="2" t="s">
        <v>2139</v>
      </c>
    </row>
    <row r="2141" spans="1:1" ht="15.75" customHeight="1" x14ac:dyDescent="0.45">
      <c r="A2141" s="2" t="s">
        <v>2140</v>
      </c>
    </row>
    <row r="2142" spans="1:1" ht="15.75" customHeight="1" x14ac:dyDescent="0.45">
      <c r="A2142" s="2" t="s">
        <v>2141</v>
      </c>
    </row>
    <row r="2143" spans="1:1" ht="15.75" customHeight="1" x14ac:dyDescent="0.45">
      <c r="A2143" s="2" t="s">
        <v>2142</v>
      </c>
    </row>
    <row r="2144" spans="1:1" ht="15.75" customHeight="1" x14ac:dyDescent="0.45">
      <c r="A2144" s="2" t="s">
        <v>2143</v>
      </c>
    </row>
    <row r="2145" spans="1:1" ht="15.75" customHeight="1" x14ac:dyDescent="0.45">
      <c r="A2145" s="2" t="s">
        <v>2144</v>
      </c>
    </row>
    <row r="2146" spans="1:1" ht="15.75" customHeight="1" x14ac:dyDescent="0.45">
      <c r="A2146" s="2" t="s">
        <v>2145</v>
      </c>
    </row>
    <row r="2147" spans="1:1" ht="15.75" customHeight="1" x14ac:dyDescent="0.45">
      <c r="A2147" s="2" t="s">
        <v>2146</v>
      </c>
    </row>
    <row r="2148" spans="1:1" ht="15.75" customHeight="1" x14ac:dyDescent="0.45">
      <c r="A2148" s="2" t="s">
        <v>2147</v>
      </c>
    </row>
    <row r="2149" spans="1:1" ht="15.75" customHeight="1" x14ac:dyDescent="0.45">
      <c r="A2149" s="2" t="s">
        <v>2148</v>
      </c>
    </row>
    <row r="2150" spans="1:1" ht="15.75" customHeight="1" x14ac:dyDescent="0.45">
      <c r="A2150" s="2" t="s">
        <v>2149</v>
      </c>
    </row>
    <row r="2151" spans="1:1" ht="15.75" customHeight="1" x14ac:dyDescent="0.45">
      <c r="A2151" s="2" t="s">
        <v>2150</v>
      </c>
    </row>
    <row r="2152" spans="1:1" ht="15.75" customHeight="1" x14ac:dyDescent="0.45">
      <c r="A2152" s="2" t="s">
        <v>2151</v>
      </c>
    </row>
    <row r="2153" spans="1:1" ht="15.75" customHeight="1" x14ac:dyDescent="0.45">
      <c r="A2153" s="2" t="s">
        <v>2152</v>
      </c>
    </row>
    <row r="2154" spans="1:1" ht="15.75" customHeight="1" x14ac:dyDescent="0.45">
      <c r="A2154" s="2" t="s">
        <v>2153</v>
      </c>
    </row>
    <row r="2155" spans="1:1" ht="15.75" customHeight="1" x14ac:dyDescent="0.45">
      <c r="A2155" s="2" t="s">
        <v>2154</v>
      </c>
    </row>
    <row r="2156" spans="1:1" ht="15.75" customHeight="1" x14ac:dyDescent="0.45">
      <c r="A2156" s="2" t="s">
        <v>2155</v>
      </c>
    </row>
    <row r="2157" spans="1:1" ht="15.75" customHeight="1" x14ac:dyDescent="0.45">
      <c r="A2157" s="2" t="s">
        <v>2156</v>
      </c>
    </row>
    <row r="2158" spans="1:1" ht="15.75" customHeight="1" x14ac:dyDescent="0.45">
      <c r="A2158" s="2" t="s">
        <v>2157</v>
      </c>
    </row>
    <row r="2159" spans="1:1" ht="15.75" customHeight="1" x14ac:dyDescent="0.45">
      <c r="A2159" s="2" t="s">
        <v>2158</v>
      </c>
    </row>
    <row r="2160" spans="1:1" ht="15.75" customHeight="1" x14ac:dyDescent="0.45">
      <c r="A2160" s="2" t="s">
        <v>2159</v>
      </c>
    </row>
    <row r="2161" spans="1:1" ht="15.75" customHeight="1" x14ac:dyDescent="0.45">
      <c r="A2161" s="2" t="s">
        <v>2160</v>
      </c>
    </row>
    <row r="2162" spans="1:1" ht="15.75" customHeight="1" x14ac:dyDescent="0.45">
      <c r="A2162" s="2" t="s">
        <v>2161</v>
      </c>
    </row>
    <row r="2163" spans="1:1" ht="15.75" customHeight="1" x14ac:dyDescent="0.45">
      <c r="A2163" s="2" t="s">
        <v>2162</v>
      </c>
    </row>
    <row r="2164" spans="1:1" ht="15.75" customHeight="1" x14ac:dyDescent="0.45">
      <c r="A2164" s="2" t="s">
        <v>2163</v>
      </c>
    </row>
    <row r="2165" spans="1:1" ht="15.75" customHeight="1" x14ac:dyDescent="0.45">
      <c r="A2165" s="2" t="s">
        <v>2164</v>
      </c>
    </row>
    <row r="2166" spans="1:1" ht="15.75" customHeight="1" x14ac:dyDescent="0.45">
      <c r="A2166" s="2" t="s">
        <v>2165</v>
      </c>
    </row>
    <row r="2167" spans="1:1" ht="15.75" customHeight="1" x14ac:dyDescent="0.45">
      <c r="A2167" s="2" t="s">
        <v>2166</v>
      </c>
    </row>
    <row r="2168" spans="1:1" ht="15.75" customHeight="1" x14ac:dyDescent="0.45">
      <c r="A2168" s="2" t="s">
        <v>2167</v>
      </c>
    </row>
    <row r="2169" spans="1:1" ht="15.75" customHeight="1" x14ac:dyDescent="0.45">
      <c r="A2169" s="2" t="s">
        <v>2168</v>
      </c>
    </row>
    <row r="2170" spans="1:1" ht="15.75" customHeight="1" x14ac:dyDescent="0.45">
      <c r="A2170" s="2" t="s">
        <v>2169</v>
      </c>
    </row>
    <row r="2171" spans="1:1" ht="15.75" customHeight="1" x14ac:dyDescent="0.45">
      <c r="A2171" s="2" t="s">
        <v>2170</v>
      </c>
    </row>
    <row r="2172" spans="1:1" ht="15.75" customHeight="1" x14ac:dyDescent="0.45">
      <c r="A2172" s="2" t="s">
        <v>2171</v>
      </c>
    </row>
    <row r="2173" spans="1:1" ht="15.75" customHeight="1" x14ac:dyDescent="0.45">
      <c r="A2173" s="2" t="s">
        <v>2172</v>
      </c>
    </row>
    <row r="2174" spans="1:1" ht="15.75" customHeight="1" x14ac:dyDescent="0.45">
      <c r="A2174" s="2" t="s">
        <v>2173</v>
      </c>
    </row>
    <row r="2175" spans="1:1" ht="15.75" customHeight="1" x14ac:dyDescent="0.45">
      <c r="A2175" s="2" t="s">
        <v>2174</v>
      </c>
    </row>
    <row r="2176" spans="1:1" ht="15.75" customHeight="1" x14ac:dyDescent="0.45">
      <c r="A2176" s="2" t="s">
        <v>2175</v>
      </c>
    </row>
    <row r="2177" spans="1:1" ht="15.75" customHeight="1" x14ac:dyDescent="0.45">
      <c r="A2177" s="2" t="s">
        <v>2176</v>
      </c>
    </row>
    <row r="2178" spans="1:1" ht="15.75" customHeight="1" x14ac:dyDescent="0.45">
      <c r="A2178" s="2" t="s">
        <v>2177</v>
      </c>
    </row>
    <row r="2179" spans="1:1" ht="15.75" customHeight="1" x14ac:dyDescent="0.45">
      <c r="A2179" s="2" t="s">
        <v>2178</v>
      </c>
    </row>
    <row r="2180" spans="1:1" ht="15.75" customHeight="1" x14ac:dyDescent="0.45">
      <c r="A2180" s="2" t="s">
        <v>2179</v>
      </c>
    </row>
    <row r="2181" spans="1:1" ht="15.75" customHeight="1" x14ac:dyDescent="0.45">
      <c r="A2181" s="2" t="s">
        <v>2180</v>
      </c>
    </row>
    <row r="2182" spans="1:1" ht="15.75" customHeight="1" x14ac:dyDescent="0.45">
      <c r="A2182" s="2" t="s">
        <v>2181</v>
      </c>
    </row>
    <row r="2183" spans="1:1" ht="15.75" customHeight="1" x14ac:dyDescent="0.45">
      <c r="A2183" s="2" t="s">
        <v>2182</v>
      </c>
    </row>
    <row r="2184" spans="1:1" ht="15.75" customHeight="1" x14ac:dyDescent="0.45">
      <c r="A2184" s="2" t="s">
        <v>2183</v>
      </c>
    </row>
    <row r="2185" spans="1:1" ht="15.75" customHeight="1" x14ac:dyDescent="0.45">
      <c r="A2185" s="2" t="s">
        <v>2184</v>
      </c>
    </row>
    <row r="2186" spans="1:1" ht="15.75" customHeight="1" x14ac:dyDescent="0.45">
      <c r="A2186" s="2" t="s">
        <v>2185</v>
      </c>
    </row>
    <row r="2187" spans="1:1" ht="15.75" customHeight="1" x14ac:dyDescent="0.45">
      <c r="A2187" s="2" t="s">
        <v>2186</v>
      </c>
    </row>
    <row r="2188" spans="1:1" ht="15.75" customHeight="1" x14ac:dyDescent="0.45">
      <c r="A2188" s="2" t="s">
        <v>2187</v>
      </c>
    </row>
    <row r="2189" spans="1:1" ht="15.75" customHeight="1" x14ac:dyDescent="0.45">
      <c r="A2189" s="2" t="s">
        <v>2188</v>
      </c>
    </row>
    <row r="2190" spans="1:1" ht="15.75" customHeight="1" x14ac:dyDescent="0.45">
      <c r="A2190" s="2" t="s">
        <v>2189</v>
      </c>
    </row>
    <row r="2191" spans="1:1" ht="15.75" customHeight="1" x14ac:dyDescent="0.45">
      <c r="A2191" s="2" t="s">
        <v>2190</v>
      </c>
    </row>
    <row r="2192" spans="1:1" ht="15.75" customHeight="1" x14ac:dyDescent="0.45">
      <c r="A2192" s="2" t="s">
        <v>2191</v>
      </c>
    </row>
    <row r="2193" spans="1:1" ht="15.75" customHeight="1" x14ac:dyDescent="0.45">
      <c r="A2193" s="2" t="s">
        <v>2192</v>
      </c>
    </row>
    <row r="2194" spans="1:1" ht="15.75" customHeight="1" x14ac:dyDescent="0.45">
      <c r="A2194" s="2" t="s">
        <v>2193</v>
      </c>
    </row>
    <row r="2195" spans="1:1" ht="15.75" customHeight="1" x14ac:dyDescent="0.45">
      <c r="A2195" s="2" t="s">
        <v>2194</v>
      </c>
    </row>
    <row r="2196" spans="1:1" ht="15.75" customHeight="1" x14ac:dyDescent="0.45">
      <c r="A2196" s="2" t="s">
        <v>2195</v>
      </c>
    </row>
    <row r="2197" spans="1:1" ht="15.75" customHeight="1" x14ac:dyDescent="0.45">
      <c r="A2197" s="2" t="s">
        <v>2196</v>
      </c>
    </row>
    <row r="2198" spans="1:1" ht="15.75" customHeight="1" x14ac:dyDescent="0.45">
      <c r="A2198" s="2" t="s">
        <v>2197</v>
      </c>
    </row>
    <row r="2199" spans="1:1" ht="15.75" customHeight="1" x14ac:dyDescent="0.45">
      <c r="A2199" s="2" t="s">
        <v>2198</v>
      </c>
    </row>
    <row r="2200" spans="1:1" ht="15.75" customHeight="1" x14ac:dyDescent="0.45">
      <c r="A2200" s="2" t="s">
        <v>2199</v>
      </c>
    </row>
    <row r="2201" spans="1:1" ht="15.75" customHeight="1" x14ac:dyDescent="0.45">
      <c r="A2201" s="2" t="s">
        <v>2200</v>
      </c>
    </row>
    <row r="2202" spans="1:1" ht="15.75" customHeight="1" x14ac:dyDescent="0.45">
      <c r="A2202" s="2" t="s">
        <v>2201</v>
      </c>
    </row>
    <row r="2203" spans="1:1" ht="15.75" customHeight="1" x14ac:dyDescent="0.45">
      <c r="A2203" s="2" t="s">
        <v>2202</v>
      </c>
    </row>
    <row r="2204" spans="1:1" ht="15.75" customHeight="1" x14ac:dyDescent="0.45">
      <c r="A2204" s="2" t="s">
        <v>2203</v>
      </c>
    </row>
    <row r="2205" spans="1:1" ht="15.75" customHeight="1" x14ac:dyDescent="0.45">
      <c r="A2205" s="2" t="s">
        <v>2204</v>
      </c>
    </row>
    <row r="2206" spans="1:1" ht="15.75" customHeight="1" x14ac:dyDescent="0.45">
      <c r="A2206" s="2" t="s">
        <v>2205</v>
      </c>
    </row>
    <row r="2207" spans="1:1" ht="15.75" customHeight="1" x14ac:dyDescent="0.45">
      <c r="A2207" s="2" t="s">
        <v>2206</v>
      </c>
    </row>
    <row r="2208" spans="1:1" ht="15.75" customHeight="1" x14ac:dyDescent="0.45">
      <c r="A2208" s="2" t="s">
        <v>2207</v>
      </c>
    </row>
    <row r="2209" spans="1:1" ht="15.75" customHeight="1" x14ac:dyDescent="0.45">
      <c r="A2209" s="2" t="s">
        <v>2208</v>
      </c>
    </row>
    <row r="2210" spans="1:1" ht="15.75" customHeight="1" x14ac:dyDescent="0.45">
      <c r="A2210" s="2" t="s">
        <v>2209</v>
      </c>
    </row>
    <row r="2211" spans="1:1" ht="15.75" customHeight="1" x14ac:dyDescent="0.45">
      <c r="A2211" s="2" t="s">
        <v>2210</v>
      </c>
    </row>
    <row r="2212" spans="1:1" ht="15.75" customHeight="1" x14ac:dyDescent="0.45">
      <c r="A2212" s="2" t="s">
        <v>2211</v>
      </c>
    </row>
    <row r="2213" spans="1:1" ht="15.75" customHeight="1" x14ac:dyDescent="0.45">
      <c r="A2213" s="2" t="s">
        <v>2212</v>
      </c>
    </row>
    <row r="2214" spans="1:1" ht="15.75" customHeight="1" x14ac:dyDescent="0.45">
      <c r="A2214" s="2" t="s">
        <v>2213</v>
      </c>
    </row>
    <row r="2215" spans="1:1" ht="15.75" customHeight="1" x14ac:dyDescent="0.45">
      <c r="A2215" s="2" t="s">
        <v>2214</v>
      </c>
    </row>
    <row r="2216" spans="1:1" ht="15.75" customHeight="1" x14ac:dyDescent="0.45">
      <c r="A2216" s="2" t="s">
        <v>2215</v>
      </c>
    </row>
    <row r="2217" spans="1:1" ht="15.75" customHeight="1" x14ac:dyDescent="0.45">
      <c r="A2217" s="2" t="s">
        <v>2216</v>
      </c>
    </row>
    <row r="2218" spans="1:1" ht="15.75" customHeight="1" x14ac:dyDescent="0.45">
      <c r="A2218" s="2" t="s">
        <v>2217</v>
      </c>
    </row>
    <row r="2219" spans="1:1" ht="15.75" customHeight="1" x14ac:dyDescent="0.45">
      <c r="A2219" s="2" t="s">
        <v>2218</v>
      </c>
    </row>
    <row r="2220" spans="1:1" ht="15.75" customHeight="1" x14ac:dyDescent="0.45">
      <c r="A2220" s="2" t="s">
        <v>2219</v>
      </c>
    </row>
    <row r="2221" spans="1:1" ht="15.75" customHeight="1" x14ac:dyDescent="0.45">
      <c r="A2221" s="2" t="s">
        <v>2220</v>
      </c>
    </row>
    <row r="2222" spans="1:1" ht="15.75" customHeight="1" x14ac:dyDescent="0.45">
      <c r="A2222" s="2" t="s">
        <v>2221</v>
      </c>
    </row>
    <row r="2223" spans="1:1" ht="15.75" customHeight="1" x14ac:dyDescent="0.45">
      <c r="A2223" s="2" t="s">
        <v>2222</v>
      </c>
    </row>
    <row r="2224" spans="1:1" ht="15.75" customHeight="1" x14ac:dyDescent="0.45">
      <c r="A2224" s="2" t="s">
        <v>2223</v>
      </c>
    </row>
    <row r="2225" spans="1:1" ht="15.75" customHeight="1" x14ac:dyDescent="0.45">
      <c r="A2225" s="2" t="s">
        <v>2224</v>
      </c>
    </row>
    <row r="2226" spans="1:1" ht="15.75" customHeight="1" x14ac:dyDescent="0.45">
      <c r="A2226" s="2" t="s">
        <v>2225</v>
      </c>
    </row>
    <row r="2227" spans="1:1" ht="15.75" customHeight="1" x14ac:dyDescent="0.45">
      <c r="A2227" s="2" t="s">
        <v>2226</v>
      </c>
    </row>
    <row r="2228" spans="1:1" ht="15.75" customHeight="1" x14ac:dyDescent="0.45">
      <c r="A2228" s="2" t="s">
        <v>2227</v>
      </c>
    </row>
    <row r="2229" spans="1:1" ht="15.75" customHeight="1" x14ac:dyDescent="0.45">
      <c r="A2229" s="2" t="s">
        <v>2228</v>
      </c>
    </row>
    <row r="2230" spans="1:1" ht="15.75" customHeight="1" x14ac:dyDescent="0.45">
      <c r="A2230" s="2" t="s">
        <v>2229</v>
      </c>
    </row>
    <row r="2231" spans="1:1" ht="15.75" customHeight="1" x14ac:dyDescent="0.45">
      <c r="A2231" s="2" t="s">
        <v>2230</v>
      </c>
    </row>
    <row r="2232" spans="1:1" ht="15.75" customHeight="1" x14ac:dyDescent="0.45">
      <c r="A2232" s="2" t="s">
        <v>2231</v>
      </c>
    </row>
    <row r="2233" spans="1:1" ht="15.75" customHeight="1" x14ac:dyDescent="0.45">
      <c r="A2233" s="2" t="s">
        <v>2232</v>
      </c>
    </row>
    <row r="2234" spans="1:1" ht="15.75" customHeight="1" x14ac:dyDescent="0.45">
      <c r="A2234" s="2" t="s">
        <v>2233</v>
      </c>
    </row>
    <row r="2235" spans="1:1" ht="15.75" customHeight="1" x14ac:dyDescent="0.45">
      <c r="A2235" s="2" t="s">
        <v>2234</v>
      </c>
    </row>
    <row r="2236" spans="1:1" ht="15.75" customHeight="1" x14ac:dyDescent="0.45">
      <c r="A2236" s="2" t="s">
        <v>2235</v>
      </c>
    </row>
    <row r="2237" spans="1:1" ht="15.75" customHeight="1" x14ac:dyDescent="0.45">
      <c r="A2237" s="2" t="s">
        <v>2236</v>
      </c>
    </row>
    <row r="2238" spans="1:1" ht="15.75" customHeight="1" x14ac:dyDescent="0.45">
      <c r="A2238" s="2" t="s">
        <v>2237</v>
      </c>
    </row>
    <row r="2239" spans="1:1" ht="15.75" customHeight="1" x14ac:dyDescent="0.45">
      <c r="A2239" s="2" t="s">
        <v>2238</v>
      </c>
    </row>
    <row r="2240" spans="1:1" ht="15.75" customHeight="1" x14ac:dyDescent="0.45">
      <c r="A2240" s="2" t="s">
        <v>2239</v>
      </c>
    </row>
    <row r="2241" spans="1:1" ht="15.75" customHeight="1" x14ac:dyDescent="0.45">
      <c r="A2241" s="2" t="s">
        <v>2240</v>
      </c>
    </row>
    <row r="2242" spans="1:1" ht="15.75" customHeight="1" x14ac:dyDescent="0.45">
      <c r="A2242" s="2" t="s">
        <v>2241</v>
      </c>
    </row>
    <row r="2243" spans="1:1" ht="15.75" customHeight="1" x14ac:dyDescent="0.45">
      <c r="A2243" s="2" t="s">
        <v>2242</v>
      </c>
    </row>
    <row r="2244" spans="1:1" ht="15.75" customHeight="1" x14ac:dyDescent="0.45">
      <c r="A2244" s="2" t="s">
        <v>2243</v>
      </c>
    </row>
    <row r="2245" spans="1:1" ht="15.75" customHeight="1" x14ac:dyDescent="0.45">
      <c r="A2245" s="2" t="s">
        <v>2244</v>
      </c>
    </row>
    <row r="2246" spans="1:1" ht="15.75" customHeight="1" x14ac:dyDescent="0.45">
      <c r="A2246" s="2" t="s">
        <v>2245</v>
      </c>
    </row>
    <row r="2247" spans="1:1" ht="15.75" customHeight="1" x14ac:dyDescent="0.45">
      <c r="A2247" s="2" t="s">
        <v>2246</v>
      </c>
    </row>
    <row r="2248" spans="1:1" ht="15.75" customHeight="1" x14ac:dyDescent="0.45">
      <c r="A2248" s="2" t="s">
        <v>2247</v>
      </c>
    </row>
    <row r="2249" spans="1:1" ht="15.75" customHeight="1" x14ac:dyDescent="0.45">
      <c r="A2249" s="2" t="s">
        <v>2248</v>
      </c>
    </row>
    <row r="2250" spans="1:1" ht="15.75" customHeight="1" x14ac:dyDescent="0.45">
      <c r="A2250" s="2" t="s">
        <v>2249</v>
      </c>
    </row>
    <row r="2251" spans="1:1" ht="15.75" customHeight="1" x14ac:dyDescent="0.45">
      <c r="A2251" s="2" t="s">
        <v>2250</v>
      </c>
    </row>
    <row r="2252" spans="1:1" ht="15.75" customHeight="1" x14ac:dyDescent="0.45">
      <c r="A2252" s="2" t="s">
        <v>2251</v>
      </c>
    </row>
    <row r="2253" spans="1:1" ht="15.75" customHeight="1" x14ac:dyDescent="0.45">
      <c r="A2253" s="2" t="s">
        <v>2252</v>
      </c>
    </row>
    <row r="2254" spans="1:1" ht="15.75" customHeight="1" x14ac:dyDescent="0.45">
      <c r="A2254" s="2" t="s">
        <v>2253</v>
      </c>
    </row>
    <row r="2255" spans="1:1" ht="15.75" customHeight="1" x14ac:dyDescent="0.45">
      <c r="A2255" s="2" t="s">
        <v>2254</v>
      </c>
    </row>
    <row r="2256" spans="1:1" ht="15.75" customHeight="1" x14ac:dyDescent="0.45">
      <c r="A2256" s="2" t="s">
        <v>2255</v>
      </c>
    </row>
    <row r="2257" spans="1:1" ht="15.75" customHeight="1" x14ac:dyDescent="0.45">
      <c r="A2257" s="2" t="s">
        <v>2256</v>
      </c>
    </row>
    <row r="2258" spans="1:1" ht="15.75" customHeight="1" x14ac:dyDescent="0.45">
      <c r="A2258" s="2" t="s">
        <v>2257</v>
      </c>
    </row>
    <row r="2259" spans="1:1" ht="15.75" customHeight="1" x14ac:dyDescent="0.45">
      <c r="A2259" s="2" t="s">
        <v>2258</v>
      </c>
    </row>
    <row r="2260" spans="1:1" ht="15.75" customHeight="1" x14ac:dyDescent="0.45">
      <c r="A2260" s="2" t="s">
        <v>2259</v>
      </c>
    </row>
    <row r="2261" spans="1:1" ht="15.75" customHeight="1" x14ac:dyDescent="0.45">
      <c r="A2261" s="2" t="s">
        <v>2260</v>
      </c>
    </row>
    <row r="2262" spans="1:1" ht="15.75" customHeight="1" x14ac:dyDescent="0.45">
      <c r="A2262" s="2" t="s">
        <v>2261</v>
      </c>
    </row>
    <row r="2263" spans="1:1" ht="15.75" customHeight="1" x14ac:dyDescent="0.45">
      <c r="A2263" s="2" t="s">
        <v>2262</v>
      </c>
    </row>
    <row r="2264" spans="1:1" ht="15.75" customHeight="1" x14ac:dyDescent="0.45">
      <c r="A2264" s="2" t="s">
        <v>2263</v>
      </c>
    </row>
    <row r="2265" spans="1:1" ht="15.75" customHeight="1" x14ac:dyDescent="0.45">
      <c r="A2265" s="2" t="s">
        <v>2264</v>
      </c>
    </row>
    <row r="2266" spans="1:1" ht="15.75" customHeight="1" x14ac:dyDescent="0.45">
      <c r="A2266" s="2" t="s">
        <v>2265</v>
      </c>
    </row>
    <row r="2267" spans="1:1" ht="15.75" customHeight="1" x14ac:dyDescent="0.45">
      <c r="A2267" s="2" t="s">
        <v>2266</v>
      </c>
    </row>
    <row r="2268" spans="1:1" ht="15.75" customHeight="1" x14ac:dyDescent="0.45">
      <c r="A2268" s="2" t="s">
        <v>2267</v>
      </c>
    </row>
    <row r="2269" spans="1:1" ht="15.75" customHeight="1" x14ac:dyDescent="0.45">
      <c r="A2269" s="2" t="s">
        <v>2268</v>
      </c>
    </row>
    <row r="2270" spans="1:1" ht="15.75" customHeight="1" x14ac:dyDescent="0.45">
      <c r="A2270" s="2" t="s">
        <v>2269</v>
      </c>
    </row>
    <row r="2271" spans="1:1" ht="15.75" customHeight="1" x14ac:dyDescent="0.45">
      <c r="A2271" s="2" t="s">
        <v>2270</v>
      </c>
    </row>
    <row r="2272" spans="1:1" ht="15.75" customHeight="1" x14ac:dyDescent="0.45">
      <c r="A2272" s="2" t="s">
        <v>2271</v>
      </c>
    </row>
    <row r="2273" spans="1:1" ht="15.75" customHeight="1" x14ac:dyDescent="0.45">
      <c r="A2273" s="2" t="s">
        <v>2272</v>
      </c>
    </row>
    <row r="2274" spans="1:1" ht="15.75" customHeight="1" x14ac:dyDescent="0.45">
      <c r="A2274" s="2" t="s">
        <v>2273</v>
      </c>
    </row>
    <row r="2275" spans="1:1" ht="15.75" customHeight="1" x14ac:dyDescent="0.45">
      <c r="A2275" s="2" t="s">
        <v>2274</v>
      </c>
    </row>
    <row r="2276" spans="1:1" ht="15.75" customHeight="1" x14ac:dyDescent="0.45">
      <c r="A2276" s="2" t="s">
        <v>2275</v>
      </c>
    </row>
    <row r="2277" spans="1:1" ht="15.75" customHeight="1" x14ac:dyDescent="0.45">
      <c r="A2277" s="2" t="s">
        <v>2276</v>
      </c>
    </row>
    <row r="2278" spans="1:1" ht="15.75" customHeight="1" x14ac:dyDescent="0.45">
      <c r="A2278" s="2" t="s">
        <v>2277</v>
      </c>
    </row>
    <row r="2279" spans="1:1" ht="15.75" customHeight="1" x14ac:dyDescent="0.45">
      <c r="A2279" s="2" t="s">
        <v>2278</v>
      </c>
    </row>
    <row r="2280" spans="1:1" ht="15.75" customHeight="1" x14ac:dyDescent="0.45">
      <c r="A2280" s="2" t="s">
        <v>2279</v>
      </c>
    </row>
    <row r="2281" spans="1:1" ht="15.75" customHeight="1" x14ac:dyDescent="0.45">
      <c r="A2281" s="2" t="s">
        <v>2280</v>
      </c>
    </row>
    <row r="2282" spans="1:1" ht="15.75" customHeight="1" x14ac:dyDescent="0.45">
      <c r="A2282" s="2" t="s">
        <v>2281</v>
      </c>
    </row>
    <row r="2283" spans="1:1" ht="15.75" customHeight="1" x14ac:dyDescent="0.45">
      <c r="A2283" s="2" t="s">
        <v>2282</v>
      </c>
    </row>
    <row r="2284" spans="1:1" ht="15.75" customHeight="1" x14ac:dyDescent="0.45">
      <c r="A2284" s="2" t="s">
        <v>2283</v>
      </c>
    </row>
    <row r="2285" spans="1:1" ht="15.75" customHeight="1" x14ac:dyDescent="0.45">
      <c r="A2285" s="2" t="s">
        <v>2284</v>
      </c>
    </row>
    <row r="2286" spans="1:1" ht="15.75" customHeight="1" x14ac:dyDescent="0.45">
      <c r="A2286" s="2" t="s">
        <v>2285</v>
      </c>
    </row>
    <row r="2287" spans="1:1" ht="15.75" customHeight="1" x14ac:dyDescent="0.45">
      <c r="A2287" s="2" t="s">
        <v>2286</v>
      </c>
    </row>
    <row r="2288" spans="1:1" ht="15.75" customHeight="1" x14ac:dyDescent="0.45">
      <c r="A2288" s="2" t="s">
        <v>2287</v>
      </c>
    </row>
    <row r="2289" spans="1:1" ht="15.75" customHeight="1" x14ac:dyDescent="0.45">
      <c r="A2289" s="2" t="s">
        <v>2288</v>
      </c>
    </row>
    <row r="2290" spans="1:1" ht="15.75" customHeight="1" x14ac:dyDescent="0.45">
      <c r="A2290" s="2" t="s">
        <v>2289</v>
      </c>
    </row>
    <row r="2291" spans="1:1" ht="15.75" customHeight="1" x14ac:dyDescent="0.45">
      <c r="A2291" s="2" t="s">
        <v>2290</v>
      </c>
    </row>
    <row r="2292" spans="1:1" ht="15.75" customHeight="1" x14ac:dyDescent="0.45">
      <c r="A2292" s="2" t="s">
        <v>2291</v>
      </c>
    </row>
    <row r="2293" spans="1:1" ht="15.75" customHeight="1" x14ac:dyDescent="0.45">
      <c r="A2293" s="2" t="s">
        <v>2292</v>
      </c>
    </row>
    <row r="2294" spans="1:1" ht="15.75" customHeight="1" x14ac:dyDescent="0.45">
      <c r="A2294" s="2" t="s">
        <v>2293</v>
      </c>
    </row>
    <row r="2295" spans="1:1" ht="15.75" customHeight="1" x14ac:dyDescent="0.45">
      <c r="A2295" s="2" t="s">
        <v>2294</v>
      </c>
    </row>
    <row r="2296" spans="1:1" ht="15.75" customHeight="1" x14ac:dyDescent="0.45">
      <c r="A2296" s="2" t="s">
        <v>2295</v>
      </c>
    </row>
    <row r="2297" spans="1:1" ht="15.75" customHeight="1" x14ac:dyDescent="0.45">
      <c r="A2297" s="2" t="s">
        <v>2296</v>
      </c>
    </row>
    <row r="2298" spans="1:1" ht="15.75" customHeight="1" x14ac:dyDescent="0.45">
      <c r="A2298" s="2" t="s">
        <v>2297</v>
      </c>
    </row>
    <row r="2299" spans="1:1" ht="15.75" customHeight="1" x14ac:dyDescent="0.45">
      <c r="A2299" s="2" t="s">
        <v>2298</v>
      </c>
    </row>
    <row r="2300" spans="1:1" ht="15.75" customHeight="1" x14ac:dyDescent="0.45">
      <c r="A2300" s="2" t="s">
        <v>2299</v>
      </c>
    </row>
    <row r="2301" spans="1:1" ht="15.75" customHeight="1" x14ac:dyDescent="0.45">
      <c r="A2301" s="2" t="s">
        <v>2300</v>
      </c>
    </row>
    <row r="2302" spans="1:1" ht="15.75" customHeight="1" x14ac:dyDescent="0.45">
      <c r="A2302" s="2" t="s">
        <v>2301</v>
      </c>
    </row>
    <row r="2303" spans="1:1" ht="15.75" customHeight="1" x14ac:dyDescent="0.45">
      <c r="A2303" s="2" t="s">
        <v>2302</v>
      </c>
    </row>
    <row r="2304" spans="1:1" ht="15.75" customHeight="1" x14ac:dyDescent="0.45">
      <c r="A2304" s="2" t="s">
        <v>2303</v>
      </c>
    </row>
    <row r="2305" spans="1:1" ht="15.75" customHeight="1" x14ac:dyDescent="0.45">
      <c r="A2305" s="2" t="s">
        <v>2304</v>
      </c>
    </row>
    <row r="2306" spans="1:1" ht="15.75" customHeight="1" x14ac:dyDescent="0.45">
      <c r="A2306" s="2" t="s">
        <v>2305</v>
      </c>
    </row>
    <row r="2307" spans="1:1" ht="15.75" customHeight="1" x14ac:dyDescent="0.45">
      <c r="A2307" s="2" t="s">
        <v>2306</v>
      </c>
    </row>
    <row r="2308" spans="1:1" ht="15.75" customHeight="1" x14ac:dyDescent="0.45">
      <c r="A2308" s="2" t="s">
        <v>2307</v>
      </c>
    </row>
    <row r="2309" spans="1:1" ht="15.75" customHeight="1" x14ac:dyDescent="0.45">
      <c r="A2309" s="2" t="s">
        <v>2308</v>
      </c>
    </row>
    <row r="2310" spans="1:1" ht="15.75" customHeight="1" x14ac:dyDescent="0.45">
      <c r="A2310" s="2" t="s">
        <v>2309</v>
      </c>
    </row>
    <row r="2311" spans="1:1" ht="15.75" customHeight="1" x14ac:dyDescent="0.45">
      <c r="A2311" s="2" t="s">
        <v>2310</v>
      </c>
    </row>
    <row r="2312" spans="1:1" ht="15.75" customHeight="1" x14ac:dyDescent="0.45">
      <c r="A2312" s="2" t="s">
        <v>2311</v>
      </c>
    </row>
    <row r="2313" spans="1:1" ht="15.75" customHeight="1" x14ac:dyDescent="0.45">
      <c r="A2313" s="2" t="s">
        <v>2312</v>
      </c>
    </row>
    <row r="2314" spans="1:1" ht="15.75" customHeight="1" x14ac:dyDescent="0.45">
      <c r="A2314" s="2" t="s">
        <v>2313</v>
      </c>
    </row>
    <row r="2315" spans="1:1" ht="15.75" customHeight="1" x14ac:dyDescent="0.45">
      <c r="A2315" s="2" t="s">
        <v>2314</v>
      </c>
    </row>
    <row r="2316" spans="1:1" ht="15.75" customHeight="1" x14ac:dyDescent="0.45">
      <c r="A2316" s="2" t="s">
        <v>2315</v>
      </c>
    </row>
    <row r="2317" spans="1:1" ht="15.75" customHeight="1" x14ac:dyDescent="0.45">
      <c r="A2317" s="2" t="s">
        <v>2316</v>
      </c>
    </row>
    <row r="2318" spans="1:1" ht="15.75" customHeight="1" x14ac:dyDescent="0.45">
      <c r="A2318" s="2" t="s">
        <v>2317</v>
      </c>
    </row>
    <row r="2319" spans="1:1" ht="15.75" customHeight="1" x14ac:dyDescent="0.45">
      <c r="A2319" s="2" t="s">
        <v>2318</v>
      </c>
    </row>
    <row r="2320" spans="1:1" ht="15.75" customHeight="1" x14ac:dyDescent="0.45">
      <c r="A2320" s="2" t="s">
        <v>2319</v>
      </c>
    </row>
    <row r="2321" spans="1:1" ht="15.75" customHeight="1" x14ac:dyDescent="0.45">
      <c r="A2321" s="2" t="s">
        <v>2320</v>
      </c>
    </row>
    <row r="2322" spans="1:1" ht="15.75" customHeight="1" x14ac:dyDescent="0.45">
      <c r="A2322" s="2" t="s">
        <v>2321</v>
      </c>
    </row>
    <row r="2323" spans="1:1" ht="15.75" customHeight="1" x14ac:dyDescent="0.45">
      <c r="A2323" s="2" t="s">
        <v>2322</v>
      </c>
    </row>
    <row r="2324" spans="1:1" ht="15.75" customHeight="1" x14ac:dyDescent="0.45">
      <c r="A2324" s="2" t="s">
        <v>2323</v>
      </c>
    </row>
    <row r="2325" spans="1:1" ht="15.75" customHeight="1" x14ac:dyDescent="0.45">
      <c r="A2325" s="2" t="s">
        <v>2324</v>
      </c>
    </row>
    <row r="2326" spans="1:1" ht="15.75" customHeight="1" x14ac:dyDescent="0.45">
      <c r="A2326" s="2" t="s">
        <v>2325</v>
      </c>
    </row>
    <row r="2327" spans="1:1" ht="15.75" customHeight="1" x14ac:dyDescent="0.45">
      <c r="A2327" s="2" t="s">
        <v>2326</v>
      </c>
    </row>
    <row r="2328" spans="1:1" ht="15.75" customHeight="1" x14ac:dyDescent="0.45">
      <c r="A2328" s="2" t="s">
        <v>2327</v>
      </c>
    </row>
    <row r="2329" spans="1:1" ht="15.75" customHeight="1" x14ac:dyDescent="0.45">
      <c r="A2329" s="2" t="s">
        <v>2328</v>
      </c>
    </row>
    <row r="2330" spans="1:1" ht="15.75" customHeight="1" x14ac:dyDescent="0.45">
      <c r="A2330" s="2" t="s">
        <v>2329</v>
      </c>
    </row>
    <row r="2331" spans="1:1" ht="15.75" customHeight="1" x14ac:dyDescent="0.45">
      <c r="A2331" s="2" t="s">
        <v>2330</v>
      </c>
    </row>
    <row r="2332" spans="1:1" ht="15.75" customHeight="1" x14ac:dyDescent="0.45">
      <c r="A2332" s="2" t="s">
        <v>2331</v>
      </c>
    </row>
    <row r="2333" spans="1:1" ht="15.75" customHeight="1" x14ac:dyDescent="0.45">
      <c r="A2333" s="2" t="s">
        <v>2332</v>
      </c>
    </row>
    <row r="2334" spans="1:1" ht="15.75" customHeight="1" x14ac:dyDescent="0.45">
      <c r="A2334" s="2" t="s">
        <v>2333</v>
      </c>
    </row>
    <row r="2335" spans="1:1" ht="15.75" customHeight="1" x14ac:dyDescent="0.45">
      <c r="A2335" s="2" t="s">
        <v>2334</v>
      </c>
    </row>
    <row r="2336" spans="1:1" ht="15.75" customHeight="1" x14ac:dyDescent="0.45">
      <c r="A2336" s="2" t="s">
        <v>2335</v>
      </c>
    </row>
    <row r="2337" spans="1:1" ht="15.75" customHeight="1" x14ac:dyDescent="0.45">
      <c r="A2337" s="2" t="s">
        <v>2336</v>
      </c>
    </row>
    <row r="2338" spans="1:1" ht="15.75" customHeight="1" x14ac:dyDescent="0.45">
      <c r="A2338" s="2" t="s">
        <v>2337</v>
      </c>
    </row>
    <row r="2339" spans="1:1" ht="15.75" customHeight="1" x14ac:dyDescent="0.45">
      <c r="A2339" s="2" t="s">
        <v>2338</v>
      </c>
    </row>
    <row r="2340" spans="1:1" ht="15.75" customHeight="1" x14ac:dyDescent="0.45">
      <c r="A2340" s="2" t="s">
        <v>2339</v>
      </c>
    </row>
    <row r="2341" spans="1:1" ht="15.75" customHeight="1" x14ac:dyDescent="0.45">
      <c r="A2341" s="2" t="s">
        <v>2340</v>
      </c>
    </row>
    <row r="2342" spans="1:1" ht="15.75" customHeight="1" x14ac:dyDescent="0.45">
      <c r="A2342" s="2" t="s">
        <v>2341</v>
      </c>
    </row>
    <row r="2343" spans="1:1" ht="15.75" customHeight="1" x14ac:dyDescent="0.45">
      <c r="A2343" s="2" t="s">
        <v>2342</v>
      </c>
    </row>
    <row r="2344" spans="1:1" ht="15.75" customHeight="1" x14ac:dyDescent="0.45">
      <c r="A2344" s="2" t="s">
        <v>2343</v>
      </c>
    </row>
    <row r="2345" spans="1:1" ht="15.75" customHeight="1" x14ac:dyDescent="0.45">
      <c r="A2345" s="2" t="s">
        <v>2344</v>
      </c>
    </row>
    <row r="2346" spans="1:1" ht="15.75" customHeight="1" x14ac:dyDescent="0.45">
      <c r="A2346" s="2" t="s">
        <v>2345</v>
      </c>
    </row>
    <row r="2347" spans="1:1" ht="15.75" customHeight="1" x14ac:dyDescent="0.45">
      <c r="A2347" s="2" t="s">
        <v>2346</v>
      </c>
    </row>
    <row r="2348" spans="1:1" ht="15.75" customHeight="1" x14ac:dyDescent="0.45">
      <c r="A2348" s="2" t="s">
        <v>2347</v>
      </c>
    </row>
    <row r="2349" spans="1:1" ht="15.75" customHeight="1" x14ac:dyDescent="0.45">
      <c r="A2349" s="2" t="s">
        <v>2348</v>
      </c>
    </row>
    <row r="2350" spans="1:1" ht="15.75" customHeight="1" x14ac:dyDescent="0.45">
      <c r="A2350" s="2" t="s">
        <v>2349</v>
      </c>
    </row>
    <row r="2351" spans="1:1" ht="15.75" customHeight="1" x14ac:dyDescent="0.45">
      <c r="A2351" s="2" t="s">
        <v>2350</v>
      </c>
    </row>
    <row r="2352" spans="1:1" ht="15.75" customHeight="1" x14ac:dyDescent="0.45">
      <c r="A2352" s="2" t="s">
        <v>2351</v>
      </c>
    </row>
    <row r="2353" spans="1:1" ht="15.75" customHeight="1" x14ac:dyDescent="0.45">
      <c r="A2353" s="2" t="s">
        <v>2352</v>
      </c>
    </row>
    <row r="2354" spans="1:1" ht="15.75" customHeight="1" x14ac:dyDescent="0.45">
      <c r="A2354" s="2" t="s">
        <v>2353</v>
      </c>
    </row>
    <row r="2355" spans="1:1" ht="15.75" customHeight="1" x14ac:dyDescent="0.45">
      <c r="A2355" s="2" t="s">
        <v>2354</v>
      </c>
    </row>
    <row r="2356" spans="1:1" ht="15.75" customHeight="1" x14ac:dyDescent="0.45">
      <c r="A2356" s="2" t="s">
        <v>2355</v>
      </c>
    </row>
    <row r="2357" spans="1:1" ht="15.75" customHeight="1" x14ac:dyDescent="0.45">
      <c r="A2357" s="2" t="s">
        <v>2356</v>
      </c>
    </row>
    <row r="2358" spans="1:1" ht="15.75" customHeight="1" x14ac:dyDescent="0.45">
      <c r="A2358" s="2" t="s">
        <v>2357</v>
      </c>
    </row>
    <row r="2359" spans="1:1" ht="15.75" customHeight="1" x14ac:dyDescent="0.45">
      <c r="A2359" s="2" t="s">
        <v>2358</v>
      </c>
    </row>
    <row r="2360" spans="1:1" ht="15.75" customHeight="1" x14ac:dyDescent="0.45">
      <c r="A2360" s="2" t="s">
        <v>2359</v>
      </c>
    </row>
    <row r="2361" spans="1:1" ht="15.75" customHeight="1" x14ac:dyDescent="0.45">
      <c r="A2361" s="2" t="s">
        <v>2360</v>
      </c>
    </row>
    <row r="2362" spans="1:1" ht="15.75" customHeight="1" x14ac:dyDescent="0.45">
      <c r="A2362" s="2" t="s">
        <v>2361</v>
      </c>
    </row>
    <row r="2363" spans="1:1" ht="15.75" customHeight="1" x14ac:dyDescent="0.45">
      <c r="A2363" s="2" t="s">
        <v>2362</v>
      </c>
    </row>
    <row r="2364" spans="1:1" ht="15.75" customHeight="1" x14ac:dyDescent="0.45">
      <c r="A2364" s="2" t="s">
        <v>2363</v>
      </c>
    </row>
    <row r="2365" spans="1:1" ht="15.75" customHeight="1" x14ac:dyDescent="0.45">
      <c r="A2365" s="2" t="s">
        <v>2364</v>
      </c>
    </row>
    <row r="2366" spans="1:1" ht="15.75" customHeight="1" x14ac:dyDescent="0.45">
      <c r="A2366" s="2" t="s">
        <v>2365</v>
      </c>
    </row>
    <row r="2367" spans="1:1" ht="15.75" customHeight="1" x14ac:dyDescent="0.45">
      <c r="A2367" s="2" t="s">
        <v>2366</v>
      </c>
    </row>
    <row r="2368" spans="1:1" ht="15.75" customHeight="1" x14ac:dyDescent="0.45">
      <c r="A2368" s="2" t="s">
        <v>2367</v>
      </c>
    </row>
    <row r="2369" spans="1:1" ht="15.75" customHeight="1" x14ac:dyDescent="0.45">
      <c r="A2369" s="2" t="s">
        <v>2368</v>
      </c>
    </row>
    <row r="2370" spans="1:1" ht="15.75" customHeight="1" x14ac:dyDescent="0.45">
      <c r="A2370" s="2" t="s">
        <v>2369</v>
      </c>
    </row>
    <row r="2371" spans="1:1" ht="15.75" customHeight="1" x14ac:dyDescent="0.45">
      <c r="A2371" s="2" t="s">
        <v>2370</v>
      </c>
    </row>
    <row r="2372" spans="1:1" ht="15.75" customHeight="1" x14ac:dyDescent="0.45">
      <c r="A2372" s="2" t="s">
        <v>2371</v>
      </c>
    </row>
    <row r="2373" spans="1:1" ht="15.75" customHeight="1" x14ac:dyDescent="0.45">
      <c r="A2373" s="2" t="s">
        <v>2372</v>
      </c>
    </row>
    <row r="2374" spans="1:1" ht="15.75" customHeight="1" x14ac:dyDescent="0.45">
      <c r="A2374" s="2" t="s">
        <v>2373</v>
      </c>
    </row>
    <row r="2375" spans="1:1" ht="15.75" customHeight="1" x14ac:dyDescent="0.45">
      <c r="A2375" s="2" t="s">
        <v>2374</v>
      </c>
    </row>
    <row r="2376" spans="1:1" ht="15.75" customHeight="1" x14ac:dyDescent="0.45">
      <c r="A2376" s="2" t="s">
        <v>2375</v>
      </c>
    </row>
    <row r="2377" spans="1:1" ht="15.75" customHeight="1" x14ac:dyDescent="0.45">
      <c r="A2377" s="2" t="s">
        <v>2376</v>
      </c>
    </row>
    <row r="2378" spans="1:1" ht="15.75" customHeight="1" x14ac:dyDescent="0.45">
      <c r="A2378" s="2" t="s">
        <v>2377</v>
      </c>
    </row>
    <row r="2379" spans="1:1" ht="15.75" customHeight="1" x14ac:dyDescent="0.45">
      <c r="A2379" s="2" t="s">
        <v>2378</v>
      </c>
    </row>
    <row r="2380" spans="1:1" ht="15.75" customHeight="1" x14ac:dyDescent="0.45">
      <c r="A2380" s="2" t="s">
        <v>2379</v>
      </c>
    </row>
    <row r="2381" spans="1:1" ht="15.75" customHeight="1" x14ac:dyDescent="0.45">
      <c r="A2381" s="2" t="s">
        <v>2380</v>
      </c>
    </row>
    <row r="2382" spans="1:1" ht="15.75" customHeight="1" x14ac:dyDescent="0.45">
      <c r="A2382" s="2" t="s">
        <v>2381</v>
      </c>
    </row>
    <row r="2383" spans="1:1" ht="15.75" customHeight="1" x14ac:dyDescent="0.45">
      <c r="A2383" s="2" t="s">
        <v>2382</v>
      </c>
    </row>
    <row r="2384" spans="1:1" ht="15.75" customHeight="1" x14ac:dyDescent="0.45">
      <c r="A2384" s="2" t="s">
        <v>2383</v>
      </c>
    </row>
    <row r="2385" spans="1:1" ht="15.75" customHeight="1" x14ac:dyDescent="0.45">
      <c r="A2385" s="2" t="s">
        <v>2384</v>
      </c>
    </row>
    <row r="2386" spans="1:1" ht="15.75" customHeight="1" x14ac:dyDescent="0.45">
      <c r="A2386" s="2" t="s">
        <v>2385</v>
      </c>
    </row>
    <row r="2387" spans="1:1" ht="15.75" customHeight="1" x14ac:dyDescent="0.45">
      <c r="A2387" s="2" t="s">
        <v>2386</v>
      </c>
    </row>
    <row r="2388" spans="1:1" ht="15.75" customHeight="1" x14ac:dyDescent="0.45">
      <c r="A2388" s="2" t="s">
        <v>2387</v>
      </c>
    </row>
    <row r="2389" spans="1:1" ht="15.75" customHeight="1" x14ac:dyDescent="0.45">
      <c r="A2389" s="2" t="s">
        <v>2388</v>
      </c>
    </row>
    <row r="2390" spans="1:1" ht="15.75" customHeight="1" x14ac:dyDescent="0.45">
      <c r="A2390" s="2" t="s">
        <v>2389</v>
      </c>
    </row>
    <row r="2391" spans="1:1" ht="15.75" customHeight="1" x14ac:dyDescent="0.45">
      <c r="A2391" s="2" t="s">
        <v>2390</v>
      </c>
    </row>
    <row r="2392" spans="1:1" ht="15.75" customHeight="1" x14ac:dyDescent="0.45">
      <c r="A2392" s="2" t="s">
        <v>2391</v>
      </c>
    </row>
    <row r="2393" spans="1:1" ht="15.75" customHeight="1" x14ac:dyDescent="0.45">
      <c r="A2393" s="2" t="s">
        <v>2392</v>
      </c>
    </row>
    <row r="2394" spans="1:1" ht="15.75" customHeight="1" x14ac:dyDescent="0.45">
      <c r="A2394" s="2" t="s">
        <v>2393</v>
      </c>
    </row>
    <row r="2395" spans="1:1" ht="15.75" customHeight="1" x14ac:dyDescent="0.45">
      <c r="A2395" s="2" t="s">
        <v>2394</v>
      </c>
    </row>
    <row r="2396" spans="1:1" ht="15.75" customHeight="1" x14ac:dyDescent="0.45">
      <c r="A2396" s="2" t="s">
        <v>2395</v>
      </c>
    </row>
    <row r="2397" spans="1:1" ht="15.75" customHeight="1" x14ac:dyDescent="0.45">
      <c r="A2397" s="2" t="s">
        <v>2396</v>
      </c>
    </row>
    <row r="2398" spans="1:1" ht="15.75" customHeight="1" x14ac:dyDescent="0.45">
      <c r="A2398" s="2" t="s">
        <v>2397</v>
      </c>
    </row>
    <row r="2399" spans="1:1" ht="15.75" customHeight="1" x14ac:dyDescent="0.45">
      <c r="A2399" s="2" t="s">
        <v>2398</v>
      </c>
    </row>
    <row r="2400" spans="1:1" ht="15.75" customHeight="1" x14ac:dyDescent="0.45">
      <c r="A2400" s="2" t="s">
        <v>2399</v>
      </c>
    </row>
    <row r="2401" spans="1:1" ht="15.75" customHeight="1" x14ac:dyDescent="0.45">
      <c r="A2401" s="2" t="s">
        <v>2400</v>
      </c>
    </row>
    <row r="2402" spans="1:1" ht="15.75" customHeight="1" x14ac:dyDescent="0.45">
      <c r="A2402" s="2" t="s">
        <v>2401</v>
      </c>
    </row>
    <row r="2403" spans="1:1" ht="15.75" customHeight="1" x14ac:dyDescent="0.45">
      <c r="A2403" s="2" t="s">
        <v>2402</v>
      </c>
    </row>
    <row r="2404" spans="1:1" ht="15.75" customHeight="1" x14ac:dyDescent="0.45">
      <c r="A2404" s="2" t="s">
        <v>2403</v>
      </c>
    </row>
    <row r="2405" spans="1:1" ht="15.75" customHeight="1" x14ac:dyDescent="0.45">
      <c r="A2405" s="2" t="s">
        <v>2404</v>
      </c>
    </row>
    <row r="2406" spans="1:1" ht="15.75" customHeight="1" x14ac:dyDescent="0.45">
      <c r="A2406" s="2" t="s">
        <v>2405</v>
      </c>
    </row>
    <row r="2407" spans="1:1" ht="15.75" customHeight="1" x14ac:dyDescent="0.45">
      <c r="A2407" s="2" t="s">
        <v>2406</v>
      </c>
    </row>
    <row r="2408" spans="1:1" ht="15.75" customHeight="1" x14ac:dyDescent="0.45">
      <c r="A2408" s="2" t="s">
        <v>2407</v>
      </c>
    </row>
    <row r="2409" spans="1:1" ht="15.75" customHeight="1" x14ac:dyDescent="0.45">
      <c r="A2409" s="2" t="s">
        <v>2408</v>
      </c>
    </row>
    <row r="2410" spans="1:1" ht="15.75" customHeight="1" x14ac:dyDescent="0.45">
      <c r="A2410" s="2" t="s">
        <v>2409</v>
      </c>
    </row>
    <row r="2411" spans="1:1" ht="15.75" customHeight="1" x14ac:dyDescent="0.45">
      <c r="A2411" s="2" t="s">
        <v>2410</v>
      </c>
    </row>
    <row r="2412" spans="1:1" ht="15.75" customHeight="1" x14ac:dyDescent="0.45">
      <c r="A2412" s="2" t="s">
        <v>2411</v>
      </c>
    </row>
    <row r="2413" spans="1:1" ht="15.75" customHeight="1" x14ac:dyDescent="0.45">
      <c r="A2413" s="2" t="s">
        <v>2412</v>
      </c>
    </row>
    <row r="2414" spans="1:1" ht="15.75" customHeight="1" x14ac:dyDescent="0.45">
      <c r="A2414" s="2" t="s">
        <v>2413</v>
      </c>
    </row>
    <row r="2415" spans="1:1" ht="15.75" customHeight="1" x14ac:dyDescent="0.45">
      <c r="A2415" s="2" t="s">
        <v>2414</v>
      </c>
    </row>
    <row r="2416" spans="1:1" ht="15.75" customHeight="1" x14ac:dyDescent="0.45">
      <c r="A2416" s="2" t="s">
        <v>2415</v>
      </c>
    </row>
    <row r="2417" spans="1:1" ht="15.75" customHeight="1" x14ac:dyDescent="0.45">
      <c r="A2417" s="2" t="s">
        <v>2416</v>
      </c>
    </row>
    <row r="2418" spans="1:1" ht="15.75" customHeight="1" x14ac:dyDescent="0.45">
      <c r="A2418" s="2" t="s">
        <v>2417</v>
      </c>
    </row>
    <row r="2419" spans="1:1" ht="15.75" customHeight="1" x14ac:dyDescent="0.45">
      <c r="A2419" s="2" t="s">
        <v>2418</v>
      </c>
    </row>
    <row r="2420" spans="1:1" ht="15.75" customHeight="1" x14ac:dyDescent="0.45">
      <c r="A2420" s="2" t="s">
        <v>2419</v>
      </c>
    </row>
    <row r="2421" spans="1:1" ht="15.75" customHeight="1" x14ac:dyDescent="0.45">
      <c r="A2421" s="2" t="s">
        <v>2420</v>
      </c>
    </row>
    <row r="2422" spans="1:1" ht="15.75" customHeight="1" x14ac:dyDescent="0.45">
      <c r="A2422" s="2" t="s">
        <v>2421</v>
      </c>
    </row>
    <row r="2423" spans="1:1" ht="15.75" customHeight="1" x14ac:dyDescent="0.45">
      <c r="A2423" s="2" t="s">
        <v>2422</v>
      </c>
    </row>
    <row r="2424" spans="1:1" ht="15.75" customHeight="1" x14ac:dyDescent="0.45">
      <c r="A2424" s="2" t="s">
        <v>2423</v>
      </c>
    </row>
    <row r="2425" spans="1:1" ht="15.75" customHeight="1" x14ac:dyDescent="0.45">
      <c r="A2425" s="2" t="s">
        <v>2424</v>
      </c>
    </row>
    <row r="2426" spans="1:1" ht="15.75" customHeight="1" x14ac:dyDescent="0.45">
      <c r="A2426" s="2" t="s">
        <v>2425</v>
      </c>
    </row>
    <row r="2427" spans="1:1" ht="15.75" customHeight="1" x14ac:dyDescent="0.45">
      <c r="A2427" s="2" t="s">
        <v>2426</v>
      </c>
    </row>
    <row r="2428" spans="1:1" ht="15.75" customHeight="1" x14ac:dyDescent="0.45">
      <c r="A2428" s="2" t="s">
        <v>2427</v>
      </c>
    </row>
    <row r="2429" spans="1:1" ht="15.75" customHeight="1" x14ac:dyDescent="0.45">
      <c r="A2429" s="2" t="s">
        <v>2428</v>
      </c>
    </row>
    <row r="2430" spans="1:1" ht="15.75" customHeight="1" x14ac:dyDescent="0.45">
      <c r="A2430" s="2" t="s">
        <v>2429</v>
      </c>
    </row>
    <row r="2431" spans="1:1" ht="15.75" customHeight="1" x14ac:dyDescent="0.45">
      <c r="A2431" s="2" t="s">
        <v>2430</v>
      </c>
    </row>
    <row r="2432" spans="1:1" ht="15.75" customHeight="1" x14ac:dyDescent="0.45">
      <c r="A2432" s="2" t="s">
        <v>2431</v>
      </c>
    </row>
    <row r="2433" spans="1:1" ht="15.75" customHeight="1" x14ac:dyDescent="0.45">
      <c r="A2433" s="2" t="s">
        <v>2432</v>
      </c>
    </row>
    <row r="2434" spans="1:1" ht="15.75" customHeight="1" x14ac:dyDescent="0.45">
      <c r="A2434" s="2" t="s">
        <v>2433</v>
      </c>
    </row>
    <row r="2435" spans="1:1" ht="15.75" customHeight="1" x14ac:dyDescent="0.45">
      <c r="A2435" s="2" t="s">
        <v>2434</v>
      </c>
    </row>
    <row r="2436" spans="1:1" ht="15.75" customHeight="1" x14ac:dyDescent="0.45">
      <c r="A2436" s="2" t="s">
        <v>2435</v>
      </c>
    </row>
    <row r="2437" spans="1:1" ht="15.75" customHeight="1" x14ac:dyDescent="0.45">
      <c r="A2437" s="2" t="s">
        <v>2436</v>
      </c>
    </row>
    <row r="2438" spans="1:1" ht="15.75" customHeight="1" x14ac:dyDescent="0.45">
      <c r="A2438" s="2" t="s">
        <v>2437</v>
      </c>
    </row>
    <row r="2439" spans="1:1" ht="15.75" customHeight="1" x14ac:dyDescent="0.45">
      <c r="A2439" s="2" t="s">
        <v>2438</v>
      </c>
    </row>
    <row r="2440" spans="1:1" ht="15.75" customHeight="1" x14ac:dyDescent="0.45">
      <c r="A2440" s="2" t="s">
        <v>2439</v>
      </c>
    </row>
    <row r="2441" spans="1:1" ht="15.75" customHeight="1" x14ac:dyDescent="0.45">
      <c r="A2441" s="2" t="s">
        <v>2440</v>
      </c>
    </row>
    <row r="2442" spans="1:1" ht="15.75" customHeight="1" x14ac:dyDescent="0.45">
      <c r="A2442" s="2" t="s">
        <v>2441</v>
      </c>
    </row>
    <row r="2443" spans="1:1" ht="15.75" customHeight="1" x14ac:dyDescent="0.45">
      <c r="A2443" s="2" t="s">
        <v>2442</v>
      </c>
    </row>
    <row r="2444" spans="1:1" ht="15.75" customHeight="1" x14ac:dyDescent="0.45">
      <c r="A2444" s="2" t="s">
        <v>2443</v>
      </c>
    </row>
    <row r="2445" spans="1:1" ht="15.75" customHeight="1" x14ac:dyDescent="0.45">
      <c r="A2445" s="2" t="s">
        <v>2444</v>
      </c>
    </row>
    <row r="2446" spans="1:1" ht="15.75" customHeight="1" x14ac:dyDescent="0.45">
      <c r="A2446" s="2" t="s">
        <v>2445</v>
      </c>
    </row>
    <row r="2447" spans="1:1" ht="15.75" customHeight="1" x14ac:dyDescent="0.45">
      <c r="A2447" s="2" t="s">
        <v>2446</v>
      </c>
    </row>
    <row r="2448" spans="1:1" ht="15.75" customHeight="1" x14ac:dyDescent="0.45">
      <c r="A2448" s="2" t="s">
        <v>2447</v>
      </c>
    </row>
    <row r="2449" spans="1:1" ht="15.75" customHeight="1" x14ac:dyDescent="0.45">
      <c r="A2449" s="2" t="s">
        <v>2448</v>
      </c>
    </row>
    <row r="2450" spans="1:1" ht="15.75" customHeight="1" x14ac:dyDescent="0.45">
      <c r="A2450" s="2" t="s">
        <v>2449</v>
      </c>
    </row>
    <row r="2451" spans="1:1" ht="15.75" customHeight="1" x14ac:dyDescent="0.45">
      <c r="A2451" s="2" t="s">
        <v>2450</v>
      </c>
    </row>
    <row r="2452" spans="1:1" ht="15.75" customHeight="1" x14ac:dyDescent="0.45">
      <c r="A2452" s="2" t="s">
        <v>2451</v>
      </c>
    </row>
    <row r="2453" spans="1:1" ht="15.75" customHeight="1" x14ac:dyDescent="0.45">
      <c r="A2453" s="2" t="s">
        <v>2452</v>
      </c>
    </row>
    <row r="2454" spans="1:1" ht="15.75" customHeight="1" x14ac:dyDescent="0.45">
      <c r="A2454" s="2" t="s">
        <v>2453</v>
      </c>
    </row>
    <row r="2455" spans="1:1" ht="15.75" customHeight="1" x14ac:dyDescent="0.45">
      <c r="A2455" s="2" t="s">
        <v>2454</v>
      </c>
    </row>
    <row r="2456" spans="1:1" ht="15.75" customHeight="1" x14ac:dyDescent="0.45">
      <c r="A2456" s="2" t="s">
        <v>2455</v>
      </c>
    </row>
    <row r="2457" spans="1:1" ht="15.75" customHeight="1" x14ac:dyDescent="0.45">
      <c r="A2457" s="2" t="s">
        <v>2456</v>
      </c>
    </row>
    <row r="2458" spans="1:1" ht="15.75" customHeight="1" x14ac:dyDescent="0.45">
      <c r="A2458" s="2" t="s">
        <v>2457</v>
      </c>
    </row>
    <row r="2459" spans="1:1" ht="15.75" customHeight="1" x14ac:dyDescent="0.45">
      <c r="A2459" s="2" t="s">
        <v>2458</v>
      </c>
    </row>
    <row r="2460" spans="1:1" ht="15.75" customHeight="1" x14ac:dyDescent="0.45">
      <c r="A2460" s="2" t="s">
        <v>2459</v>
      </c>
    </row>
    <row r="2461" spans="1:1" ht="15.75" customHeight="1" x14ac:dyDescent="0.45">
      <c r="A2461" s="2" t="s">
        <v>2460</v>
      </c>
    </row>
    <row r="2462" spans="1:1" ht="15.75" customHeight="1" x14ac:dyDescent="0.45">
      <c r="A2462" s="2" t="s">
        <v>2461</v>
      </c>
    </row>
    <row r="2463" spans="1:1" ht="15.75" customHeight="1" x14ac:dyDescent="0.45">
      <c r="A2463" s="2" t="s">
        <v>2462</v>
      </c>
    </row>
    <row r="2464" spans="1:1" ht="15.75" customHeight="1" x14ac:dyDescent="0.45">
      <c r="A2464" s="2" t="s">
        <v>2463</v>
      </c>
    </row>
    <row r="2465" spans="1:1" ht="15.75" customHeight="1" x14ac:dyDescent="0.45">
      <c r="A2465" s="2" t="s">
        <v>2464</v>
      </c>
    </row>
    <row r="2466" spans="1:1" ht="15.75" customHeight="1" x14ac:dyDescent="0.45">
      <c r="A2466" s="2" t="s">
        <v>2465</v>
      </c>
    </row>
    <row r="2467" spans="1:1" ht="15.75" customHeight="1" x14ac:dyDescent="0.45">
      <c r="A2467" s="2" t="s">
        <v>2466</v>
      </c>
    </row>
    <row r="2468" spans="1:1" ht="15.75" customHeight="1" x14ac:dyDescent="0.45">
      <c r="A2468" s="2" t="s">
        <v>2467</v>
      </c>
    </row>
    <row r="2469" spans="1:1" ht="15.75" customHeight="1" x14ac:dyDescent="0.45">
      <c r="A2469" s="2" t="s">
        <v>2468</v>
      </c>
    </row>
    <row r="2470" spans="1:1" ht="15.75" customHeight="1" x14ac:dyDescent="0.45">
      <c r="A2470" s="2" t="s">
        <v>2469</v>
      </c>
    </row>
    <row r="2471" spans="1:1" ht="15.75" customHeight="1" x14ac:dyDescent="0.45">
      <c r="A2471" s="2" t="s">
        <v>2470</v>
      </c>
    </row>
    <row r="2472" spans="1:1" ht="15.75" customHeight="1" x14ac:dyDescent="0.45">
      <c r="A2472" s="2" t="s">
        <v>2471</v>
      </c>
    </row>
    <row r="2473" spans="1:1" ht="15.75" customHeight="1" x14ac:dyDescent="0.45">
      <c r="A2473" s="2" t="s">
        <v>2472</v>
      </c>
    </row>
    <row r="2474" spans="1:1" ht="15.75" customHeight="1" x14ac:dyDescent="0.45">
      <c r="A2474" s="2" t="s">
        <v>2473</v>
      </c>
    </row>
    <row r="2475" spans="1:1" ht="15.75" customHeight="1" x14ac:dyDescent="0.45">
      <c r="A2475" s="2" t="s">
        <v>2474</v>
      </c>
    </row>
    <row r="2476" spans="1:1" ht="15.75" customHeight="1" x14ac:dyDescent="0.45">
      <c r="A2476" s="2" t="s">
        <v>2475</v>
      </c>
    </row>
    <row r="2477" spans="1:1" ht="15.75" customHeight="1" x14ac:dyDescent="0.45">
      <c r="A2477" s="2" t="s">
        <v>2476</v>
      </c>
    </row>
    <row r="2478" spans="1:1" ht="15.75" customHeight="1" x14ac:dyDescent="0.45">
      <c r="A2478" s="2" t="s">
        <v>2477</v>
      </c>
    </row>
    <row r="2479" spans="1:1" ht="15.75" customHeight="1" x14ac:dyDescent="0.45">
      <c r="A2479" s="2" t="s">
        <v>2478</v>
      </c>
    </row>
    <row r="2480" spans="1:1" ht="15.75" customHeight="1" x14ac:dyDescent="0.45">
      <c r="A2480" s="2" t="s">
        <v>2479</v>
      </c>
    </row>
    <row r="2481" spans="1:1" ht="15.75" customHeight="1" x14ac:dyDescent="0.45">
      <c r="A2481" s="2" t="s">
        <v>2480</v>
      </c>
    </row>
    <row r="2482" spans="1:1" ht="15.75" customHeight="1" x14ac:dyDescent="0.45">
      <c r="A2482" s="2" t="s">
        <v>2481</v>
      </c>
    </row>
    <row r="2483" spans="1:1" ht="15.75" customHeight="1" x14ac:dyDescent="0.45">
      <c r="A2483" s="2" t="s">
        <v>2482</v>
      </c>
    </row>
    <row r="2484" spans="1:1" ht="15.75" customHeight="1" x14ac:dyDescent="0.45">
      <c r="A2484" s="2" t="s">
        <v>2483</v>
      </c>
    </row>
    <row r="2485" spans="1:1" ht="15.75" customHeight="1" x14ac:dyDescent="0.45">
      <c r="A2485" s="2" t="s">
        <v>2484</v>
      </c>
    </row>
    <row r="2486" spans="1:1" ht="15.75" customHeight="1" x14ac:dyDescent="0.45">
      <c r="A2486" s="2" t="s">
        <v>2485</v>
      </c>
    </row>
    <row r="2487" spans="1:1" ht="15.75" customHeight="1" x14ac:dyDescent="0.45">
      <c r="A2487" s="2" t="s">
        <v>2486</v>
      </c>
    </row>
    <row r="2488" spans="1:1" ht="15.75" customHeight="1" x14ac:dyDescent="0.45">
      <c r="A2488" s="2" t="s">
        <v>2487</v>
      </c>
    </row>
    <row r="2489" spans="1:1" ht="15.75" customHeight="1" x14ac:dyDescent="0.45">
      <c r="A2489" s="2" t="s">
        <v>2488</v>
      </c>
    </row>
    <row r="2490" spans="1:1" ht="15.75" customHeight="1" x14ac:dyDescent="0.45">
      <c r="A2490" s="2" t="s">
        <v>2489</v>
      </c>
    </row>
    <row r="2491" spans="1:1" ht="15.75" customHeight="1" x14ac:dyDescent="0.45">
      <c r="A2491" s="2" t="s">
        <v>2490</v>
      </c>
    </row>
    <row r="2492" spans="1:1" ht="15.75" customHeight="1" x14ac:dyDescent="0.45">
      <c r="A2492" s="2" t="s">
        <v>2491</v>
      </c>
    </row>
    <row r="2493" spans="1:1" ht="15.75" customHeight="1" x14ac:dyDescent="0.45">
      <c r="A2493" s="2" t="s">
        <v>2492</v>
      </c>
    </row>
    <row r="2494" spans="1:1" ht="15.75" customHeight="1" x14ac:dyDescent="0.45">
      <c r="A2494" s="2" t="s">
        <v>2493</v>
      </c>
    </row>
    <row r="2495" spans="1:1" ht="15.75" customHeight="1" x14ac:dyDescent="0.45">
      <c r="A2495" s="2" t="s">
        <v>2494</v>
      </c>
    </row>
    <row r="2496" spans="1:1" ht="15.75" customHeight="1" x14ac:dyDescent="0.45">
      <c r="A2496" s="2" t="s">
        <v>2495</v>
      </c>
    </row>
    <row r="2497" spans="1:1" ht="15.75" customHeight="1" x14ac:dyDescent="0.45">
      <c r="A2497" s="2" t="s">
        <v>2496</v>
      </c>
    </row>
    <row r="2498" spans="1:1" ht="15.75" customHeight="1" x14ac:dyDescent="0.45">
      <c r="A2498" s="2" t="s">
        <v>2497</v>
      </c>
    </row>
    <row r="2499" spans="1:1" ht="15.75" customHeight="1" x14ac:dyDescent="0.45">
      <c r="A2499" s="2" t="s">
        <v>2498</v>
      </c>
    </row>
    <row r="2500" spans="1:1" ht="15.75" customHeight="1" x14ac:dyDescent="0.45">
      <c r="A2500" s="2" t="s">
        <v>2499</v>
      </c>
    </row>
    <row r="2501" spans="1:1" ht="15.75" customHeight="1" x14ac:dyDescent="0.45">
      <c r="A2501" s="2" t="s">
        <v>2500</v>
      </c>
    </row>
    <row r="2502" spans="1:1" ht="15.75" customHeight="1" x14ac:dyDescent="0.45">
      <c r="A2502" s="2" t="s">
        <v>2501</v>
      </c>
    </row>
    <row r="2503" spans="1:1" ht="15.75" customHeight="1" x14ac:dyDescent="0.45">
      <c r="A2503" s="2" t="s">
        <v>2502</v>
      </c>
    </row>
    <row r="2504" spans="1:1" ht="15.75" customHeight="1" x14ac:dyDescent="0.45">
      <c r="A2504" s="2" t="s">
        <v>2503</v>
      </c>
    </row>
    <row r="2505" spans="1:1" ht="15.75" customHeight="1" x14ac:dyDescent="0.45">
      <c r="A2505" s="2" t="s">
        <v>2504</v>
      </c>
    </row>
    <row r="2506" spans="1:1" ht="15.75" customHeight="1" x14ac:dyDescent="0.45">
      <c r="A2506" s="2" t="s">
        <v>2505</v>
      </c>
    </row>
    <row r="2507" spans="1:1" ht="15.75" customHeight="1" x14ac:dyDescent="0.45">
      <c r="A2507" s="2" t="s">
        <v>2506</v>
      </c>
    </row>
    <row r="2508" spans="1:1" ht="15.75" customHeight="1" x14ac:dyDescent="0.45">
      <c r="A2508" s="2" t="s">
        <v>2507</v>
      </c>
    </row>
    <row r="2509" spans="1:1" ht="15.75" customHeight="1" x14ac:dyDescent="0.45">
      <c r="A2509" s="2" t="s">
        <v>2508</v>
      </c>
    </row>
    <row r="2510" spans="1:1" ht="15.75" customHeight="1" x14ac:dyDescent="0.45">
      <c r="A2510" s="2" t="s">
        <v>2509</v>
      </c>
    </row>
    <row r="2511" spans="1:1" ht="15.75" customHeight="1" x14ac:dyDescent="0.45">
      <c r="A2511" s="2" t="s">
        <v>2510</v>
      </c>
    </row>
    <row r="2512" spans="1:1" ht="15.75" customHeight="1" x14ac:dyDescent="0.45">
      <c r="A2512" s="2" t="s">
        <v>2511</v>
      </c>
    </row>
    <row r="2513" spans="1:1" ht="15.75" customHeight="1" x14ac:dyDescent="0.45">
      <c r="A2513" s="2" t="s">
        <v>2512</v>
      </c>
    </row>
    <row r="2514" spans="1:1" ht="15.75" customHeight="1" x14ac:dyDescent="0.45">
      <c r="A2514" s="2" t="s">
        <v>2513</v>
      </c>
    </row>
    <row r="2515" spans="1:1" ht="15.75" customHeight="1" x14ac:dyDescent="0.45">
      <c r="A2515" s="2" t="s">
        <v>2514</v>
      </c>
    </row>
    <row r="2516" spans="1:1" ht="15.75" customHeight="1" x14ac:dyDescent="0.45">
      <c r="A2516" s="2" t="s">
        <v>2515</v>
      </c>
    </row>
    <row r="2517" spans="1:1" ht="15.75" customHeight="1" x14ac:dyDescent="0.45">
      <c r="A2517" s="2" t="s">
        <v>2516</v>
      </c>
    </row>
    <row r="2518" spans="1:1" ht="15.75" customHeight="1" x14ac:dyDescent="0.45">
      <c r="A2518" s="2" t="s">
        <v>2517</v>
      </c>
    </row>
    <row r="2519" spans="1:1" ht="15.75" customHeight="1" x14ac:dyDescent="0.45">
      <c r="A2519" s="2" t="s">
        <v>2518</v>
      </c>
    </row>
    <row r="2520" spans="1:1" ht="15.75" customHeight="1" x14ac:dyDescent="0.45">
      <c r="A2520" s="2" t="s">
        <v>2519</v>
      </c>
    </row>
    <row r="2521" spans="1:1" ht="15.75" customHeight="1" x14ac:dyDescent="0.45">
      <c r="A2521" s="2" t="s">
        <v>2520</v>
      </c>
    </row>
    <row r="2522" spans="1:1" ht="15.75" customHeight="1" x14ac:dyDescent="0.45">
      <c r="A2522" s="2" t="s">
        <v>2521</v>
      </c>
    </row>
    <row r="2523" spans="1:1" ht="15.75" customHeight="1" x14ac:dyDescent="0.45">
      <c r="A2523" s="2" t="s">
        <v>2522</v>
      </c>
    </row>
    <row r="2524" spans="1:1" ht="15.75" customHeight="1" x14ac:dyDescent="0.45">
      <c r="A2524" s="2" t="s">
        <v>2523</v>
      </c>
    </row>
    <row r="2525" spans="1:1" ht="15.75" customHeight="1" x14ac:dyDescent="0.45">
      <c r="A2525" s="2" t="s">
        <v>2524</v>
      </c>
    </row>
    <row r="2526" spans="1:1" ht="15.75" customHeight="1" x14ac:dyDescent="0.45">
      <c r="A2526" s="2" t="s">
        <v>2525</v>
      </c>
    </row>
    <row r="2527" spans="1:1" ht="15.75" customHeight="1" x14ac:dyDescent="0.45">
      <c r="A2527" s="2" t="s">
        <v>2526</v>
      </c>
    </row>
    <row r="2528" spans="1:1" ht="15.75" customHeight="1" x14ac:dyDescent="0.45">
      <c r="A2528" s="2" t="s">
        <v>2527</v>
      </c>
    </row>
    <row r="2529" spans="1:1" ht="15.75" customHeight="1" x14ac:dyDescent="0.45">
      <c r="A2529" s="2" t="s">
        <v>2528</v>
      </c>
    </row>
    <row r="2530" spans="1:1" ht="15.75" customHeight="1" x14ac:dyDescent="0.45">
      <c r="A2530" s="2" t="s">
        <v>2529</v>
      </c>
    </row>
    <row r="2531" spans="1:1" ht="15.75" customHeight="1" x14ac:dyDescent="0.45">
      <c r="A2531" s="2" t="s">
        <v>2530</v>
      </c>
    </row>
    <row r="2532" spans="1:1" ht="15.75" customHeight="1" x14ac:dyDescent="0.45">
      <c r="A2532" s="2" t="s">
        <v>2531</v>
      </c>
    </row>
    <row r="2533" spans="1:1" ht="15.75" customHeight="1" x14ac:dyDescent="0.45">
      <c r="A2533" s="2" t="s">
        <v>2532</v>
      </c>
    </row>
    <row r="2534" spans="1:1" ht="15.75" customHeight="1" x14ac:dyDescent="0.45">
      <c r="A2534" s="2" t="s">
        <v>2533</v>
      </c>
    </row>
    <row r="2535" spans="1:1" ht="15.75" customHeight="1" x14ac:dyDescent="0.45">
      <c r="A2535" s="2" t="s">
        <v>2534</v>
      </c>
    </row>
    <row r="2536" spans="1:1" ht="15.75" customHeight="1" x14ac:dyDescent="0.45">
      <c r="A2536" s="2" t="s">
        <v>2535</v>
      </c>
    </row>
    <row r="2537" spans="1:1" ht="15.75" customHeight="1" x14ac:dyDescent="0.45">
      <c r="A2537" s="2" t="s">
        <v>2536</v>
      </c>
    </row>
    <row r="2538" spans="1:1" ht="15.75" customHeight="1" x14ac:dyDescent="0.45">
      <c r="A2538" s="2" t="s">
        <v>2537</v>
      </c>
    </row>
    <row r="2539" spans="1:1" ht="15.75" customHeight="1" x14ac:dyDescent="0.45">
      <c r="A2539" s="2" t="s">
        <v>2538</v>
      </c>
    </row>
    <row r="2540" spans="1:1" ht="15.75" customHeight="1" x14ac:dyDescent="0.45">
      <c r="A2540" s="2" t="s">
        <v>2539</v>
      </c>
    </row>
    <row r="2541" spans="1:1" ht="15.75" customHeight="1" x14ac:dyDescent="0.45">
      <c r="A2541" s="2" t="s">
        <v>2540</v>
      </c>
    </row>
    <row r="2542" spans="1:1" ht="15.75" customHeight="1" x14ac:dyDescent="0.45"/>
    <row r="2543" spans="1:1" ht="15.75" customHeight="1" x14ac:dyDescent="0.45"/>
    <row r="2544" spans="1:1" ht="15.75" customHeight="1" x14ac:dyDescent="0.45"/>
    <row r="2545" ht="15.75" customHeight="1" x14ac:dyDescent="0.45"/>
    <row r="2546" ht="15.75" customHeight="1" x14ac:dyDescent="0.45"/>
    <row r="2547" ht="15.75" customHeight="1" x14ac:dyDescent="0.45"/>
    <row r="2548" ht="15.75" customHeight="1" x14ac:dyDescent="0.45"/>
    <row r="2549" ht="15.75" customHeight="1" x14ac:dyDescent="0.45"/>
    <row r="2550" ht="15.75" customHeight="1" x14ac:dyDescent="0.45"/>
    <row r="2551" ht="15.75" customHeight="1" x14ac:dyDescent="0.45"/>
    <row r="2552" ht="15.75" customHeight="1" x14ac:dyDescent="0.45"/>
    <row r="2553" ht="15.75" customHeight="1" x14ac:dyDescent="0.45"/>
    <row r="2554" ht="15.75" customHeight="1" x14ac:dyDescent="0.45"/>
    <row r="2555" ht="15.75" customHeight="1" x14ac:dyDescent="0.45"/>
    <row r="2556" ht="15.75" customHeight="1" x14ac:dyDescent="0.45"/>
    <row r="2557" ht="15.75" customHeight="1" x14ac:dyDescent="0.45"/>
    <row r="2558" ht="15.75" customHeight="1" x14ac:dyDescent="0.45"/>
    <row r="2559" ht="15.75" customHeight="1" x14ac:dyDescent="0.45"/>
    <row r="2560" ht="15.75" customHeight="1" x14ac:dyDescent="0.45"/>
    <row r="2561" ht="15.75" customHeight="1" x14ac:dyDescent="0.45"/>
    <row r="2562" ht="15.75" customHeight="1" x14ac:dyDescent="0.45"/>
    <row r="2563" ht="15.75" customHeight="1" x14ac:dyDescent="0.45"/>
    <row r="2564" ht="15.75" customHeight="1" x14ac:dyDescent="0.45"/>
    <row r="2565" ht="15.75" customHeight="1" x14ac:dyDescent="0.45"/>
    <row r="2566" ht="15.75" customHeight="1" x14ac:dyDescent="0.45"/>
    <row r="2567" ht="15.75" customHeight="1" x14ac:dyDescent="0.45"/>
    <row r="2568" ht="15.75" customHeight="1" x14ac:dyDescent="0.45"/>
    <row r="2569" ht="15.75" customHeight="1" x14ac:dyDescent="0.45"/>
    <row r="2570" ht="15.75" customHeight="1" x14ac:dyDescent="0.45"/>
    <row r="2571" ht="15.75" customHeight="1" x14ac:dyDescent="0.45"/>
    <row r="2572" ht="15.75" customHeight="1" x14ac:dyDescent="0.45"/>
    <row r="2573" ht="15.75" customHeight="1" x14ac:dyDescent="0.45"/>
    <row r="2574" ht="15.75" customHeight="1" x14ac:dyDescent="0.45"/>
    <row r="2575" ht="15.75" customHeight="1" x14ac:dyDescent="0.45"/>
    <row r="2576" ht="15.75" customHeight="1" x14ac:dyDescent="0.45"/>
    <row r="2577" ht="15.75" customHeight="1" x14ac:dyDescent="0.45"/>
    <row r="2578" ht="15.75" customHeight="1" x14ac:dyDescent="0.45"/>
    <row r="2579" ht="15.75" customHeight="1" x14ac:dyDescent="0.45"/>
    <row r="2580" ht="15.75" customHeight="1" x14ac:dyDescent="0.45"/>
    <row r="2581" ht="15.75" customHeight="1" x14ac:dyDescent="0.45"/>
    <row r="2582" ht="15.75" customHeight="1" x14ac:dyDescent="0.45"/>
    <row r="2583" ht="15.75" customHeight="1" x14ac:dyDescent="0.45"/>
    <row r="2584" ht="15.75" customHeight="1" x14ac:dyDescent="0.45"/>
    <row r="2585" ht="15.75" customHeight="1" x14ac:dyDescent="0.45"/>
    <row r="2586" ht="15.75" customHeight="1" x14ac:dyDescent="0.45"/>
    <row r="2587" ht="15.75" customHeight="1" x14ac:dyDescent="0.45"/>
    <row r="2588" ht="15.75" customHeight="1" x14ac:dyDescent="0.45"/>
    <row r="2589" ht="15.75" customHeight="1" x14ac:dyDescent="0.45"/>
    <row r="2590" ht="15.75" customHeight="1" x14ac:dyDescent="0.45"/>
    <row r="2591" ht="15.75" customHeight="1" x14ac:dyDescent="0.45"/>
    <row r="2592" ht="15.75" customHeight="1" x14ac:dyDescent="0.45"/>
    <row r="2593" ht="15.75" customHeight="1" x14ac:dyDescent="0.45"/>
    <row r="2594" ht="15.75" customHeight="1" x14ac:dyDescent="0.45"/>
    <row r="2595" ht="15.75" customHeight="1" x14ac:dyDescent="0.45"/>
    <row r="2596" ht="15.75" customHeight="1" x14ac:dyDescent="0.45"/>
    <row r="2597" ht="15.75" customHeight="1" x14ac:dyDescent="0.45"/>
    <row r="2598" ht="15.75" customHeight="1" x14ac:dyDescent="0.45"/>
    <row r="2599" ht="15.75" customHeight="1" x14ac:dyDescent="0.45"/>
    <row r="2600" ht="15.75" customHeight="1" x14ac:dyDescent="0.45"/>
    <row r="2601" ht="15.75" customHeight="1" x14ac:dyDescent="0.45"/>
    <row r="2602" ht="15.75" customHeight="1" x14ac:dyDescent="0.45"/>
    <row r="2603" ht="15.75" customHeight="1" x14ac:dyDescent="0.45"/>
    <row r="2604" ht="15.75" customHeight="1" x14ac:dyDescent="0.45"/>
    <row r="2605" ht="15.75" customHeight="1" x14ac:dyDescent="0.45"/>
    <row r="2606" ht="15.75" customHeight="1" x14ac:dyDescent="0.45"/>
    <row r="2607" ht="15.75" customHeight="1" x14ac:dyDescent="0.45"/>
    <row r="2608" ht="15.75" customHeight="1" x14ac:dyDescent="0.45"/>
    <row r="2609" ht="15.75" customHeight="1" x14ac:dyDescent="0.45"/>
    <row r="2610" ht="15.75" customHeight="1" x14ac:dyDescent="0.45"/>
    <row r="2611" ht="15.75" customHeight="1" x14ac:dyDescent="0.45"/>
    <row r="2612" ht="15.75" customHeight="1" x14ac:dyDescent="0.45"/>
    <row r="2613" ht="15.75" customHeight="1" x14ac:dyDescent="0.45"/>
    <row r="2614" ht="15.75" customHeight="1" x14ac:dyDescent="0.45"/>
    <row r="2615" ht="15.75" customHeight="1" x14ac:dyDescent="0.45"/>
    <row r="2616" ht="15.75" customHeight="1" x14ac:dyDescent="0.45"/>
    <row r="2617" ht="15.75" customHeight="1" x14ac:dyDescent="0.45"/>
    <row r="2618" ht="15.75" customHeight="1" x14ac:dyDescent="0.45"/>
    <row r="2619" ht="15.75" customHeight="1" x14ac:dyDescent="0.45"/>
    <row r="2620" ht="15.75" customHeight="1" x14ac:dyDescent="0.45"/>
    <row r="2621" ht="15.75" customHeight="1" x14ac:dyDescent="0.45"/>
    <row r="2622" ht="15.75" customHeight="1" x14ac:dyDescent="0.45"/>
    <row r="2623" ht="15.75" customHeight="1" x14ac:dyDescent="0.45"/>
    <row r="2624" ht="15.75" customHeight="1" x14ac:dyDescent="0.45"/>
    <row r="2625" ht="15.75" customHeight="1" x14ac:dyDescent="0.45"/>
    <row r="2626" ht="15.75" customHeight="1" x14ac:dyDescent="0.45"/>
    <row r="2627" ht="15.75" customHeight="1" x14ac:dyDescent="0.45"/>
    <row r="2628" ht="15.75" customHeight="1" x14ac:dyDescent="0.45"/>
    <row r="2629" ht="15.75" customHeight="1" x14ac:dyDescent="0.45"/>
    <row r="2630" ht="15.75" customHeight="1" x14ac:dyDescent="0.45"/>
    <row r="2631" ht="15.75" customHeight="1" x14ac:dyDescent="0.45"/>
    <row r="2632" ht="15.75" customHeight="1" x14ac:dyDescent="0.45"/>
    <row r="2633" ht="15.75" customHeight="1" x14ac:dyDescent="0.45"/>
    <row r="2634" ht="15.75" customHeight="1" x14ac:dyDescent="0.45"/>
    <row r="2635" ht="15.75" customHeight="1" x14ac:dyDescent="0.45"/>
    <row r="2636" ht="15.75" customHeight="1" x14ac:dyDescent="0.45"/>
    <row r="2637" ht="15.75" customHeight="1" x14ac:dyDescent="0.45"/>
    <row r="2638" ht="15.75" customHeight="1" x14ac:dyDescent="0.45"/>
    <row r="2639" ht="15.75" customHeight="1" x14ac:dyDescent="0.45"/>
    <row r="2640" ht="15.75" customHeight="1" x14ac:dyDescent="0.45"/>
    <row r="2641" ht="15.75" customHeight="1" x14ac:dyDescent="0.45"/>
    <row r="2642" ht="15.75" customHeight="1" x14ac:dyDescent="0.45"/>
    <row r="2643" ht="15.75" customHeight="1" x14ac:dyDescent="0.45"/>
    <row r="2644" ht="15.75" customHeight="1" x14ac:dyDescent="0.45"/>
    <row r="2645" ht="15.75" customHeight="1" x14ac:dyDescent="0.45"/>
    <row r="2646" ht="15.75" customHeight="1" x14ac:dyDescent="0.45"/>
    <row r="2647" ht="15.75" customHeight="1" x14ac:dyDescent="0.45"/>
    <row r="2648" ht="15.75" customHeight="1" x14ac:dyDescent="0.45"/>
    <row r="2649" ht="15.75" customHeight="1" x14ac:dyDescent="0.45"/>
    <row r="2650" ht="15.75" customHeight="1" x14ac:dyDescent="0.45"/>
    <row r="2651" ht="15.75" customHeight="1" x14ac:dyDescent="0.45"/>
    <row r="2652" ht="15.75" customHeight="1" x14ac:dyDescent="0.45"/>
    <row r="2653" ht="15.75" customHeight="1" x14ac:dyDescent="0.45"/>
    <row r="2654" ht="15.75" customHeight="1" x14ac:dyDescent="0.45"/>
    <row r="2655" ht="15.75" customHeight="1" x14ac:dyDescent="0.45"/>
    <row r="2656" ht="15.75" customHeight="1" x14ac:dyDescent="0.45"/>
    <row r="2657" ht="15.75" customHeight="1" x14ac:dyDescent="0.45"/>
    <row r="2658" ht="15.75" customHeight="1" x14ac:dyDescent="0.45"/>
    <row r="2659" ht="15.75" customHeight="1" x14ac:dyDescent="0.45"/>
    <row r="2660" ht="15.75" customHeight="1" x14ac:dyDescent="0.45"/>
    <row r="2661" ht="15.75" customHeight="1" x14ac:dyDescent="0.45"/>
    <row r="2662" ht="15.75" customHeight="1" x14ac:dyDescent="0.45"/>
    <row r="2663" ht="15.75" customHeight="1" x14ac:dyDescent="0.45"/>
    <row r="2664" ht="15.75" customHeight="1" x14ac:dyDescent="0.45"/>
    <row r="2665" ht="15.75" customHeight="1" x14ac:dyDescent="0.45"/>
    <row r="2666" ht="15.75" customHeight="1" x14ac:dyDescent="0.45"/>
    <row r="2667" ht="15.75" customHeight="1" x14ac:dyDescent="0.45"/>
    <row r="2668" ht="15.75" customHeight="1" x14ac:dyDescent="0.45"/>
    <row r="2669" ht="15.75" customHeight="1" x14ac:dyDescent="0.45"/>
    <row r="2670" ht="15.75" customHeight="1" x14ac:dyDescent="0.45"/>
    <row r="2671" ht="15.75" customHeight="1" x14ac:dyDescent="0.45"/>
    <row r="2672" ht="15.75" customHeight="1" x14ac:dyDescent="0.45"/>
    <row r="2673" ht="15.75" customHeight="1" x14ac:dyDescent="0.45"/>
    <row r="2674" ht="15.75" customHeight="1" x14ac:dyDescent="0.45"/>
    <row r="2675" ht="15.75" customHeight="1" x14ac:dyDescent="0.45"/>
    <row r="2676" ht="15.75" customHeight="1" x14ac:dyDescent="0.45"/>
    <row r="2677" ht="15.75" customHeight="1" x14ac:dyDescent="0.45"/>
    <row r="2678" ht="15.75" customHeight="1" x14ac:dyDescent="0.45"/>
    <row r="2679" ht="15.75" customHeight="1" x14ac:dyDescent="0.45"/>
    <row r="2680" ht="15.75" customHeight="1" x14ac:dyDescent="0.45"/>
    <row r="2681" ht="15.75" customHeight="1" x14ac:dyDescent="0.45"/>
    <row r="2682" ht="15.75" customHeight="1" x14ac:dyDescent="0.45"/>
    <row r="2683" ht="15.75" customHeight="1" x14ac:dyDescent="0.45"/>
    <row r="2684" ht="15.75" customHeight="1" x14ac:dyDescent="0.45"/>
    <row r="2685" ht="15.75" customHeight="1" x14ac:dyDescent="0.45"/>
    <row r="2686" ht="15.75" customHeight="1" x14ac:dyDescent="0.45"/>
    <row r="2687" ht="15.75" customHeight="1" x14ac:dyDescent="0.45"/>
    <row r="2688" ht="15.75" customHeight="1" x14ac:dyDescent="0.45"/>
    <row r="2689" ht="15.75" customHeight="1" x14ac:dyDescent="0.45"/>
    <row r="2690" ht="15.75" customHeight="1" x14ac:dyDescent="0.45"/>
    <row r="2691" ht="15.75" customHeight="1" x14ac:dyDescent="0.45"/>
    <row r="2692" ht="15.75" customHeight="1" x14ac:dyDescent="0.45"/>
    <row r="2693" ht="15.75" customHeight="1" x14ac:dyDescent="0.45"/>
    <row r="2694" ht="15.75" customHeight="1" x14ac:dyDescent="0.45"/>
    <row r="2695" ht="15.75" customHeight="1" x14ac:dyDescent="0.45"/>
    <row r="2696" ht="15.75" customHeight="1" x14ac:dyDescent="0.45"/>
    <row r="2697" ht="15.75" customHeight="1" x14ac:dyDescent="0.45"/>
    <row r="2698" ht="15.75" customHeight="1" x14ac:dyDescent="0.45"/>
    <row r="2699" ht="15.75" customHeight="1" x14ac:dyDescent="0.45"/>
    <row r="2700" ht="15.75" customHeight="1" x14ac:dyDescent="0.45"/>
    <row r="2701" ht="15.75" customHeight="1" x14ac:dyDescent="0.45"/>
    <row r="2702" ht="15.75" customHeight="1" x14ac:dyDescent="0.45"/>
    <row r="2703" ht="15.75" customHeight="1" x14ac:dyDescent="0.45"/>
    <row r="2704" ht="15.75" customHeight="1" x14ac:dyDescent="0.45"/>
    <row r="2705" ht="15.75" customHeight="1" x14ac:dyDescent="0.45"/>
    <row r="2706" ht="15.75" customHeight="1" x14ac:dyDescent="0.45"/>
    <row r="2707" ht="15.75" customHeight="1" x14ac:dyDescent="0.45"/>
    <row r="2708" ht="15.75" customHeight="1" x14ac:dyDescent="0.45"/>
    <row r="2709" ht="15.75" customHeight="1" x14ac:dyDescent="0.45"/>
    <row r="2710" ht="15.75" customHeight="1" x14ac:dyDescent="0.45"/>
    <row r="2711" ht="15.75" customHeight="1" x14ac:dyDescent="0.45"/>
    <row r="2712" ht="15.75" customHeight="1" x14ac:dyDescent="0.45"/>
    <row r="2713" ht="15.75" customHeight="1" x14ac:dyDescent="0.45"/>
    <row r="2714" ht="15.75" customHeight="1" x14ac:dyDescent="0.45"/>
    <row r="2715" ht="15.75" customHeight="1" x14ac:dyDescent="0.45"/>
    <row r="2716" ht="15.75" customHeight="1" x14ac:dyDescent="0.45"/>
    <row r="2717" ht="15.75" customHeight="1" x14ac:dyDescent="0.45"/>
    <row r="2718" ht="15.75" customHeight="1" x14ac:dyDescent="0.45"/>
    <row r="2719" ht="15.75" customHeight="1" x14ac:dyDescent="0.45"/>
    <row r="2720" ht="15.75" customHeight="1" x14ac:dyDescent="0.45"/>
    <row r="2721" ht="15.75" customHeight="1" x14ac:dyDescent="0.45"/>
    <row r="2722" ht="15.75" customHeight="1" x14ac:dyDescent="0.45"/>
    <row r="2723" ht="15.75" customHeight="1" x14ac:dyDescent="0.45"/>
    <row r="2724" ht="15.75" customHeight="1" x14ac:dyDescent="0.45"/>
    <row r="2725" ht="15.75" customHeight="1" x14ac:dyDescent="0.45"/>
    <row r="2726" ht="15.75" customHeight="1" x14ac:dyDescent="0.45"/>
    <row r="2727" ht="15.75" customHeight="1" x14ac:dyDescent="0.45"/>
    <row r="2728" ht="15.75" customHeight="1" x14ac:dyDescent="0.45"/>
    <row r="2729" ht="15.75" customHeight="1" x14ac:dyDescent="0.45"/>
    <row r="2730" ht="15.75" customHeight="1" x14ac:dyDescent="0.45"/>
    <row r="2731" ht="15.75" customHeight="1" x14ac:dyDescent="0.45"/>
    <row r="2732" ht="15.75" customHeight="1" x14ac:dyDescent="0.45"/>
    <row r="2733" ht="15.75" customHeight="1" x14ac:dyDescent="0.45"/>
    <row r="2734" ht="15.75" customHeight="1" x14ac:dyDescent="0.45"/>
    <row r="2735" ht="15.75" customHeight="1" x14ac:dyDescent="0.45"/>
    <row r="2736" ht="15.75" customHeight="1" x14ac:dyDescent="0.45"/>
    <row r="2737" ht="15.75" customHeight="1" x14ac:dyDescent="0.45"/>
    <row r="2738" ht="15.75" customHeight="1" x14ac:dyDescent="0.45"/>
    <row r="2739" ht="15.75" customHeight="1" x14ac:dyDescent="0.45"/>
    <row r="2740" ht="15.75" customHeight="1" x14ac:dyDescent="0.45"/>
    <row r="2741" ht="15.75" customHeight="1" x14ac:dyDescent="0.45"/>
    <row r="2742" ht="15.75" customHeight="1" x14ac:dyDescent="0.45"/>
    <row r="2743" ht="15.75" customHeight="1" x14ac:dyDescent="0.45"/>
    <row r="2744" ht="15.75" customHeight="1" x14ac:dyDescent="0.45"/>
    <row r="2745" ht="15.75" customHeight="1" x14ac:dyDescent="0.45"/>
    <row r="2746" ht="15.75" customHeight="1" x14ac:dyDescent="0.45"/>
    <row r="2747" ht="15.75" customHeight="1" x14ac:dyDescent="0.45"/>
    <row r="2748" ht="15.75" customHeight="1" x14ac:dyDescent="0.45"/>
    <row r="2749" ht="15.75" customHeight="1" x14ac:dyDescent="0.45"/>
    <row r="2750" ht="15.75" customHeight="1" x14ac:dyDescent="0.45"/>
    <row r="2751" ht="15.75" customHeight="1" x14ac:dyDescent="0.45"/>
    <row r="2752" ht="15.75" customHeight="1" x14ac:dyDescent="0.45"/>
    <row r="2753" ht="15.75" customHeight="1" x14ac:dyDescent="0.45"/>
    <row r="2754" ht="15.75" customHeight="1" x14ac:dyDescent="0.45"/>
    <row r="2755" ht="15.75" customHeight="1" x14ac:dyDescent="0.45"/>
    <row r="2756" ht="15.75" customHeight="1" x14ac:dyDescent="0.45"/>
    <row r="2757" ht="15.75" customHeight="1" x14ac:dyDescent="0.45"/>
    <row r="2758" ht="15.75" customHeight="1" x14ac:dyDescent="0.45"/>
    <row r="2759" ht="15.75" customHeight="1" x14ac:dyDescent="0.45"/>
    <row r="2760" ht="15.75" customHeight="1" x14ac:dyDescent="0.45"/>
    <row r="2761" ht="15.75" customHeight="1" x14ac:dyDescent="0.45"/>
    <row r="2762" ht="15.75" customHeight="1" x14ac:dyDescent="0.45"/>
    <row r="2763" ht="15.75" customHeight="1" x14ac:dyDescent="0.45"/>
    <row r="2764" ht="15.75" customHeight="1" x14ac:dyDescent="0.45"/>
    <row r="2765" ht="15.75" customHeight="1" x14ac:dyDescent="0.45"/>
    <row r="2766" ht="15.75" customHeight="1" x14ac:dyDescent="0.45"/>
    <row r="2767" ht="15.75" customHeight="1" x14ac:dyDescent="0.45"/>
    <row r="2768" ht="15.75" customHeight="1" x14ac:dyDescent="0.45"/>
    <row r="2769" ht="15.75" customHeight="1" x14ac:dyDescent="0.45"/>
    <row r="2770" ht="15.75" customHeight="1" x14ac:dyDescent="0.45"/>
    <row r="2771" ht="15.75" customHeight="1" x14ac:dyDescent="0.45"/>
    <row r="2772" ht="15.75" customHeight="1" x14ac:dyDescent="0.45"/>
    <row r="2773" ht="15.75" customHeight="1" x14ac:dyDescent="0.45"/>
    <row r="2774" ht="15.75" customHeight="1" x14ac:dyDescent="0.45"/>
    <row r="2775" ht="15.75" customHeight="1" x14ac:dyDescent="0.45"/>
    <row r="2776" ht="15.75" customHeight="1" x14ac:dyDescent="0.45"/>
    <row r="2777" ht="15.75" customHeight="1" x14ac:dyDescent="0.45"/>
    <row r="2778" ht="15.75" customHeight="1" x14ac:dyDescent="0.45"/>
    <row r="2779" ht="15.75" customHeight="1" x14ac:dyDescent="0.45"/>
    <row r="2780" ht="15.75" customHeight="1" x14ac:dyDescent="0.45"/>
    <row r="2781" ht="15.75" customHeight="1" x14ac:dyDescent="0.45"/>
    <row r="2782" ht="15.75" customHeight="1" x14ac:dyDescent="0.45"/>
    <row r="2783" ht="15.75" customHeight="1" x14ac:dyDescent="0.45"/>
    <row r="2784" ht="15.75" customHeight="1" x14ac:dyDescent="0.45"/>
    <row r="2785" ht="15.75" customHeight="1" x14ac:dyDescent="0.45"/>
    <row r="2786" ht="15.75" customHeight="1" x14ac:dyDescent="0.45"/>
    <row r="2787" ht="15.75" customHeight="1" x14ac:dyDescent="0.45"/>
    <row r="2788" ht="15.75" customHeight="1" x14ac:dyDescent="0.45"/>
    <row r="2789" ht="15.75" customHeight="1" x14ac:dyDescent="0.45"/>
    <row r="2790" ht="15.75" customHeight="1" x14ac:dyDescent="0.45"/>
    <row r="2791" ht="15.75" customHeight="1" x14ac:dyDescent="0.45"/>
    <row r="2792" ht="15.75" customHeight="1" x14ac:dyDescent="0.45"/>
    <row r="2793" ht="15.75" customHeight="1" x14ac:dyDescent="0.45"/>
    <row r="2794" ht="15.75" customHeight="1" x14ac:dyDescent="0.45"/>
    <row r="2795" ht="15.75" customHeight="1" x14ac:dyDescent="0.45"/>
    <row r="2796" ht="15.75" customHeight="1" x14ac:dyDescent="0.45"/>
    <row r="2797" ht="15.75" customHeight="1" x14ac:dyDescent="0.45"/>
    <row r="2798" ht="15.75" customHeight="1" x14ac:dyDescent="0.45"/>
    <row r="2799" ht="15.75" customHeight="1" x14ac:dyDescent="0.45"/>
    <row r="2800" ht="15.75" customHeight="1" x14ac:dyDescent="0.45"/>
    <row r="2801" ht="15.75" customHeight="1" x14ac:dyDescent="0.45"/>
    <row r="2802" ht="15.75" customHeight="1" x14ac:dyDescent="0.45"/>
    <row r="2803" ht="15.75" customHeight="1" x14ac:dyDescent="0.45"/>
    <row r="2804" ht="15.75" customHeight="1" x14ac:dyDescent="0.45"/>
    <row r="2805" ht="15.75" customHeight="1" x14ac:dyDescent="0.45"/>
    <row r="2806" ht="15.75" customHeight="1" x14ac:dyDescent="0.45"/>
    <row r="2807" ht="15.75" customHeight="1" x14ac:dyDescent="0.45"/>
    <row r="2808" ht="15.75" customHeight="1" x14ac:dyDescent="0.45"/>
    <row r="2809" ht="15.75" customHeight="1" x14ac:dyDescent="0.45"/>
    <row r="2810" ht="15.75" customHeight="1" x14ac:dyDescent="0.45"/>
    <row r="2811" ht="15.75" customHeight="1" x14ac:dyDescent="0.45"/>
    <row r="2812" ht="15.75" customHeight="1" x14ac:dyDescent="0.45"/>
    <row r="2813" ht="15.75" customHeight="1" x14ac:dyDescent="0.45"/>
    <row r="2814" ht="15.75" customHeight="1" x14ac:dyDescent="0.45"/>
    <row r="2815" ht="15.75" customHeight="1" x14ac:dyDescent="0.45"/>
    <row r="2816" ht="15.75" customHeight="1" x14ac:dyDescent="0.45"/>
    <row r="2817" ht="15.75" customHeight="1" x14ac:dyDescent="0.45"/>
    <row r="2818" ht="15.75" customHeight="1" x14ac:dyDescent="0.45"/>
    <row r="2819" ht="15.75" customHeight="1" x14ac:dyDescent="0.45"/>
    <row r="2820" ht="15.75" customHeight="1" x14ac:dyDescent="0.45"/>
    <row r="2821" ht="15.75" customHeight="1" x14ac:dyDescent="0.45"/>
    <row r="2822" ht="15.75" customHeight="1" x14ac:dyDescent="0.45"/>
    <row r="2823" ht="15.75" customHeight="1" x14ac:dyDescent="0.45"/>
    <row r="2824" ht="15.75" customHeight="1" x14ac:dyDescent="0.45"/>
    <row r="2825" ht="15.75" customHeight="1" x14ac:dyDescent="0.45"/>
    <row r="2826" ht="15.75" customHeight="1" x14ac:dyDescent="0.45"/>
    <row r="2827" ht="15.75" customHeight="1" x14ac:dyDescent="0.45"/>
    <row r="2828" ht="15.75" customHeight="1" x14ac:dyDescent="0.45"/>
    <row r="2829" ht="15.75" customHeight="1" x14ac:dyDescent="0.45"/>
    <row r="2830" ht="15.75" customHeight="1" x14ac:dyDescent="0.45"/>
    <row r="2831" ht="15.75" customHeight="1" x14ac:dyDescent="0.45"/>
    <row r="2832" ht="15.75" customHeight="1" x14ac:dyDescent="0.45"/>
    <row r="2833" ht="15.75" customHeight="1" x14ac:dyDescent="0.45"/>
    <row r="2834" ht="15.75" customHeight="1" x14ac:dyDescent="0.45"/>
    <row r="2835" ht="15.75" customHeight="1" x14ac:dyDescent="0.45"/>
    <row r="2836" ht="15.75" customHeight="1" x14ac:dyDescent="0.45"/>
    <row r="2837" ht="15.75" customHeight="1" x14ac:dyDescent="0.45"/>
    <row r="2838" ht="15.75" customHeight="1" x14ac:dyDescent="0.45"/>
    <row r="2839" ht="15.75" customHeight="1" x14ac:dyDescent="0.45"/>
    <row r="2840" ht="15.75" customHeight="1" x14ac:dyDescent="0.45"/>
    <row r="2841" ht="15.75" customHeight="1" x14ac:dyDescent="0.45"/>
    <row r="2842" ht="15.75" customHeight="1" x14ac:dyDescent="0.45"/>
    <row r="2843" ht="15.75" customHeight="1" x14ac:dyDescent="0.45"/>
    <row r="2844" ht="15.75" customHeight="1" x14ac:dyDescent="0.45"/>
    <row r="2845" ht="15.75" customHeight="1" x14ac:dyDescent="0.45"/>
    <row r="2846" ht="15.75" customHeight="1" x14ac:dyDescent="0.45"/>
    <row r="2847" ht="15.75" customHeight="1" x14ac:dyDescent="0.45"/>
    <row r="2848" ht="15.75" customHeight="1" x14ac:dyDescent="0.45"/>
    <row r="2849" ht="15.75" customHeight="1" x14ac:dyDescent="0.45"/>
    <row r="2850" ht="15.75" customHeight="1" x14ac:dyDescent="0.45"/>
    <row r="2851" ht="15.75" customHeight="1" x14ac:dyDescent="0.45"/>
    <row r="2852" ht="15.75" customHeight="1" x14ac:dyDescent="0.45"/>
    <row r="2853" ht="15.75" customHeight="1" x14ac:dyDescent="0.45"/>
    <row r="2854" ht="15.75" customHeight="1" x14ac:dyDescent="0.45"/>
    <row r="2855" ht="15.75" customHeight="1" x14ac:dyDescent="0.45"/>
    <row r="2856" ht="15.75" customHeight="1" x14ac:dyDescent="0.45"/>
    <row r="2857" ht="15.75" customHeight="1" x14ac:dyDescent="0.45"/>
    <row r="2858" ht="15.75" customHeight="1" x14ac:dyDescent="0.45"/>
    <row r="2859" ht="15.75" customHeight="1" x14ac:dyDescent="0.45"/>
    <row r="2860" ht="15.75" customHeight="1" x14ac:dyDescent="0.45"/>
    <row r="2861" ht="15.75" customHeight="1" x14ac:dyDescent="0.45"/>
    <row r="2862" ht="15.75" customHeight="1" x14ac:dyDescent="0.45"/>
    <row r="2863" ht="15.75" customHeight="1" x14ac:dyDescent="0.45"/>
    <row r="2864" ht="15.75" customHeight="1" x14ac:dyDescent="0.45"/>
    <row r="2865" ht="15.75" customHeight="1" x14ac:dyDescent="0.45"/>
    <row r="2866" ht="15.75" customHeight="1" x14ac:dyDescent="0.45"/>
    <row r="2867" ht="15.75" customHeight="1" x14ac:dyDescent="0.45"/>
    <row r="2868" ht="15.75" customHeight="1" x14ac:dyDescent="0.45"/>
    <row r="2869" ht="15.75" customHeight="1" x14ac:dyDescent="0.45"/>
    <row r="2870" ht="15.75" customHeight="1" x14ac:dyDescent="0.45"/>
    <row r="2871" ht="15.75" customHeight="1" x14ac:dyDescent="0.45"/>
    <row r="2872" ht="15.75" customHeight="1" x14ac:dyDescent="0.45"/>
    <row r="2873" ht="15.75" customHeight="1" x14ac:dyDescent="0.45"/>
    <row r="2874" ht="15.75" customHeight="1" x14ac:dyDescent="0.45"/>
    <row r="2875" ht="15.75" customHeight="1" x14ac:dyDescent="0.45"/>
    <row r="2876" ht="15.75" customHeight="1" x14ac:dyDescent="0.45"/>
    <row r="2877" ht="15.75" customHeight="1" x14ac:dyDescent="0.45"/>
    <row r="2878" ht="15.75" customHeight="1" x14ac:dyDescent="0.45"/>
    <row r="2879" ht="15.75" customHeight="1" x14ac:dyDescent="0.45"/>
    <row r="2880" ht="15.75" customHeight="1" x14ac:dyDescent="0.45"/>
    <row r="2881" ht="15.75" customHeight="1" x14ac:dyDescent="0.45"/>
    <row r="2882" ht="15.75" customHeight="1" x14ac:dyDescent="0.45"/>
    <row r="2883" ht="15.75" customHeight="1" x14ac:dyDescent="0.45"/>
    <row r="2884" ht="15.75" customHeight="1" x14ac:dyDescent="0.45"/>
    <row r="2885" ht="15.75" customHeight="1" x14ac:dyDescent="0.45"/>
    <row r="2886" ht="15.75" customHeight="1" x14ac:dyDescent="0.45"/>
    <row r="2887" ht="15.75" customHeight="1" x14ac:dyDescent="0.45"/>
    <row r="2888" ht="15.75" customHeight="1" x14ac:dyDescent="0.45"/>
    <row r="2889" ht="15.75" customHeight="1" x14ac:dyDescent="0.45"/>
    <row r="2890" ht="15.75" customHeight="1" x14ac:dyDescent="0.45"/>
    <row r="2891" ht="15.75" customHeight="1" x14ac:dyDescent="0.45"/>
    <row r="2892" ht="15.75" customHeight="1" x14ac:dyDescent="0.45"/>
    <row r="2893" ht="15.75" customHeight="1" x14ac:dyDescent="0.45"/>
    <row r="2894" ht="15.75" customHeight="1" x14ac:dyDescent="0.45"/>
    <row r="2895" ht="15.75" customHeight="1" x14ac:dyDescent="0.45"/>
    <row r="2896" ht="15.75" customHeight="1" x14ac:dyDescent="0.45"/>
    <row r="2897" ht="15.75" customHeight="1" x14ac:dyDescent="0.45"/>
    <row r="2898" ht="15.75" customHeight="1" x14ac:dyDescent="0.45"/>
    <row r="2899" ht="15.75" customHeight="1" x14ac:dyDescent="0.45"/>
    <row r="2900" ht="15.75" customHeight="1" x14ac:dyDescent="0.45"/>
    <row r="2901" ht="15.75" customHeight="1" x14ac:dyDescent="0.45"/>
    <row r="2902" ht="15.75" customHeight="1" x14ac:dyDescent="0.45"/>
    <row r="2903" ht="15.75" customHeight="1" x14ac:dyDescent="0.45"/>
    <row r="2904" ht="15.75" customHeight="1" x14ac:dyDescent="0.45"/>
    <row r="2905" ht="15.75" customHeight="1" x14ac:dyDescent="0.45"/>
    <row r="2906" ht="15.75" customHeight="1" x14ac:dyDescent="0.45"/>
    <row r="2907" ht="15.75" customHeight="1" x14ac:dyDescent="0.45"/>
    <row r="2908" ht="15.75" customHeight="1" x14ac:dyDescent="0.45"/>
    <row r="2909" ht="15.75" customHeight="1" x14ac:dyDescent="0.45"/>
    <row r="2910" ht="15.75" customHeight="1" x14ac:dyDescent="0.45"/>
    <row r="2911" ht="15.75" customHeight="1" x14ac:dyDescent="0.45"/>
    <row r="2912" ht="15.75" customHeight="1" x14ac:dyDescent="0.45"/>
    <row r="2913" ht="15.75" customHeight="1" x14ac:dyDescent="0.45"/>
    <row r="2914" ht="15.75" customHeight="1" x14ac:dyDescent="0.45"/>
    <row r="2915" ht="15.75" customHeight="1" x14ac:dyDescent="0.45"/>
    <row r="2916" ht="15.75" customHeight="1" x14ac:dyDescent="0.45"/>
    <row r="2917" ht="15.75" customHeight="1" x14ac:dyDescent="0.45"/>
    <row r="2918" ht="15.75" customHeight="1" x14ac:dyDescent="0.45"/>
    <row r="2919" ht="15.75" customHeight="1" x14ac:dyDescent="0.45"/>
    <row r="2920" ht="15.75" customHeight="1" x14ac:dyDescent="0.45"/>
    <row r="2921" ht="15.75" customHeight="1" x14ac:dyDescent="0.45"/>
    <row r="2922" ht="15.75" customHeight="1" x14ac:dyDescent="0.45"/>
    <row r="2923" ht="15.75" customHeight="1" x14ac:dyDescent="0.45"/>
    <row r="2924" ht="15.75" customHeight="1" x14ac:dyDescent="0.45"/>
    <row r="2925" ht="15.75" customHeight="1" x14ac:dyDescent="0.45"/>
    <row r="2926" ht="15.75" customHeight="1" x14ac:dyDescent="0.45"/>
    <row r="2927" ht="15.75" customHeight="1" x14ac:dyDescent="0.45"/>
    <row r="2928" ht="15.75" customHeight="1" x14ac:dyDescent="0.45"/>
    <row r="2929" ht="15.75" customHeight="1" x14ac:dyDescent="0.45"/>
    <row r="2930" ht="15.75" customHeight="1" x14ac:dyDescent="0.45"/>
    <row r="2931" ht="15.75" customHeight="1" x14ac:dyDescent="0.45"/>
    <row r="2932" ht="15.75" customHeight="1" x14ac:dyDescent="0.45"/>
    <row r="2933" ht="15.75" customHeight="1" x14ac:dyDescent="0.45"/>
    <row r="2934" ht="15.75" customHeight="1" x14ac:dyDescent="0.45"/>
    <row r="2935" ht="15.75" customHeight="1" x14ac:dyDescent="0.45"/>
    <row r="2936" ht="15.75" customHeight="1" x14ac:dyDescent="0.45"/>
    <row r="2937" ht="15.75" customHeight="1" x14ac:dyDescent="0.45"/>
    <row r="2938" ht="15.75" customHeight="1" x14ac:dyDescent="0.45"/>
    <row r="2939" ht="15.75" customHeight="1" x14ac:dyDescent="0.45"/>
    <row r="2940" ht="15.75" customHeight="1" x14ac:dyDescent="0.45"/>
    <row r="2941" ht="15.75" customHeight="1" x14ac:dyDescent="0.45"/>
    <row r="2942" ht="15.75" customHeight="1" x14ac:dyDescent="0.45"/>
    <row r="2943" ht="15.75" customHeight="1" x14ac:dyDescent="0.45"/>
    <row r="2944" ht="15.75" customHeight="1" x14ac:dyDescent="0.45"/>
    <row r="2945" ht="15.75" customHeight="1" x14ac:dyDescent="0.45"/>
    <row r="2946" ht="15.75" customHeight="1" x14ac:dyDescent="0.45"/>
    <row r="2947" ht="15.75" customHeight="1" x14ac:dyDescent="0.45"/>
    <row r="2948" ht="15.75" customHeight="1" x14ac:dyDescent="0.45"/>
    <row r="2949" ht="15.75" customHeight="1" x14ac:dyDescent="0.45"/>
    <row r="2950" ht="15.75" customHeight="1" x14ac:dyDescent="0.45"/>
    <row r="2951" ht="15.75" customHeight="1" x14ac:dyDescent="0.45"/>
    <row r="2952" ht="15.75" customHeight="1" x14ac:dyDescent="0.45"/>
    <row r="2953" ht="15.75" customHeight="1" x14ac:dyDescent="0.45"/>
    <row r="2954" ht="15.75" customHeight="1" x14ac:dyDescent="0.45"/>
    <row r="2955" ht="15.75" customHeight="1" x14ac:dyDescent="0.45"/>
    <row r="2956" ht="15.75" customHeight="1" x14ac:dyDescent="0.45"/>
    <row r="2957" ht="15.75" customHeight="1" x14ac:dyDescent="0.45"/>
    <row r="2958" ht="15.75" customHeight="1" x14ac:dyDescent="0.45"/>
    <row r="2959" ht="15.75" customHeight="1" x14ac:dyDescent="0.45"/>
    <row r="2960" ht="15.75" customHeight="1" x14ac:dyDescent="0.45"/>
    <row r="2961" ht="15.75" customHeight="1" x14ac:dyDescent="0.45"/>
    <row r="2962" ht="15.75" customHeight="1" x14ac:dyDescent="0.45"/>
    <row r="2963" ht="15.75" customHeight="1" x14ac:dyDescent="0.45"/>
    <row r="2964" ht="15.75" customHeight="1" x14ac:dyDescent="0.45"/>
    <row r="2965" ht="15.75" customHeight="1" x14ac:dyDescent="0.45"/>
    <row r="2966" ht="15.75" customHeight="1" x14ac:dyDescent="0.45"/>
    <row r="2967" ht="15.75" customHeight="1" x14ac:dyDescent="0.45"/>
    <row r="2968" ht="15.75" customHeight="1" x14ac:dyDescent="0.45"/>
    <row r="2969" ht="15.75" customHeight="1" x14ac:dyDescent="0.45"/>
    <row r="2970" ht="15.75" customHeight="1" x14ac:dyDescent="0.45"/>
    <row r="2971" ht="15.75" customHeight="1" x14ac:dyDescent="0.45"/>
    <row r="2972" ht="15.75" customHeight="1" x14ac:dyDescent="0.45"/>
    <row r="2973" ht="15.75" customHeight="1" x14ac:dyDescent="0.45"/>
    <row r="2974" ht="15.75" customHeight="1" x14ac:dyDescent="0.45"/>
    <row r="2975" ht="15.75" customHeight="1" x14ac:dyDescent="0.45"/>
    <row r="2976" ht="15.75" customHeight="1" x14ac:dyDescent="0.45"/>
    <row r="2977" ht="15.75" customHeight="1" x14ac:dyDescent="0.45"/>
    <row r="2978" ht="15.75" customHeight="1" x14ac:dyDescent="0.45"/>
    <row r="2979" ht="15.75" customHeight="1" x14ac:dyDescent="0.45"/>
    <row r="2980" ht="15.75" customHeight="1" x14ac:dyDescent="0.45"/>
    <row r="2981" ht="15.75" customHeight="1" x14ac:dyDescent="0.45"/>
    <row r="2982" ht="15.75" customHeight="1" x14ac:dyDescent="0.45"/>
    <row r="2983" ht="15.75" customHeight="1" x14ac:dyDescent="0.45"/>
    <row r="2984" ht="15.75" customHeight="1" x14ac:dyDescent="0.45"/>
    <row r="2985" ht="15.75" customHeight="1" x14ac:dyDescent="0.45"/>
    <row r="2986" ht="15.75" customHeight="1" x14ac:dyDescent="0.45"/>
    <row r="2987" ht="15.75" customHeight="1" x14ac:dyDescent="0.45"/>
    <row r="2988" ht="15.75" customHeight="1" x14ac:dyDescent="0.45"/>
    <row r="2989" ht="15.75" customHeight="1" x14ac:dyDescent="0.45"/>
    <row r="2990" ht="15.75" customHeight="1" x14ac:dyDescent="0.45"/>
    <row r="2991" ht="15.75" customHeight="1" x14ac:dyDescent="0.45"/>
    <row r="2992" ht="15.75" customHeight="1" x14ac:dyDescent="0.45"/>
    <row r="2993" ht="15.75" customHeight="1" x14ac:dyDescent="0.45"/>
    <row r="2994" ht="15.75" customHeight="1" x14ac:dyDescent="0.45"/>
    <row r="2995" ht="15.75" customHeight="1" x14ac:dyDescent="0.45"/>
    <row r="2996" ht="15.75" customHeight="1" x14ac:dyDescent="0.45"/>
    <row r="2997" ht="15.75" customHeight="1" x14ac:dyDescent="0.45"/>
    <row r="2998" ht="15.75" customHeight="1" x14ac:dyDescent="0.45"/>
    <row r="2999" ht="15.75" customHeight="1" x14ac:dyDescent="0.45"/>
    <row r="3000" ht="15.75" customHeight="1" x14ac:dyDescent="0.45"/>
    <row r="3001" ht="15.75" customHeight="1" x14ac:dyDescent="0.45"/>
    <row r="3002" ht="15.75" customHeight="1" x14ac:dyDescent="0.45"/>
    <row r="3003" ht="15.75" customHeight="1" x14ac:dyDescent="0.45"/>
    <row r="3004" ht="15.75" customHeight="1" x14ac:dyDescent="0.45"/>
    <row r="3005" ht="15.75" customHeight="1" x14ac:dyDescent="0.45"/>
    <row r="3006" ht="15.75" customHeight="1" x14ac:dyDescent="0.45"/>
    <row r="3007" ht="15.75" customHeight="1" x14ac:dyDescent="0.45"/>
    <row r="3008" ht="15.75" customHeight="1" x14ac:dyDescent="0.45"/>
    <row r="3009" ht="15.75" customHeight="1" x14ac:dyDescent="0.45"/>
    <row r="3010" ht="15.75" customHeight="1" x14ac:dyDescent="0.45"/>
    <row r="3011" ht="15.75" customHeight="1" x14ac:dyDescent="0.45"/>
    <row r="3012" ht="15.75" customHeight="1" x14ac:dyDescent="0.45"/>
    <row r="3013" ht="15.75" customHeight="1" x14ac:dyDescent="0.45"/>
    <row r="3014" ht="15.75" customHeight="1" x14ac:dyDescent="0.45"/>
    <row r="3015" ht="15.75" customHeight="1" x14ac:dyDescent="0.45"/>
    <row r="3016" ht="15.75" customHeight="1" x14ac:dyDescent="0.45"/>
    <row r="3017" ht="15.75" customHeight="1" x14ac:dyDescent="0.45"/>
    <row r="3018" ht="15.75" customHeight="1" x14ac:dyDescent="0.45"/>
    <row r="3019" ht="15.75" customHeight="1" x14ac:dyDescent="0.45"/>
    <row r="3020" ht="15.75" customHeight="1" x14ac:dyDescent="0.45"/>
    <row r="3021" ht="15.75" customHeight="1" x14ac:dyDescent="0.45"/>
    <row r="3022" ht="15.75" customHeight="1" x14ac:dyDescent="0.45"/>
    <row r="3023" ht="15.75" customHeight="1" x14ac:dyDescent="0.45"/>
    <row r="3024" ht="15.75" customHeight="1" x14ac:dyDescent="0.45"/>
    <row r="3025" ht="15.75" customHeight="1" x14ac:dyDescent="0.45"/>
    <row r="3026" ht="15.75" customHeight="1" x14ac:dyDescent="0.45"/>
    <row r="3027" ht="15.75" customHeight="1" x14ac:dyDescent="0.45"/>
    <row r="3028" ht="15.75" customHeight="1" x14ac:dyDescent="0.45"/>
    <row r="3029" ht="15.75" customHeight="1" x14ac:dyDescent="0.45"/>
    <row r="3030" ht="15.75" customHeight="1" x14ac:dyDescent="0.45"/>
    <row r="3031" ht="15.75" customHeight="1" x14ac:dyDescent="0.45"/>
    <row r="3032" ht="15.75" customHeight="1" x14ac:dyDescent="0.45"/>
    <row r="3033" ht="15.75" customHeight="1" x14ac:dyDescent="0.45"/>
    <row r="3034" ht="15.75" customHeight="1" x14ac:dyDescent="0.45"/>
    <row r="3035" ht="15.75" customHeight="1" x14ac:dyDescent="0.45"/>
    <row r="3036" ht="15.75" customHeight="1" x14ac:dyDescent="0.45"/>
    <row r="3037" ht="15.75" customHeight="1" x14ac:dyDescent="0.45"/>
    <row r="3038" ht="15.75" customHeight="1" x14ac:dyDescent="0.45"/>
    <row r="3039" ht="15.75" customHeight="1" x14ac:dyDescent="0.45"/>
    <row r="3040" ht="15.75" customHeight="1" x14ac:dyDescent="0.45"/>
    <row r="3041" ht="15.75" customHeight="1" x14ac:dyDescent="0.45"/>
    <row r="3042" ht="15.75" customHeight="1" x14ac:dyDescent="0.45"/>
    <row r="3043" ht="15.75" customHeight="1" x14ac:dyDescent="0.45"/>
    <row r="3044" ht="15.75" customHeight="1" x14ac:dyDescent="0.45"/>
    <row r="3045" ht="15.75" customHeight="1" x14ac:dyDescent="0.45"/>
    <row r="3046" ht="15.75" customHeight="1" x14ac:dyDescent="0.45"/>
    <row r="3047" ht="15.75" customHeight="1" x14ac:dyDescent="0.45"/>
    <row r="3048" ht="15.75" customHeight="1" x14ac:dyDescent="0.45"/>
    <row r="3049" ht="15.75" customHeight="1" x14ac:dyDescent="0.45"/>
    <row r="3050" ht="15.75" customHeight="1" x14ac:dyDescent="0.45"/>
    <row r="3051" ht="15.75" customHeight="1" x14ac:dyDescent="0.45"/>
    <row r="3052" ht="15.75" customHeight="1" x14ac:dyDescent="0.45"/>
    <row r="3053" ht="15.75" customHeight="1" x14ac:dyDescent="0.45"/>
    <row r="3054" ht="15.75" customHeight="1" x14ac:dyDescent="0.45"/>
    <row r="3055" ht="15.75" customHeight="1" x14ac:dyDescent="0.45"/>
    <row r="3056" ht="15.75" customHeight="1" x14ac:dyDescent="0.45"/>
    <row r="3057" ht="15.75" customHeight="1" x14ac:dyDescent="0.45"/>
    <row r="3058" ht="15.75" customHeight="1" x14ac:dyDescent="0.45"/>
    <row r="3059" ht="15.75" customHeight="1" x14ac:dyDescent="0.45"/>
    <row r="3060" ht="15.75" customHeight="1" x14ac:dyDescent="0.45"/>
    <row r="3061" ht="15.75" customHeight="1" x14ac:dyDescent="0.45"/>
    <row r="3062" ht="15.75" customHeight="1" x14ac:dyDescent="0.45"/>
    <row r="3063" ht="15.75" customHeight="1" x14ac:dyDescent="0.45"/>
    <row r="3064" ht="15.75" customHeight="1" x14ac:dyDescent="0.45"/>
    <row r="3065" ht="15.75" customHeight="1" x14ac:dyDescent="0.45"/>
    <row r="3066" ht="15.75" customHeight="1" x14ac:dyDescent="0.45"/>
    <row r="3067" ht="15.75" customHeight="1" x14ac:dyDescent="0.45"/>
    <row r="3068" ht="15.75" customHeight="1" x14ac:dyDescent="0.45"/>
    <row r="3069" ht="15.75" customHeight="1" x14ac:dyDescent="0.45"/>
    <row r="3070" ht="15.75" customHeight="1" x14ac:dyDescent="0.45"/>
    <row r="3071" ht="15.75" customHeight="1" x14ac:dyDescent="0.45"/>
    <row r="3072" ht="15.75" customHeight="1" x14ac:dyDescent="0.45"/>
    <row r="3073" ht="15.75" customHeight="1" x14ac:dyDescent="0.45"/>
    <row r="3074" ht="15.75" customHeight="1" x14ac:dyDescent="0.45"/>
    <row r="3075" ht="15.75" customHeight="1" x14ac:dyDescent="0.45"/>
    <row r="3076" ht="15.75" customHeight="1" x14ac:dyDescent="0.45"/>
    <row r="3077" ht="15.75" customHeight="1" x14ac:dyDescent="0.45"/>
    <row r="3078" ht="15.75" customHeight="1" x14ac:dyDescent="0.45"/>
    <row r="3079" ht="15.75" customHeight="1" x14ac:dyDescent="0.45"/>
    <row r="3080" ht="15.75" customHeight="1" x14ac:dyDescent="0.45"/>
    <row r="3081" ht="15.75" customHeight="1" x14ac:dyDescent="0.45"/>
    <row r="3082" ht="15.75" customHeight="1" x14ac:dyDescent="0.45"/>
    <row r="3083" ht="15.75" customHeight="1" x14ac:dyDescent="0.45"/>
    <row r="3084" ht="15.75" customHeight="1" x14ac:dyDescent="0.45"/>
    <row r="3085" ht="15.75" customHeight="1" x14ac:dyDescent="0.45"/>
    <row r="3086" ht="15.75" customHeight="1" x14ac:dyDescent="0.45"/>
    <row r="3087" ht="15.75" customHeight="1" x14ac:dyDescent="0.45"/>
    <row r="3088" ht="15.75" customHeight="1" x14ac:dyDescent="0.45"/>
    <row r="3089" ht="15.75" customHeight="1" x14ac:dyDescent="0.45"/>
    <row r="3090" ht="15.75" customHeight="1" x14ac:dyDescent="0.45"/>
    <row r="3091" ht="15.75" customHeight="1" x14ac:dyDescent="0.45"/>
    <row r="3092" ht="15.75" customHeight="1" x14ac:dyDescent="0.45"/>
    <row r="3093" ht="15.75" customHeight="1" x14ac:dyDescent="0.45"/>
    <row r="3094" ht="15.75" customHeight="1" x14ac:dyDescent="0.45"/>
    <row r="3095" ht="15.75" customHeight="1" x14ac:dyDescent="0.45"/>
    <row r="3096" ht="15.75" customHeight="1" x14ac:dyDescent="0.45"/>
    <row r="3097" ht="15.75" customHeight="1" x14ac:dyDescent="0.45"/>
    <row r="3098" ht="15.75" customHeight="1" x14ac:dyDescent="0.45"/>
    <row r="3099" ht="15.75" customHeight="1" x14ac:dyDescent="0.45"/>
    <row r="3100" ht="15.75" customHeight="1" x14ac:dyDescent="0.45"/>
    <row r="3101" ht="15.75" customHeight="1" x14ac:dyDescent="0.45"/>
    <row r="3102" ht="15.75" customHeight="1" x14ac:dyDescent="0.45"/>
    <row r="3103" ht="15.75" customHeight="1" x14ac:dyDescent="0.45"/>
    <row r="3104" ht="15.75" customHeight="1" x14ac:dyDescent="0.45"/>
    <row r="3105" ht="15.75" customHeight="1" x14ac:dyDescent="0.45"/>
    <row r="3106" ht="15.75" customHeight="1" x14ac:dyDescent="0.45"/>
    <row r="3107" ht="15.75" customHeight="1" x14ac:dyDescent="0.45"/>
    <row r="3108" ht="15.75" customHeight="1" x14ac:dyDescent="0.45"/>
    <row r="3109" ht="15.75" customHeight="1" x14ac:dyDescent="0.45"/>
    <row r="3110" ht="15.75" customHeight="1" x14ac:dyDescent="0.45"/>
    <row r="3111" ht="15.75" customHeight="1" x14ac:dyDescent="0.45"/>
    <row r="3112" ht="15.75" customHeight="1" x14ac:dyDescent="0.45"/>
    <row r="3113" ht="15.75" customHeight="1" x14ac:dyDescent="0.45"/>
    <row r="3114" ht="15.75" customHeight="1" x14ac:dyDescent="0.45"/>
    <row r="3115" ht="15.75" customHeight="1" x14ac:dyDescent="0.45"/>
    <row r="3116" ht="15.75" customHeight="1" x14ac:dyDescent="0.45"/>
    <row r="3117" ht="15.75" customHeight="1" x14ac:dyDescent="0.45"/>
    <row r="3118" ht="15.75" customHeight="1" x14ac:dyDescent="0.45"/>
    <row r="3119" ht="15.75" customHeight="1" x14ac:dyDescent="0.45"/>
    <row r="3120" ht="15.75" customHeight="1" x14ac:dyDescent="0.45"/>
    <row r="3121" ht="15.75" customHeight="1" x14ac:dyDescent="0.45"/>
    <row r="3122" ht="15.75" customHeight="1" x14ac:dyDescent="0.45"/>
    <row r="3123" ht="15.75" customHeight="1" x14ac:dyDescent="0.45"/>
    <row r="3124" ht="15.75" customHeight="1" x14ac:dyDescent="0.45"/>
    <row r="3125" ht="15.75" customHeight="1" x14ac:dyDescent="0.45"/>
    <row r="3126" ht="15.75" customHeight="1" x14ac:dyDescent="0.45"/>
    <row r="3127" ht="15.75" customHeight="1" x14ac:dyDescent="0.45"/>
    <row r="3128" ht="15.75" customHeight="1" x14ac:dyDescent="0.45"/>
    <row r="3129" ht="15.75" customHeight="1" x14ac:dyDescent="0.45"/>
    <row r="3130" ht="15.75" customHeight="1" x14ac:dyDescent="0.45"/>
    <row r="3131" ht="15.75" customHeight="1" x14ac:dyDescent="0.45"/>
    <row r="3132" ht="15.75" customHeight="1" x14ac:dyDescent="0.45"/>
    <row r="3133" ht="15.75" customHeight="1" x14ac:dyDescent="0.45"/>
    <row r="3134" ht="15.75" customHeight="1" x14ac:dyDescent="0.45"/>
    <row r="3135" ht="15.75" customHeight="1" x14ac:dyDescent="0.45"/>
    <row r="3136" ht="15.75" customHeight="1" x14ac:dyDescent="0.45"/>
    <row r="3137" ht="15.75" customHeight="1" x14ac:dyDescent="0.45"/>
    <row r="3138" ht="15.75" customHeight="1" x14ac:dyDescent="0.45"/>
    <row r="3139" ht="15.75" customHeight="1" x14ac:dyDescent="0.45"/>
    <row r="3140" ht="15.75" customHeight="1" x14ac:dyDescent="0.45"/>
    <row r="3141" ht="15.75" customHeight="1" x14ac:dyDescent="0.45"/>
    <row r="3142" ht="15.75" customHeight="1" x14ac:dyDescent="0.45"/>
    <row r="3143" ht="15.75" customHeight="1" x14ac:dyDescent="0.45"/>
    <row r="3144" ht="15.75" customHeight="1" x14ac:dyDescent="0.45"/>
    <row r="3145" ht="15.75" customHeight="1" x14ac:dyDescent="0.45"/>
    <row r="3146" ht="15.75" customHeight="1" x14ac:dyDescent="0.45"/>
    <row r="3147" ht="15.75" customHeight="1" x14ac:dyDescent="0.45"/>
    <row r="3148" ht="15.75" customHeight="1" x14ac:dyDescent="0.45"/>
    <row r="3149" ht="15.75" customHeight="1" x14ac:dyDescent="0.45"/>
    <row r="3150" ht="15.75" customHeight="1" x14ac:dyDescent="0.45"/>
    <row r="3151" ht="15.75" customHeight="1" x14ac:dyDescent="0.45"/>
    <row r="3152" ht="15.75" customHeight="1" x14ac:dyDescent="0.45"/>
    <row r="3153" ht="15.75" customHeight="1" x14ac:dyDescent="0.45"/>
    <row r="3154" ht="15.75" customHeight="1" x14ac:dyDescent="0.45"/>
    <row r="3155" ht="15.75" customHeight="1" x14ac:dyDescent="0.45"/>
    <row r="3156" ht="15.75" customHeight="1" x14ac:dyDescent="0.45"/>
    <row r="3157" ht="15.75" customHeight="1" x14ac:dyDescent="0.45"/>
    <row r="3158" ht="15.75" customHeight="1" x14ac:dyDescent="0.45"/>
    <row r="3159" ht="15.75" customHeight="1" x14ac:dyDescent="0.45"/>
    <row r="3160" ht="15.75" customHeight="1" x14ac:dyDescent="0.45"/>
    <row r="3161" ht="15.75" customHeight="1" x14ac:dyDescent="0.45"/>
    <row r="3162" ht="15.75" customHeight="1" x14ac:dyDescent="0.45"/>
    <row r="3163" ht="15.75" customHeight="1" x14ac:dyDescent="0.45"/>
    <row r="3164" ht="15.75" customHeight="1" x14ac:dyDescent="0.45"/>
    <row r="3165" ht="15.75" customHeight="1" x14ac:dyDescent="0.45"/>
    <row r="3166" ht="15.75" customHeight="1" x14ac:dyDescent="0.45"/>
    <row r="3167" ht="15.75" customHeight="1" x14ac:dyDescent="0.45"/>
    <row r="3168" ht="15.75" customHeight="1" x14ac:dyDescent="0.45"/>
    <row r="3169" ht="15.75" customHeight="1" x14ac:dyDescent="0.45"/>
    <row r="3170" ht="15.75" customHeight="1" x14ac:dyDescent="0.45"/>
    <row r="3171" ht="15.75" customHeight="1" x14ac:dyDescent="0.45"/>
    <row r="3172" ht="15.75" customHeight="1" x14ac:dyDescent="0.45"/>
    <row r="3173" ht="15.75" customHeight="1" x14ac:dyDescent="0.45"/>
    <row r="3174" ht="15.75" customHeight="1" x14ac:dyDescent="0.45"/>
    <row r="3175" ht="15.75" customHeight="1" x14ac:dyDescent="0.45"/>
    <row r="3176" ht="15.75" customHeight="1" x14ac:dyDescent="0.45"/>
    <row r="3177" ht="15.75" customHeight="1" x14ac:dyDescent="0.45"/>
    <row r="3178" ht="15.75" customHeight="1" x14ac:dyDescent="0.45"/>
    <row r="3179" ht="15.75" customHeight="1" x14ac:dyDescent="0.45"/>
    <row r="3180" ht="15.75" customHeight="1" x14ac:dyDescent="0.45"/>
    <row r="3181" ht="15.75" customHeight="1" x14ac:dyDescent="0.45"/>
    <row r="3182" ht="15.75" customHeight="1" x14ac:dyDescent="0.45"/>
    <row r="3183" ht="15.75" customHeight="1" x14ac:dyDescent="0.45"/>
    <row r="3184" ht="15.75" customHeight="1" x14ac:dyDescent="0.45"/>
    <row r="3185" ht="15.75" customHeight="1" x14ac:dyDescent="0.45"/>
    <row r="3186" ht="15.75" customHeight="1" x14ac:dyDescent="0.45"/>
    <row r="3187" ht="15.75" customHeight="1" x14ac:dyDescent="0.45"/>
    <row r="3188" ht="15.75" customHeight="1" x14ac:dyDescent="0.45"/>
    <row r="3189" ht="15.75" customHeight="1" x14ac:dyDescent="0.45"/>
    <row r="3190" ht="15.75" customHeight="1" x14ac:dyDescent="0.45"/>
    <row r="3191" ht="15.75" customHeight="1" x14ac:dyDescent="0.45"/>
    <row r="3192" ht="15.75" customHeight="1" x14ac:dyDescent="0.45"/>
    <row r="3193" ht="15.75" customHeight="1" x14ac:dyDescent="0.45"/>
    <row r="3194" ht="15.75" customHeight="1" x14ac:dyDescent="0.45"/>
    <row r="3195" ht="15.75" customHeight="1" x14ac:dyDescent="0.45"/>
    <row r="3196" ht="15.75" customHeight="1" x14ac:dyDescent="0.45"/>
    <row r="3197" ht="15.75" customHeight="1" x14ac:dyDescent="0.45"/>
    <row r="3198" ht="15.75" customHeight="1" x14ac:dyDescent="0.45"/>
    <row r="3199" ht="15.75" customHeight="1" x14ac:dyDescent="0.45"/>
    <row r="3200" ht="15.75" customHeight="1" x14ac:dyDescent="0.45"/>
    <row r="3201" ht="15.75" customHeight="1" x14ac:dyDescent="0.45"/>
    <row r="3202" ht="15.75" customHeight="1" x14ac:dyDescent="0.45"/>
    <row r="3203" ht="15.75" customHeight="1" x14ac:dyDescent="0.45"/>
    <row r="3204" ht="15.75" customHeight="1" x14ac:dyDescent="0.45"/>
    <row r="3205" ht="15.75" customHeight="1" x14ac:dyDescent="0.45"/>
    <row r="3206" ht="15.75" customHeight="1" x14ac:dyDescent="0.45"/>
    <row r="3207" ht="15.75" customHeight="1" x14ac:dyDescent="0.45"/>
    <row r="3208" ht="15.75" customHeight="1" x14ac:dyDescent="0.45"/>
    <row r="3209" ht="15.75" customHeight="1" x14ac:dyDescent="0.45"/>
    <row r="3210" ht="15.75" customHeight="1" x14ac:dyDescent="0.45"/>
    <row r="3211" ht="15.75" customHeight="1" x14ac:dyDescent="0.45"/>
    <row r="3212" ht="15.75" customHeight="1" x14ac:dyDescent="0.45"/>
    <row r="3213" ht="15.75" customHeight="1" x14ac:dyDescent="0.45"/>
    <row r="3214" ht="15.75" customHeight="1" x14ac:dyDescent="0.45"/>
    <row r="3215" ht="15.75" customHeight="1" x14ac:dyDescent="0.45"/>
    <row r="3216" ht="15.75" customHeight="1" x14ac:dyDescent="0.45"/>
    <row r="3217" ht="15.75" customHeight="1" x14ac:dyDescent="0.45"/>
    <row r="3218" ht="15.75" customHeight="1" x14ac:dyDescent="0.45"/>
    <row r="3219" ht="15.75" customHeight="1" x14ac:dyDescent="0.45"/>
    <row r="3220" ht="15.75" customHeight="1" x14ac:dyDescent="0.45"/>
    <row r="3221" ht="15.75" customHeight="1" x14ac:dyDescent="0.45"/>
    <row r="3222" ht="15.75" customHeight="1" x14ac:dyDescent="0.45"/>
    <row r="3223" ht="15.75" customHeight="1" x14ac:dyDescent="0.45"/>
    <row r="3224" ht="15.75" customHeight="1" x14ac:dyDescent="0.45"/>
    <row r="3225" ht="15.75" customHeight="1" x14ac:dyDescent="0.45"/>
    <row r="3226" ht="15.75" customHeight="1" x14ac:dyDescent="0.45"/>
    <row r="3227" ht="15.75" customHeight="1" x14ac:dyDescent="0.45"/>
    <row r="3228" ht="15.75" customHeight="1" x14ac:dyDescent="0.45"/>
    <row r="3229" ht="15.75" customHeight="1" x14ac:dyDescent="0.45"/>
    <row r="3230" ht="15.75" customHeight="1" x14ac:dyDescent="0.45"/>
    <row r="3231" ht="15.75" customHeight="1" x14ac:dyDescent="0.45"/>
    <row r="3232" ht="15.75" customHeight="1" x14ac:dyDescent="0.45"/>
    <row r="3233" ht="15.75" customHeight="1" x14ac:dyDescent="0.45"/>
    <row r="3234" ht="15.75" customHeight="1" x14ac:dyDescent="0.45"/>
    <row r="3235" ht="15.75" customHeight="1" x14ac:dyDescent="0.45"/>
    <row r="3236" ht="15.75" customHeight="1" x14ac:dyDescent="0.45"/>
    <row r="3237" ht="15.75" customHeight="1" x14ac:dyDescent="0.45"/>
    <row r="3238" ht="15.75" customHeight="1" x14ac:dyDescent="0.45"/>
    <row r="3239" ht="15.75" customHeight="1" x14ac:dyDescent="0.45"/>
    <row r="3240" ht="15.75" customHeight="1" x14ac:dyDescent="0.45"/>
    <row r="3241" ht="15.75" customHeight="1" x14ac:dyDescent="0.45"/>
    <row r="3242" ht="15.75" customHeight="1" x14ac:dyDescent="0.45"/>
    <row r="3243" ht="15.75" customHeight="1" x14ac:dyDescent="0.45"/>
    <row r="3244" ht="15.75" customHeight="1" x14ac:dyDescent="0.45"/>
    <row r="3245" ht="15.75" customHeight="1" x14ac:dyDescent="0.45"/>
    <row r="3246" ht="15.75" customHeight="1" x14ac:dyDescent="0.45"/>
    <row r="3247" ht="15.75" customHeight="1" x14ac:dyDescent="0.45"/>
    <row r="3248" ht="15.75" customHeight="1" x14ac:dyDescent="0.45"/>
    <row r="3249" ht="15.75" customHeight="1" x14ac:dyDescent="0.45"/>
    <row r="3250" ht="15.75" customHeight="1" x14ac:dyDescent="0.45"/>
    <row r="3251" ht="15.75" customHeight="1" x14ac:dyDescent="0.45"/>
    <row r="3252" ht="15.75" customHeight="1" x14ac:dyDescent="0.45"/>
    <row r="3253" ht="15.75" customHeight="1" x14ac:dyDescent="0.45"/>
    <row r="3254" ht="15.75" customHeight="1" x14ac:dyDescent="0.45"/>
    <row r="3255" ht="15.75" customHeight="1" x14ac:dyDescent="0.45"/>
    <row r="3256" ht="15.75" customHeight="1" x14ac:dyDescent="0.45"/>
    <row r="3257" ht="15.75" customHeight="1" x14ac:dyDescent="0.45"/>
    <row r="3258" ht="15.75" customHeight="1" x14ac:dyDescent="0.45"/>
    <row r="3259" ht="15.75" customHeight="1" x14ac:dyDescent="0.45"/>
    <row r="3260" ht="15.75" customHeight="1" x14ac:dyDescent="0.45"/>
    <row r="3261" ht="15.75" customHeight="1" x14ac:dyDescent="0.45"/>
    <row r="3262" ht="15.75" customHeight="1" x14ac:dyDescent="0.45"/>
    <row r="3263" ht="15.75" customHeight="1" x14ac:dyDescent="0.45"/>
    <row r="3264" ht="15.75" customHeight="1" x14ac:dyDescent="0.45"/>
    <row r="3265" ht="15.75" customHeight="1" x14ac:dyDescent="0.45"/>
    <row r="3266" ht="15.75" customHeight="1" x14ac:dyDescent="0.45"/>
    <row r="3267" ht="15.75" customHeight="1" x14ac:dyDescent="0.45"/>
    <row r="3268" ht="15.75" customHeight="1" x14ac:dyDescent="0.45"/>
    <row r="3269" ht="15.75" customHeight="1" x14ac:dyDescent="0.45"/>
    <row r="3270" ht="15.75" customHeight="1" x14ac:dyDescent="0.45"/>
    <row r="3271" ht="15.75" customHeight="1" x14ac:dyDescent="0.45"/>
    <row r="3272" ht="15.75" customHeight="1" x14ac:dyDescent="0.45"/>
    <row r="3273" ht="15.75" customHeight="1" x14ac:dyDescent="0.45"/>
    <row r="3274" ht="15.75" customHeight="1" x14ac:dyDescent="0.45"/>
    <row r="3275" ht="15.75" customHeight="1" x14ac:dyDescent="0.45"/>
    <row r="3276" ht="15.75" customHeight="1" x14ac:dyDescent="0.45"/>
    <row r="3277" ht="15.75" customHeight="1" x14ac:dyDescent="0.45"/>
    <row r="3278" ht="15.75" customHeight="1" x14ac:dyDescent="0.45"/>
    <row r="3279" ht="15.75" customHeight="1" x14ac:dyDescent="0.45"/>
    <row r="3280" ht="15.75" customHeight="1" x14ac:dyDescent="0.45"/>
    <row r="3281" ht="15.75" customHeight="1" x14ac:dyDescent="0.45"/>
    <row r="3282" ht="15.75" customHeight="1" x14ac:dyDescent="0.45"/>
    <row r="3283" ht="15.75" customHeight="1" x14ac:dyDescent="0.45"/>
    <row r="3284" ht="15.75" customHeight="1" x14ac:dyDescent="0.45"/>
    <row r="3285" ht="15.75" customHeight="1" x14ac:dyDescent="0.45"/>
    <row r="3286" ht="15.75" customHeight="1" x14ac:dyDescent="0.45"/>
    <row r="3287" ht="15.75" customHeight="1" x14ac:dyDescent="0.45"/>
    <row r="3288" ht="15.75" customHeight="1" x14ac:dyDescent="0.45"/>
    <row r="3289" ht="15.75" customHeight="1" x14ac:dyDescent="0.45"/>
    <row r="3290" ht="15.75" customHeight="1" x14ac:dyDescent="0.45"/>
    <row r="3291" ht="15.75" customHeight="1" x14ac:dyDescent="0.45"/>
    <row r="3292" ht="15.75" customHeight="1" x14ac:dyDescent="0.45"/>
    <row r="3293" ht="15.75" customHeight="1" x14ac:dyDescent="0.45"/>
    <row r="3294" ht="15.75" customHeight="1" x14ac:dyDescent="0.45"/>
    <row r="3295" ht="15.75" customHeight="1" x14ac:dyDescent="0.45"/>
    <row r="3296" ht="15.75" customHeight="1" x14ac:dyDescent="0.45"/>
    <row r="3297" ht="15.75" customHeight="1" x14ac:dyDescent="0.45"/>
    <row r="3298" ht="15.75" customHeight="1" x14ac:dyDescent="0.45"/>
    <row r="3299" ht="15.75" customHeight="1" x14ac:dyDescent="0.45"/>
    <row r="3300" ht="15.75" customHeight="1" x14ac:dyDescent="0.45"/>
    <row r="3301" ht="15.75" customHeight="1" x14ac:dyDescent="0.45"/>
    <row r="3302" ht="15.75" customHeight="1" x14ac:dyDescent="0.45"/>
    <row r="3303" ht="15.75" customHeight="1" x14ac:dyDescent="0.45"/>
    <row r="3304" ht="15.75" customHeight="1" x14ac:dyDescent="0.45"/>
    <row r="3305" ht="15.75" customHeight="1" x14ac:dyDescent="0.45"/>
    <row r="3306" ht="15.75" customHeight="1" x14ac:dyDescent="0.45"/>
    <row r="3307" ht="15.75" customHeight="1" x14ac:dyDescent="0.45"/>
    <row r="3308" ht="15.75" customHeight="1" x14ac:dyDescent="0.45"/>
    <row r="3309" ht="15.75" customHeight="1" x14ac:dyDescent="0.45"/>
    <row r="3310" ht="15.75" customHeight="1" x14ac:dyDescent="0.45"/>
    <row r="3311" ht="15.75" customHeight="1" x14ac:dyDescent="0.45"/>
    <row r="3312" ht="15.75" customHeight="1" x14ac:dyDescent="0.45"/>
    <row r="3313" ht="15.75" customHeight="1" x14ac:dyDescent="0.45"/>
    <row r="3314" ht="15.75" customHeight="1" x14ac:dyDescent="0.45"/>
    <row r="3315" ht="15.75" customHeight="1" x14ac:dyDescent="0.45"/>
    <row r="3316" ht="15.75" customHeight="1" x14ac:dyDescent="0.45"/>
    <row r="3317" ht="15.75" customHeight="1" x14ac:dyDescent="0.45"/>
    <row r="3318" ht="15.75" customHeight="1" x14ac:dyDescent="0.45"/>
    <row r="3319" ht="15.75" customHeight="1" x14ac:dyDescent="0.45"/>
    <row r="3320" ht="15.75" customHeight="1" x14ac:dyDescent="0.45"/>
    <row r="3321" ht="15.75" customHeight="1" x14ac:dyDescent="0.45"/>
    <row r="3322" ht="15.75" customHeight="1" x14ac:dyDescent="0.45"/>
    <row r="3323" ht="15.75" customHeight="1" x14ac:dyDescent="0.45"/>
    <row r="3324" ht="15.75" customHeight="1" x14ac:dyDescent="0.45"/>
    <row r="3325" ht="15.75" customHeight="1" x14ac:dyDescent="0.45"/>
    <row r="3326" ht="15.75" customHeight="1" x14ac:dyDescent="0.45"/>
    <row r="3327" ht="15.75" customHeight="1" x14ac:dyDescent="0.45"/>
    <row r="3328" ht="15.75" customHeight="1" x14ac:dyDescent="0.45"/>
    <row r="3329" ht="15.75" customHeight="1" x14ac:dyDescent="0.45"/>
    <row r="3330" ht="15.75" customHeight="1" x14ac:dyDescent="0.45"/>
    <row r="3331" ht="15.75" customHeight="1" x14ac:dyDescent="0.45"/>
    <row r="3332" ht="15.75" customHeight="1" x14ac:dyDescent="0.45"/>
    <row r="3333" ht="15.75" customHeight="1" x14ac:dyDescent="0.45"/>
    <row r="3334" ht="15.75" customHeight="1" x14ac:dyDescent="0.45"/>
    <row r="3335" ht="15.75" customHeight="1" x14ac:dyDescent="0.45"/>
    <row r="3336" ht="15.75" customHeight="1" x14ac:dyDescent="0.45"/>
    <row r="3337" ht="15.75" customHeight="1" x14ac:dyDescent="0.45"/>
    <row r="3338" ht="15.75" customHeight="1" x14ac:dyDescent="0.45"/>
    <row r="3339" ht="15.75" customHeight="1" x14ac:dyDescent="0.45"/>
    <row r="3340" ht="15.75" customHeight="1" x14ac:dyDescent="0.45"/>
    <row r="3341" ht="15.75" customHeight="1" x14ac:dyDescent="0.45"/>
    <row r="3342" ht="15.75" customHeight="1" x14ac:dyDescent="0.45"/>
    <row r="3343" ht="15.75" customHeight="1" x14ac:dyDescent="0.45"/>
    <row r="3344" ht="15.75" customHeight="1" x14ac:dyDescent="0.45"/>
    <row r="3345" ht="15.75" customHeight="1" x14ac:dyDescent="0.45"/>
    <row r="3346" ht="15.75" customHeight="1" x14ac:dyDescent="0.45"/>
    <row r="3347" ht="15.75" customHeight="1" x14ac:dyDescent="0.45"/>
    <row r="3348" ht="15.75" customHeight="1" x14ac:dyDescent="0.45"/>
    <row r="3349" ht="15.75" customHeight="1" x14ac:dyDescent="0.45"/>
    <row r="3350" ht="15.75" customHeight="1" x14ac:dyDescent="0.45"/>
    <row r="3351" ht="15.75" customHeight="1" x14ac:dyDescent="0.45"/>
    <row r="3352" ht="15.75" customHeight="1" x14ac:dyDescent="0.45"/>
    <row r="3353" ht="15.75" customHeight="1" x14ac:dyDescent="0.45"/>
    <row r="3354" ht="15.75" customHeight="1" x14ac:dyDescent="0.45"/>
    <row r="3355" ht="15.75" customHeight="1" x14ac:dyDescent="0.45"/>
    <row r="3356" ht="15.75" customHeight="1" x14ac:dyDescent="0.45"/>
    <row r="3357" ht="15.75" customHeight="1" x14ac:dyDescent="0.45"/>
    <row r="3358" ht="15.75" customHeight="1" x14ac:dyDescent="0.45"/>
    <row r="3359" ht="15.75" customHeight="1" x14ac:dyDescent="0.45"/>
    <row r="3360" ht="15.75" customHeight="1" x14ac:dyDescent="0.45"/>
    <row r="3361" ht="15.75" customHeight="1" x14ac:dyDescent="0.45"/>
    <row r="3362" ht="15.75" customHeight="1" x14ac:dyDescent="0.45"/>
    <row r="3363" ht="15.75" customHeight="1" x14ac:dyDescent="0.45"/>
    <row r="3364" ht="15.75" customHeight="1" x14ac:dyDescent="0.45"/>
    <row r="3365" ht="15.75" customHeight="1" x14ac:dyDescent="0.45"/>
    <row r="3366" ht="15.75" customHeight="1" x14ac:dyDescent="0.45"/>
    <row r="3367" ht="15.75" customHeight="1" x14ac:dyDescent="0.45"/>
    <row r="3368" ht="15.75" customHeight="1" x14ac:dyDescent="0.45"/>
    <row r="3369" ht="15.75" customHeight="1" x14ac:dyDescent="0.45"/>
    <row r="3370" ht="15.75" customHeight="1" x14ac:dyDescent="0.45"/>
    <row r="3371" ht="15.75" customHeight="1" x14ac:dyDescent="0.45"/>
    <row r="3372" ht="15.75" customHeight="1" x14ac:dyDescent="0.45"/>
    <row r="3373" ht="15.75" customHeight="1" x14ac:dyDescent="0.45"/>
    <row r="3374" ht="15.75" customHeight="1" x14ac:dyDescent="0.45"/>
    <row r="3375" ht="15.75" customHeight="1" x14ac:dyDescent="0.45"/>
    <row r="3376" ht="15.75" customHeight="1" x14ac:dyDescent="0.45"/>
    <row r="3377" ht="15.75" customHeight="1" x14ac:dyDescent="0.45"/>
    <row r="3378" ht="15.75" customHeight="1" x14ac:dyDescent="0.45"/>
    <row r="3379" ht="15.75" customHeight="1" x14ac:dyDescent="0.45"/>
    <row r="3380" ht="15.75" customHeight="1" x14ac:dyDescent="0.45"/>
    <row r="3381" ht="15.75" customHeight="1" x14ac:dyDescent="0.45"/>
    <row r="3382" ht="15.75" customHeight="1" x14ac:dyDescent="0.45"/>
    <row r="3383" ht="15.75" customHeight="1" x14ac:dyDescent="0.45"/>
    <row r="3384" ht="15.75" customHeight="1" x14ac:dyDescent="0.45"/>
    <row r="3385" ht="15.75" customHeight="1" x14ac:dyDescent="0.45"/>
    <row r="3386" ht="15.75" customHeight="1" x14ac:dyDescent="0.45"/>
    <row r="3387" ht="15.75" customHeight="1" x14ac:dyDescent="0.45"/>
    <row r="3388" ht="15.75" customHeight="1" x14ac:dyDescent="0.45"/>
    <row r="3389" ht="15.75" customHeight="1" x14ac:dyDescent="0.45"/>
    <row r="3390" ht="15.75" customHeight="1" x14ac:dyDescent="0.45"/>
    <row r="3391" ht="15.75" customHeight="1" x14ac:dyDescent="0.45"/>
    <row r="3392" ht="15.75" customHeight="1" x14ac:dyDescent="0.45"/>
    <row r="3393" ht="15.75" customHeight="1" x14ac:dyDescent="0.45"/>
    <row r="3394" ht="15.75" customHeight="1" x14ac:dyDescent="0.45"/>
    <row r="3395" ht="15.75" customHeight="1" x14ac:dyDescent="0.45"/>
    <row r="3396" ht="15.75" customHeight="1" x14ac:dyDescent="0.45"/>
    <row r="3397" ht="15.75" customHeight="1" x14ac:dyDescent="0.45"/>
    <row r="3398" ht="15.75" customHeight="1" x14ac:dyDescent="0.45"/>
    <row r="3399" ht="15.75" customHeight="1" x14ac:dyDescent="0.45"/>
    <row r="3400" ht="15.75" customHeight="1" x14ac:dyDescent="0.45"/>
    <row r="3401" ht="15.75" customHeight="1" x14ac:dyDescent="0.45"/>
    <row r="3402" ht="15.75" customHeight="1" x14ac:dyDescent="0.45"/>
    <row r="3403" ht="15.75" customHeight="1" x14ac:dyDescent="0.45"/>
    <row r="3404" ht="15.75" customHeight="1" x14ac:dyDescent="0.45"/>
    <row r="3405" ht="15.75" customHeight="1" x14ac:dyDescent="0.45"/>
    <row r="3406" ht="15.75" customHeight="1" x14ac:dyDescent="0.45"/>
    <row r="3407" ht="15.75" customHeight="1" x14ac:dyDescent="0.45"/>
    <row r="3408" ht="15.75" customHeight="1" x14ac:dyDescent="0.45"/>
    <row r="3409" ht="15.75" customHeight="1" x14ac:dyDescent="0.45"/>
    <row r="3410" ht="15.75" customHeight="1" x14ac:dyDescent="0.45"/>
    <row r="3411" ht="15.75" customHeight="1" x14ac:dyDescent="0.45"/>
    <row r="3412" ht="15.75" customHeight="1" x14ac:dyDescent="0.45"/>
    <row r="3413" ht="15.75" customHeight="1" x14ac:dyDescent="0.45"/>
    <row r="3414" ht="15.75" customHeight="1" x14ac:dyDescent="0.45"/>
    <row r="3415" ht="15.75" customHeight="1" x14ac:dyDescent="0.45"/>
    <row r="3416" ht="15.75" customHeight="1" x14ac:dyDescent="0.45"/>
    <row r="3417" ht="15.75" customHeight="1" x14ac:dyDescent="0.45"/>
    <row r="3418" ht="15.75" customHeight="1" x14ac:dyDescent="0.45"/>
    <row r="3419" ht="15.75" customHeight="1" x14ac:dyDescent="0.45"/>
    <row r="3420" ht="15.75" customHeight="1" x14ac:dyDescent="0.45"/>
    <row r="3421" ht="15.75" customHeight="1" x14ac:dyDescent="0.45"/>
    <row r="3422" ht="15.75" customHeight="1" x14ac:dyDescent="0.45"/>
    <row r="3423" ht="15.75" customHeight="1" x14ac:dyDescent="0.45"/>
    <row r="3424" ht="15.75" customHeight="1" x14ac:dyDescent="0.45"/>
    <row r="3425" ht="15.75" customHeight="1" x14ac:dyDescent="0.45"/>
    <row r="3426" ht="15.75" customHeight="1" x14ac:dyDescent="0.45"/>
    <row r="3427" ht="15.75" customHeight="1" x14ac:dyDescent="0.45"/>
    <row r="3428" ht="15.75" customHeight="1" x14ac:dyDescent="0.45"/>
    <row r="3429" ht="15.75" customHeight="1" x14ac:dyDescent="0.45"/>
    <row r="3430" ht="15.75" customHeight="1" x14ac:dyDescent="0.45"/>
    <row r="3431" ht="15.75" customHeight="1" x14ac:dyDescent="0.45"/>
    <row r="3432" ht="15.75" customHeight="1" x14ac:dyDescent="0.45"/>
    <row r="3433" ht="15.75" customHeight="1" x14ac:dyDescent="0.45"/>
    <row r="3434" ht="15.75" customHeight="1" x14ac:dyDescent="0.45"/>
    <row r="3435" ht="15.75" customHeight="1" x14ac:dyDescent="0.45"/>
    <row r="3436" ht="15.75" customHeight="1" x14ac:dyDescent="0.45"/>
    <row r="3437" ht="15.75" customHeight="1" x14ac:dyDescent="0.45"/>
    <row r="3438" ht="15.75" customHeight="1" x14ac:dyDescent="0.45"/>
    <row r="3439" ht="15.75" customHeight="1" x14ac:dyDescent="0.45"/>
    <row r="3440" ht="15.75" customHeight="1" x14ac:dyDescent="0.45"/>
    <row r="3441" ht="15.75" customHeight="1" x14ac:dyDescent="0.45"/>
    <row r="3442" ht="15.75" customHeight="1" x14ac:dyDescent="0.45"/>
    <row r="3443" ht="15.75" customHeight="1" x14ac:dyDescent="0.45"/>
    <row r="3444" ht="15.75" customHeight="1" x14ac:dyDescent="0.45"/>
    <row r="3445" ht="15.75" customHeight="1" x14ac:dyDescent="0.45"/>
    <row r="3446" ht="15.75" customHeight="1" x14ac:dyDescent="0.45"/>
    <row r="3447" ht="15.75" customHeight="1" x14ac:dyDescent="0.45"/>
    <row r="3448" ht="15.75" customHeight="1" x14ac:dyDescent="0.45"/>
    <row r="3449" ht="15.75" customHeight="1" x14ac:dyDescent="0.45"/>
    <row r="3450" ht="15.75" customHeight="1" x14ac:dyDescent="0.45"/>
    <row r="3451" ht="15.75" customHeight="1" x14ac:dyDescent="0.45"/>
    <row r="3452" ht="15.75" customHeight="1" x14ac:dyDescent="0.45"/>
    <row r="3453" ht="15.75" customHeight="1" x14ac:dyDescent="0.45"/>
    <row r="3454" ht="15.75" customHeight="1" x14ac:dyDescent="0.45"/>
    <row r="3455" ht="15.75" customHeight="1" x14ac:dyDescent="0.45"/>
    <row r="3456" ht="15.75" customHeight="1" x14ac:dyDescent="0.45"/>
    <row r="3457" ht="15.75" customHeight="1" x14ac:dyDescent="0.45"/>
    <row r="3458" ht="15.75" customHeight="1" x14ac:dyDescent="0.45"/>
    <row r="3459" ht="15.75" customHeight="1" x14ac:dyDescent="0.45"/>
    <row r="3460" ht="15.75" customHeight="1" x14ac:dyDescent="0.45"/>
    <row r="3461" ht="15.75" customHeight="1" x14ac:dyDescent="0.45"/>
    <row r="3462" ht="15.75" customHeight="1" x14ac:dyDescent="0.45"/>
    <row r="3463" ht="15.75" customHeight="1" x14ac:dyDescent="0.45"/>
    <row r="3464" ht="15.75" customHeight="1" x14ac:dyDescent="0.45"/>
    <row r="3465" ht="15.75" customHeight="1" x14ac:dyDescent="0.45"/>
    <row r="3466" ht="15.75" customHeight="1" x14ac:dyDescent="0.45"/>
    <row r="3467" ht="15.75" customHeight="1" x14ac:dyDescent="0.45"/>
    <row r="3468" ht="15.75" customHeight="1" x14ac:dyDescent="0.45"/>
    <row r="3469" ht="15.75" customHeight="1" x14ac:dyDescent="0.45"/>
    <row r="3470" ht="15.75" customHeight="1" x14ac:dyDescent="0.45"/>
    <row r="3471" ht="15.75" customHeight="1" x14ac:dyDescent="0.45"/>
    <row r="3472" ht="15.75" customHeight="1" x14ac:dyDescent="0.45"/>
    <row r="3473" ht="15.75" customHeight="1" x14ac:dyDescent="0.45"/>
    <row r="3474" ht="15.75" customHeight="1" x14ac:dyDescent="0.45"/>
    <row r="3475" ht="15.75" customHeight="1" x14ac:dyDescent="0.45"/>
    <row r="3476" ht="15.75" customHeight="1" x14ac:dyDescent="0.45"/>
    <row r="3477" ht="15.75" customHeight="1" x14ac:dyDescent="0.45"/>
    <row r="3478" ht="15.75" customHeight="1" x14ac:dyDescent="0.45"/>
    <row r="3479" ht="15.75" customHeight="1" x14ac:dyDescent="0.45"/>
    <row r="3480" ht="15.75" customHeight="1" x14ac:dyDescent="0.45"/>
    <row r="3481" ht="15.75" customHeight="1" x14ac:dyDescent="0.45"/>
    <row r="3482" ht="15.75" customHeight="1" x14ac:dyDescent="0.45"/>
    <row r="3483" ht="15.75" customHeight="1" x14ac:dyDescent="0.45"/>
    <row r="3484" ht="15.75" customHeight="1" x14ac:dyDescent="0.45"/>
    <row r="3485" ht="15.75" customHeight="1" x14ac:dyDescent="0.45"/>
    <row r="3486" ht="15.75" customHeight="1" x14ac:dyDescent="0.45"/>
    <row r="3487" ht="15.75" customHeight="1" x14ac:dyDescent="0.45"/>
    <row r="3488" ht="15.75" customHeight="1" x14ac:dyDescent="0.45"/>
    <row r="3489" ht="15.75" customHeight="1" x14ac:dyDescent="0.45"/>
    <row r="3490" ht="15.75" customHeight="1" x14ac:dyDescent="0.45"/>
    <row r="3491" ht="15.75" customHeight="1" x14ac:dyDescent="0.45"/>
    <row r="3492" ht="15.75" customHeight="1" x14ac:dyDescent="0.45"/>
    <row r="3493" ht="15.75" customHeight="1" x14ac:dyDescent="0.45"/>
    <row r="3494" ht="15.75" customHeight="1" x14ac:dyDescent="0.45"/>
    <row r="3495" ht="15.75" customHeight="1" x14ac:dyDescent="0.45"/>
    <row r="3496" ht="15.75" customHeight="1" x14ac:dyDescent="0.45"/>
    <row r="3497" ht="15.75" customHeight="1" x14ac:dyDescent="0.4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41"/>
  <sheetViews>
    <sheetView workbookViewId="0"/>
  </sheetViews>
  <sheetFormatPr defaultRowHeight="14.25" x14ac:dyDescent="0.45"/>
  <cols>
    <col min="1" max="1" width="12" customWidth="1"/>
    <col min="2" max="5" width="9" customWidth="1"/>
    <col min="6" max="6" width="10" customWidth="1"/>
    <col min="7" max="11" width="9" customWidth="1"/>
    <col min="12" max="12" width="10" customWidth="1"/>
    <col min="13" max="13" width="11" customWidth="1"/>
  </cols>
  <sheetData>
    <row r="1" spans="1:13" x14ac:dyDescent="0.45">
      <c r="A1" s="14" t="s">
        <v>0</v>
      </c>
      <c r="B1" s="14" t="s">
        <v>2541</v>
      </c>
      <c r="C1" s="14" t="s">
        <v>2542</v>
      </c>
      <c r="D1" s="14" t="s">
        <v>2543</v>
      </c>
      <c r="E1" s="14" t="s">
        <v>2544</v>
      </c>
      <c r="F1" s="14" t="s">
        <v>2545</v>
      </c>
      <c r="G1" s="14" t="s">
        <v>2546</v>
      </c>
      <c r="H1" s="14" t="s">
        <v>2547</v>
      </c>
      <c r="I1" s="14" t="s">
        <v>2548</v>
      </c>
      <c r="J1" s="14" t="s">
        <v>2549</v>
      </c>
      <c r="K1" s="14" t="s">
        <v>2550</v>
      </c>
      <c r="L1" s="14" t="s">
        <v>2551</v>
      </c>
      <c r="M1" s="14" t="s">
        <v>2552</v>
      </c>
    </row>
    <row r="2" spans="1:13" x14ac:dyDescent="0.45">
      <c r="A2" t="s">
        <v>2529</v>
      </c>
      <c r="B2" s="18">
        <v>56.8</v>
      </c>
      <c r="C2" s="18">
        <v>50.94</v>
      </c>
      <c r="D2" s="18">
        <v>6.09</v>
      </c>
      <c r="E2" s="18">
        <v>2.1749999999999998</v>
      </c>
      <c r="F2" s="18">
        <v>3.89</v>
      </c>
      <c r="G2" s="18">
        <v>41.388000000000012</v>
      </c>
      <c r="H2" s="18">
        <v>13.09135</v>
      </c>
      <c r="I2" s="8">
        <v>0.1150372987828818</v>
      </c>
      <c r="J2" s="8">
        <v>8.3267651888341536</v>
      </c>
      <c r="K2" s="8">
        <v>25.114942528735629</v>
      </c>
      <c r="L2" s="8">
        <v>13.601542416452441</v>
      </c>
      <c r="M2" s="18">
        <v>47.158287432805103</v>
      </c>
    </row>
    <row r="3" spans="1:13" x14ac:dyDescent="0.45">
      <c r="A3" t="s">
        <v>2491</v>
      </c>
      <c r="B3" s="18">
        <v>30.36</v>
      </c>
      <c r="C3" s="18">
        <v>1.82</v>
      </c>
      <c r="D3" s="18">
        <v>1.59</v>
      </c>
      <c r="E3" s="18">
        <v>2.1800000000000002</v>
      </c>
      <c r="F3" s="18">
        <v>9.48</v>
      </c>
      <c r="G3" s="18">
        <v>5.5198</v>
      </c>
      <c r="H3" s="18">
        <v>4.2865819999999992</v>
      </c>
      <c r="I3" s="8">
        <v>15.681318681318681</v>
      </c>
      <c r="J3" s="8">
        <v>18.09433962264151</v>
      </c>
      <c r="K3" s="8">
        <v>12.926605504587149</v>
      </c>
      <c r="L3" s="8">
        <v>2.20253164556962</v>
      </c>
      <c r="M3" s="18">
        <v>48.904795454116957</v>
      </c>
    </row>
    <row r="4" spans="1:13" x14ac:dyDescent="0.45">
      <c r="A4" t="s">
        <v>838</v>
      </c>
      <c r="B4" s="18">
        <v>3.49</v>
      </c>
      <c r="C4" s="18">
        <v>2.0099999999999998</v>
      </c>
      <c r="D4" s="18">
        <v>1.05</v>
      </c>
      <c r="E4" s="18">
        <v>0.31390000000000001</v>
      </c>
      <c r="F4" s="18">
        <v>2.1800000000000002</v>
      </c>
      <c r="G4" s="18">
        <v>2.2201520000000001</v>
      </c>
      <c r="H4" s="18">
        <v>1.305679</v>
      </c>
      <c r="I4" s="8">
        <v>0.73631840796019921</v>
      </c>
      <c r="J4" s="8">
        <v>2.323809523809524</v>
      </c>
      <c r="K4" s="8">
        <v>10.118190506530739</v>
      </c>
      <c r="L4" s="8">
        <v>0.60091743119266061</v>
      </c>
      <c r="M4" s="18">
        <v>13.77923586949313</v>
      </c>
    </row>
    <row r="5" spans="1:13" x14ac:dyDescent="0.45">
      <c r="A5" t="s">
        <v>1510</v>
      </c>
      <c r="B5" s="18">
        <v>12.63</v>
      </c>
      <c r="C5" s="18">
        <v>9.7200000000000006</v>
      </c>
      <c r="D5" s="18">
        <v>4.45</v>
      </c>
      <c r="E5" s="18">
        <v>1.73</v>
      </c>
      <c r="F5" s="18">
        <v>5.87</v>
      </c>
      <c r="G5" s="18">
        <v>8.9697999999999993</v>
      </c>
      <c r="H5" s="18">
        <v>4.7075500000000003</v>
      </c>
      <c r="I5" s="8">
        <v>0.29938271604938271</v>
      </c>
      <c r="J5" s="8">
        <v>1.8382022471910111</v>
      </c>
      <c r="K5" s="8">
        <v>6.3005780346820819</v>
      </c>
      <c r="L5" s="8">
        <v>1.151618398637138</v>
      </c>
      <c r="M5" s="18">
        <v>9.5897813965596139</v>
      </c>
    </row>
    <row r="6" spans="1:13" x14ac:dyDescent="0.45">
      <c r="A6" t="s">
        <v>1873</v>
      </c>
      <c r="B6" s="18">
        <v>134.77000000000001</v>
      </c>
      <c r="C6" s="18">
        <v>73.97</v>
      </c>
      <c r="D6" s="18">
        <v>55.45</v>
      </c>
      <c r="E6" s="18">
        <v>20.23</v>
      </c>
      <c r="F6" s="18">
        <v>11.19</v>
      </c>
      <c r="G6" s="18">
        <v>90.959800000000001</v>
      </c>
      <c r="H6" s="18">
        <v>51.946949999999987</v>
      </c>
      <c r="I6" s="8">
        <v>0.8219548465594162</v>
      </c>
      <c r="J6" s="8">
        <v>1.4304779080252481</v>
      </c>
      <c r="K6" s="8">
        <v>5.6618882847256558</v>
      </c>
      <c r="L6" s="8">
        <v>11.0437890974084</v>
      </c>
      <c r="M6" s="18">
        <v>18.958110136718719</v>
      </c>
    </row>
    <row r="7" spans="1:13" x14ac:dyDescent="0.45">
      <c r="A7" t="s">
        <v>605</v>
      </c>
      <c r="B7" s="18">
        <v>12.42</v>
      </c>
      <c r="C7" s="18">
        <v>7.82</v>
      </c>
      <c r="D7" s="18">
        <v>6.5</v>
      </c>
      <c r="E7" s="18">
        <v>2.12</v>
      </c>
      <c r="F7" s="18">
        <v>1.22</v>
      </c>
      <c r="G7" s="18">
        <v>8.8398000000000003</v>
      </c>
      <c r="H7" s="18">
        <v>4.7422499999999994</v>
      </c>
      <c r="I7" s="8">
        <v>0.58823529411764697</v>
      </c>
      <c r="J7" s="8">
        <v>0.91076923076923078</v>
      </c>
      <c r="K7" s="8">
        <v>4.8584905660377364</v>
      </c>
      <c r="L7" s="8">
        <v>9.1803278688524586</v>
      </c>
      <c r="M7" s="18">
        <v>15.537822959777071</v>
      </c>
    </row>
    <row r="8" spans="1:13" x14ac:dyDescent="0.45">
      <c r="A8" t="s">
        <v>770</v>
      </c>
      <c r="B8" s="18">
        <v>39.76</v>
      </c>
      <c r="C8" s="18">
        <v>9.73</v>
      </c>
      <c r="D8" s="18">
        <v>20.82</v>
      </c>
      <c r="E8" s="18">
        <v>7</v>
      </c>
      <c r="F8" s="18">
        <v>9.86</v>
      </c>
      <c r="G8" s="18">
        <v>14.631600000000001</v>
      </c>
      <c r="H8" s="18">
        <v>15.24105</v>
      </c>
      <c r="I8" s="8">
        <v>3.086330935251798</v>
      </c>
      <c r="J8" s="8">
        <v>0.9097022094140248</v>
      </c>
      <c r="K8" s="8">
        <v>4.68</v>
      </c>
      <c r="L8" s="8">
        <v>3.032454361054767</v>
      </c>
      <c r="M8" s="18">
        <v>11.708487505720591</v>
      </c>
    </row>
    <row r="9" spans="1:13" x14ac:dyDescent="0.45">
      <c r="A9" t="s">
        <v>2017</v>
      </c>
      <c r="B9" s="18">
        <v>34.25</v>
      </c>
      <c r="C9" s="18">
        <v>16.149999999999999</v>
      </c>
      <c r="D9" s="18">
        <v>16.010000000000002</v>
      </c>
      <c r="E9" s="18">
        <v>6.22</v>
      </c>
      <c r="F9" s="18">
        <v>1</v>
      </c>
      <c r="G9" s="18">
        <v>20.260200000000001</v>
      </c>
      <c r="H9" s="18">
        <v>12.786949999999999</v>
      </c>
      <c r="I9" s="8">
        <v>1.1207430340557281</v>
      </c>
      <c r="J9" s="8">
        <v>1.1392879450343529</v>
      </c>
      <c r="K9" s="8">
        <v>4.506430868167203</v>
      </c>
      <c r="L9" s="8">
        <v>33.25</v>
      </c>
      <c r="M9" s="18">
        <v>40.016461847257283</v>
      </c>
    </row>
    <row r="10" spans="1:13" x14ac:dyDescent="0.45">
      <c r="A10" t="s">
        <v>2151</v>
      </c>
      <c r="B10" s="18">
        <v>2.76</v>
      </c>
      <c r="C10" s="18">
        <v>1.1299999999999999</v>
      </c>
      <c r="D10" s="18">
        <v>0.95020000000000004</v>
      </c>
      <c r="E10" s="18">
        <v>0.52569999999999995</v>
      </c>
      <c r="F10" s="18">
        <v>0.61619999999999997</v>
      </c>
      <c r="G10" s="18">
        <v>1.3855999999999999</v>
      </c>
      <c r="H10" s="18">
        <v>1.038575</v>
      </c>
      <c r="I10" s="8">
        <v>1.4424778761061949</v>
      </c>
      <c r="J10" s="8">
        <v>1.90465165228373</v>
      </c>
      <c r="K10" s="8">
        <v>4.2501426669202971</v>
      </c>
      <c r="L10" s="8">
        <v>3.4790652385589089</v>
      </c>
      <c r="M10" s="18">
        <v>11.07633743386913</v>
      </c>
    </row>
    <row r="11" spans="1:13" x14ac:dyDescent="0.45">
      <c r="A11" t="s">
        <v>726</v>
      </c>
      <c r="B11" s="18">
        <v>87.58</v>
      </c>
      <c r="C11" s="18">
        <v>55</v>
      </c>
      <c r="D11" s="18">
        <v>25.85</v>
      </c>
      <c r="E11" s="18">
        <v>17.02</v>
      </c>
      <c r="F11" s="18">
        <v>10.83</v>
      </c>
      <c r="G11" s="18">
        <v>59.266800000000003</v>
      </c>
      <c r="H11" s="18">
        <v>31.60765</v>
      </c>
      <c r="I11" s="8">
        <v>0.59236363636363643</v>
      </c>
      <c r="J11" s="8">
        <v>2.3880077369439068</v>
      </c>
      <c r="K11" s="8">
        <v>4.1457109283196241</v>
      </c>
      <c r="L11" s="8">
        <v>7.0867959372114502</v>
      </c>
      <c r="M11" s="18">
        <v>14.21287823883862</v>
      </c>
    </row>
    <row r="12" spans="1:13" x14ac:dyDescent="0.45">
      <c r="A12" t="s">
        <v>1970</v>
      </c>
      <c r="B12" s="18">
        <v>15.6</v>
      </c>
      <c r="C12" s="18">
        <v>9.02</v>
      </c>
      <c r="D12" s="18">
        <v>6.6</v>
      </c>
      <c r="E12" s="18">
        <v>3.04</v>
      </c>
      <c r="F12" s="18">
        <v>2.2400000000000002</v>
      </c>
      <c r="G12" s="18">
        <v>9.0519999999999996</v>
      </c>
      <c r="H12" s="18">
        <v>5.7576000000000001</v>
      </c>
      <c r="I12" s="8">
        <v>0.729490022172949</v>
      </c>
      <c r="J12" s="8">
        <v>1.363636363636364</v>
      </c>
      <c r="K12" s="8">
        <v>4.1315789473684212</v>
      </c>
      <c r="L12" s="8">
        <v>5.9642857142857144</v>
      </c>
      <c r="M12" s="18">
        <v>12.18899104746345</v>
      </c>
    </row>
    <row r="13" spans="1:13" x14ac:dyDescent="0.45">
      <c r="A13" t="s">
        <v>1819</v>
      </c>
      <c r="B13" s="18">
        <v>3.35</v>
      </c>
      <c r="C13" s="18">
        <v>1.77</v>
      </c>
      <c r="D13" s="18">
        <v>0.85840000000000005</v>
      </c>
      <c r="E13" s="18">
        <v>0.67320000000000002</v>
      </c>
      <c r="F13" s="18">
        <v>0.92679999999999996</v>
      </c>
      <c r="G13" s="18">
        <v>2.1160000000000001</v>
      </c>
      <c r="H13" s="18">
        <v>1.4154549999999999</v>
      </c>
      <c r="I13" s="8">
        <v>0.89265536723163841</v>
      </c>
      <c r="J13" s="8">
        <v>2.9026095060577819</v>
      </c>
      <c r="K13" s="8">
        <v>3.976232917409388</v>
      </c>
      <c r="L13" s="8">
        <v>2.6145878290893401</v>
      </c>
      <c r="M13" s="18">
        <v>10.386085619788149</v>
      </c>
    </row>
    <row r="14" spans="1:13" x14ac:dyDescent="0.45">
      <c r="A14" t="s">
        <v>2020</v>
      </c>
      <c r="B14" s="18">
        <v>15.33</v>
      </c>
      <c r="C14" s="18">
        <v>8.5299999999999994</v>
      </c>
      <c r="D14" s="18">
        <v>9.09</v>
      </c>
      <c r="E14" s="18">
        <v>3.47</v>
      </c>
      <c r="F14" s="18">
        <v>5.64</v>
      </c>
      <c r="G14" s="18">
        <v>10.18</v>
      </c>
      <c r="H14" s="18">
        <v>6.5859500000000004</v>
      </c>
      <c r="I14" s="8">
        <v>0.79718640093786641</v>
      </c>
      <c r="J14" s="8">
        <v>0.68646864686468656</v>
      </c>
      <c r="K14" s="8">
        <v>3.417867435158501</v>
      </c>
      <c r="L14" s="8">
        <v>1.718085106382979</v>
      </c>
      <c r="M14" s="18">
        <v>6.6196075893440334</v>
      </c>
    </row>
    <row r="15" spans="1:13" x14ac:dyDescent="0.45">
      <c r="A15" t="s">
        <v>885</v>
      </c>
      <c r="B15" s="18">
        <v>21.01</v>
      </c>
      <c r="C15" s="18">
        <v>14.33</v>
      </c>
      <c r="D15" s="18">
        <v>9.11</v>
      </c>
      <c r="E15" s="18">
        <v>4.8099999999999996</v>
      </c>
      <c r="F15" s="18">
        <v>6.41</v>
      </c>
      <c r="G15" s="18">
        <v>14.2882</v>
      </c>
      <c r="H15" s="18">
        <v>8.8342500000000008</v>
      </c>
      <c r="I15" s="8">
        <v>0.46615491974877887</v>
      </c>
      <c r="J15" s="8">
        <v>1.306256860592756</v>
      </c>
      <c r="K15" s="8">
        <v>3.3679833679833688</v>
      </c>
      <c r="L15" s="8">
        <v>2.2776911076443058</v>
      </c>
      <c r="M15" s="18">
        <v>7.4180862559692091</v>
      </c>
    </row>
    <row r="16" spans="1:13" x14ac:dyDescent="0.45">
      <c r="A16" t="s">
        <v>772</v>
      </c>
      <c r="B16" s="18">
        <v>30.07</v>
      </c>
      <c r="C16" s="18">
        <v>16.32</v>
      </c>
      <c r="D16" s="18">
        <v>23.41</v>
      </c>
      <c r="E16" s="18">
        <v>6.91</v>
      </c>
      <c r="F16" s="18">
        <v>5.43</v>
      </c>
      <c r="G16" s="18">
        <v>19.286000000000001</v>
      </c>
      <c r="H16" s="18">
        <v>14.58555</v>
      </c>
      <c r="I16" s="8">
        <v>0.84252450980392157</v>
      </c>
      <c r="J16" s="8">
        <v>0.28449380606578378</v>
      </c>
      <c r="K16" s="8">
        <v>3.3516642547033282</v>
      </c>
      <c r="L16" s="8">
        <v>4.5377532228360957</v>
      </c>
      <c r="M16" s="18">
        <v>9.0164357934091299</v>
      </c>
    </row>
    <row r="17" spans="1:13" x14ac:dyDescent="0.45">
      <c r="A17" t="s">
        <v>608</v>
      </c>
      <c r="B17" s="18">
        <v>38.590000000000003</v>
      </c>
      <c r="C17" s="18">
        <v>24.87</v>
      </c>
      <c r="D17" s="18">
        <v>17.760000000000002</v>
      </c>
      <c r="E17" s="18">
        <v>9.2799999999999994</v>
      </c>
      <c r="F17" s="18">
        <v>34.68</v>
      </c>
      <c r="G17" s="18">
        <v>26.723400000000002</v>
      </c>
      <c r="H17" s="18">
        <v>18.866</v>
      </c>
      <c r="I17" s="8">
        <v>0.55166867712102952</v>
      </c>
      <c r="J17" s="8">
        <v>1.17286036036036</v>
      </c>
      <c r="K17" s="8">
        <v>3.158405172413794</v>
      </c>
      <c r="L17" s="8">
        <v>0.1127450980392157</v>
      </c>
      <c r="M17" s="18">
        <v>4.9956793079343988</v>
      </c>
    </row>
    <row r="18" spans="1:13" x14ac:dyDescent="0.45">
      <c r="A18" t="s">
        <v>545</v>
      </c>
      <c r="B18" s="18">
        <v>4.54</v>
      </c>
      <c r="C18" s="18">
        <v>3.32</v>
      </c>
      <c r="D18" s="18">
        <v>3.3</v>
      </c>
      <c r="E18" s="18">
        <v>1.1000000000000001</v>
      </c>
      <c r="F18" s="18">
        <v>3.29</v>
      </c>
      <c r="G18" s="18">
        <v>3.3182</v>
      </c>
      <c r="H18" s="18">
        <v>2.3780000000000001</v>
      </c>
      <c r="I18" s="8">
        <v>0.36746987951807242</v>
      </c>
      <c r="J18" s="8">
        <v>0.37575757575757568</v>
      </c>
      <c r="K18" s="8">
        <v>3.127272727272727</v>
      </c>
      <c r="L18" s="8">
        <v>0.37993920972644379</v>
      </c>
      <c r="M18" s="18">
        <v>4.2504393922748189</v>
      </c>
    </row>
    <row r="19" spans="1:13" x14ac:dyDescent="0.45">
      <c r="A19" t="s">
        <v>507</v>
      </c>
      <c r="B19" s="18">
        <v>121.18</v>
      </c>
      <c r="C19" s="18">
        <v>94.54</v>
      </c>
      <c r="D19" s="18">
        <v>65.06</v>
      </c>
      <c r="E19" s="18">
        <v>31.55</v>
      </c>
      <c r="F19" s="18">
        <v>66.349999999999994</v>
      </c>
      <c r="G19" s="18">
        <v>93.00800000000001</v>
      </c>
      <c r="H19" s="18">
        <v>64.098574999999997</v>
      </c>
      <c r="I19" s="8">
        <v>0.28178548762428601</v>
      </c>
      <c r="J19" s="8">
        <v>0.86258837995696291</v>
      </c>
      <c r="K19" s="8">
        <v>2.8408874801901751</v>
      </c>
      <c r="L19" s="8">
        <v>0.82637528259231385</v>
      </c>
      <c r="M19" s="18">
        <v>4.8116366303637372</v>
      </c>
    </row>
    <row r="20" spans="1:13" x14ac:dyDescent="0.45">
      <c r="A20" t="s">
        <v>2133</v>
      </c>
      <c r="B20" s="18">
        <v>12.1</v>
      </c>
      <c r="C20" s="18">
        <v>8.5399999999999991</v>
      </c>
      <c r="D20" s="18">
        <v>7.94</v>
      </c>
      <c r="E20" s="18">
        <v>3.22</v>
      </c>
      <c r="F20" s="18">
        <v>4.67</v>
      </c>
      <c r="G20" s="18">
        <v>9.1417999999999999</v>
      </c>
      <c r="H20" s="18">
        <v>6.1098999999999997</v>
      </c>
      <c r="I20" s="8">
        <v>0.41686182669789229</v>
      </c>
      <c r="J20" s="8">
        <v>0.52392947103274556</v>
      </c>
      <c r="K20" s="8">
        <v>2.7577639751552789</v>
      </c>
      <c r="L20" s="8">
        <v>1.591006423982869</v>
      </c>
      <c r="M20" s="18">
        <v>5.2895616968687866</v>
      </c>
    </row>
    <row r="21" spans="1:13" x14ac:dyDescent="0.45">
      <c r="A21" t="s">
        <v>924</v>
      </c>
      <c r="B21" s="18">
        <v>254.88</v>
      </c>
      <c r="C21" s="18">
        <v>244.08</v>
      </c>
      <c r="D21" s="18">
        <v>158.83000000000001</v>
      </c>
      <c r="E21" s="18">
        <v>68.849999999999994</v>
      </c>
      <c r="F21" s="18">
        <v>53.83</v>
      </c>
      <c r="G21" s="18">
        <v>222.19499999999999</v>
      </c>
      <c r="H21" s="18">
        <v>140.43084999999999</v>
      </c>
      <c r="I21" s="8">
        <v>4.4247787610619323E-2</v>
      </c>
      <c r="J21" s="8">
        <v>0.60473462192281047</v>
      </c>
      <c r="K21" s="8">
        <v>2.7019607843137261</v>
      </c>
      <c r="L21" s="8">
        <v>3.7349061861415569</v>
      </c>
      <c r="M21" s="18">
        <v>7.0858493799887121</v>
      </c>
    </row>
    <row r="22" spans="1:13" x14ac:dyDescent="0.45">
      <c r="A22" t="s">
        <v>1476</v>
      </c>
      <c r="B22" s="18">
        <v>74.3</v>
      </c>
      <c r="C22" s="18">
        <v>44</v>
      </c>
      <c r="D22" s="18">
        <v>45.93</v>
      </c>
      <c r="E22" s="18">
        <v>21.28</v>
      </c>
      <c r="F22" s="18">
        <v>9.31</v>
      </c>
      <c r="G22" s="18">
        <v>51.534399999999998</v>
      </c>
      <c r="H22" s="18">
        <v>39.08605</v>
      </c>
      <c r="I22" s="8">
        <v>0.68863636363636349</v>
      </c>
      <c r="J22" s="8">
        <v>0.61767907685608536</v>
      </c>
      <c r="K22" s="8">
        <v>2.4915413533834578</v>
      </c>
      <c r="L22" s="8">
        <v>6.9806659505907618</v>
      </c>
      <c r="M22" s="18">
        <v>10.77852274446667</v>
      </c>
    </row>
    <row r="23" spans="1:13" x14ac:dyDescent="0.45">
      <c r="A23" t="s">
        <v>2249</v>
      </c>
      <c r="B23" s="18">
        <v>23.4</v>
      </c>
      <c r="C23" s="18">
        <v>13.86</v>
      </c>
      <c r="D23" s="18">
        <v>9.32</v>
      </c>
      <c r="E23" s="18">
        <v>6.8380000000000001</v>
      </c>
      <c r="F23" s="18">
        <v>8.2759999999999998</v>
      </c>
      <c r="G23" s="18">
        <v>16.219000000000001</v>
      </c>
      <c r="H23" s="18">
        <v>11.803520000000001</v>
      </c>
      <c r="I23" s="8">
        <v>0.68831168831168821</v>
      </c>
      <c r="J23" s="8">
        <v>1.510729613733905</v>
      </c>
      <c r="K23" s="8">
        <v>2.422053231939163</v>
      </c>
      <c r="L23" s="8">
        <v>1.8274528757854029</v>
      </c>
      <c r="M23" s="18">
        <v>6.4485474097701596</v>
      </c>
    </row>
    <row r="24" spans="1:13" x14ac:dyDescent="0.45">
      <c r="A24" t="s">
        <v>2457</v>
      </c>
      <c r="B24" s="18">
        <v>82.45</v>
      </c>
      <c r="C24" s="18">
        <v>86.19</v>
      </c>
      <c r="D24" s="18">
        <v>58.83</v>
      </c>
      <c r="E24" s="18">
        <v>24.14</v>
      </c>
      <c r="F24" s="18">
        <v>55.82</v>
      </c>
      <c r="G24" s="18">
        <v>80.624200000000002</v>
      </c>
      <c r="H24" s="18">
        <v>51.825200000000002</v>
      </c>
      <c r="I24" s="8">
        <v>-4.3392504930966358E-2</v>
      </c>
      <c r="J24" s="8">
        <v>0.40149583545809969</v>
      </c>
      <c r="K24" s="8">
        <v>2.415492957746479</v>
      </c>
      <c r="L24" s="8">
        <v>0.4770691508419922</v>
      </c>
      <c r="M24" s="18">
        <v>3.2506654391156049</v>
      </c>
    </row>
    <row r="25" spans="1:13" x14ac:dyDescent="0.45">
      <c r="A25" t="s">
        <v>435</v>
      </c>
      <c r="B25" s="18">
        <v>224.35</v>
      </c>
      <c r="C25" s="18">
        <v>191.59</v>
      </c>
      <c r="D25" s="18">
        <v>144.5</v>
      </c>
      <c r="E25" s="18">
        <v>66.540000000000006</v>
      </c>
      <c r="F25" s="18">
        <v>107.24</v>
      </c>
      <c r="G25" s="18">
        <v>188.20920000000001</v>
      </c>
      <c r="H25" s="18">
        <v>125.84757500000001</v>
      </c>
      <c r="I25" s="8">
        <v>0.17099013518450851</v>
      </c>
      <c r="J25" s="8">
        <v>0.55259515570934248</v>
      </c>
      <c r="K25" s="8">
        <v>2.371656146678689</v>
      </c>
      <c r="L25" s="8">
        <v>1.092036553524804</v>
      </c>
      <c r="M25" s="18">
        <v>4.1872779910973454</v>
      </c>
    </row>
    <row r="26" spans="1:13" x14ac:dyDescent="0.45">
      <c r="A26" t="s">
        <v>1573</v>
      </c>
      <c r="B26" s="18">
        <v>7.87</v>
      </c>
      <c r="C26" s="18">
        <v>2.84</v>
      </c>
      <c r="D26" s="18">
        <v>2.85</v>
      </c>
      <c r="E26" s="18">
        <v>2.34</v>
      </c>
      <c r="F26" s="18">
        <v>2.7</v>
      </c>
      <c r="G26" s="18">
        <v>3.8237999999999999</v>
      </c>
      <c r="H26" s="18">
        <v>3.1342500000000002</v>
      </c>
      <c r="I26" s="8">
        <v>1.77112676056338</v>
      </c>
      <c r="J26" s="8">
        <v>1.76140350877193</v>
      </c>
      <c r="K26" s="8">
        <v>2.3632478632478628</v>
      </c>
      <c r="L26" s="8">
        <v>1.914814814814815</v>
      </c>
      <c r="M26" s="18">
        <v>7.8105929473979883</v>
      </c>
    </row>
    <row r="27" spans="1:13" x14ac:dyDescent="0.45">
      <c r="A27" t="s">
        <v>1411</v>
      </c>
      <c r="B27" s="18">
        <v>9.86</v>
      </c>
      <c r="C27" s="18">
        <v>6.12</v>
      </c>
      <c r="D27" s="18">
        <v>4.08</v>
      </c>
      <c r="E27" s="18">
        <v>2.98</v>
      </c>
      <c r="F27" s="18">
        <v>5.03</v>
      </c>
      <c r="G27" s="18">
        <v>7.0730000000000004</v>
      </c>
      <c r="H27" s="18">
        <v>4.4657499999999999</v>
      </c>
      <c r="I27" s="8">
        <v>0.61111111111111094</v>
      </c>
      <c r="J27" s="8">
        <v>1.416666666666667</v>
      </c>
      <c r="K27" s="8">
        <v>2.3087248322147649</v>
      </c>
      <c r="L27" s="8">
        <v>0.9602385685884689</v>
      </c>
      <c r="M27" s="18">
        <v>5.2967411785810121</v>
      </c>
    </row>
    <row r="28" spans="1:13" x14ac:dyDescent="0.45">
      <c r="A28" t="s">
        <v>1227</v>
      </c>
      <c r="B28" s="18">
        <v>71.08</v>
      </c>
      <c r="C28" s="18">
        <v>53.32</v>
      </c>
      <c r="D28" s="18">
        <v>22.155000000000001</v>
      </c>
      <c r="E28" s="18">
        <v>21.627400000000002</v>
      </c>
      <c r="F28" s="18">
        <v>21.053999999999998</v>
      </c>
      <c r="G28" s="18">
        <v>66.403300000000002</v>
      </c>
      <c r="H28" s="18">
        <v>32.847555999999997</v>
      </c>
      <c r="I28" s="8">
        <v>0.33308327081770428</v>
      </c>
      <c r="J28" s="8">
        <v>2.2083051229970661</v>
      </c>
      <c r="K28" s="8">
        <v>2.2865716637228699</v>
      </c>
      <c r="L28" s="8">
        <v>2.376080554763941</v>
      </c>
      <c r="M28" s="18">
        <v>7.204040612301581</v>
      </c>
    </row>
    <row r="29" spans="1:13" x14ac:dyDescent="0.45">
      <c r="A29" t="s">
        <v>1512</v>
      </c>
      <c r="B29" s="18">
        <v>17.37</v>
      </c>
      <c r="C29" s="18">
        <v>13.42</v>
      </c>
      <c r="D29" s="18">
        <v>12.33</v>
      </c>
      <c r="E29" s="18">
        <v>5.33</v>
      </c>
      <c r="F29" s="18">
        <v>5.95</v>
      </c>
      <c r="G29" s="18">
        <v>15.8508</v>
      </c>
      <c r="H29" s="18">
        <v>10.216900000000001</v>
      </c>
      <c r="I29" s="8">
        <v>0.29433681073025347</v>
      </c>
      <c r="J29" s="8">
        <v>0.40875912408759141</v>
      </c>
      <c r="K29" s="8">
        <v>2.2589118198874298</v>
      </c>
      <c r="L29" s="8">
        <v>1.919327731092437</v>
      </c>
      <c r="M29" s="18">
        <v>4.8813354857977123</v>
      </c>
    </row>
    <row r="30" spans="1:13" x14ac:dyDescent="0.45">
      <c r="A30" t="s">
        <v>2330</v>
      </c>
      <c r="B30" s="18">
        <v>63.58</v>
      </c>
      <c r="C30" s="18">
        <v>60.47</v>
      </c>
      <c r="D30" s="18">
        <v>48.06</v>
      </c>
      <c r="E30" s="18">
        <v>19.63</v>
      </c>
      <c r="F30" s="18">
        <v>27.73</v>
      </c>
      <c r="G30" s="18">
        <v>59.448799999999999</v>
      </c>
      <c r="H30" s="18">
        <v>37.959850000000003</v>
      </c>
      <c r="I30" s="8">
        <v>5.1430461385811199E-2</v>
      </c>
      <c r="J30" s="8">
        <v>0.32292967124427802</v>
      </c>
      <c r="K30" s="8">
        <v>2.2389200203769741</v>
      </c>
      <c r="L30" s="8">
        <v>1.2928236566895059</v>
      </c>
      <c r="M30" s="18">
        <v>3.9061038096965688</v>
      </c>
    </row>
    <row r="31" spans="1:13" x14ac:dyDescent="0.45">
      <c r="A31" t="s">
        <v>1695</v>
      </c>
      <c r="B31" s="18">
        <v>70.59</v>
      </c>
      <c r="C31" s="18">
        <v>63.15</v>
      </c>
      <c r="D31" s="18">
        <v>45.23</v>
      </c>
      <c r="E31" s="18">
        <v>21.94</v>
      </c>
      <c r="F31" s="18">
        <v>17.38</v>
      </c>
      <c r="G31" s="18">
        <v>69.196200000000005</v>
      </c>
      <c r="H31" s="18">
        <v>37.808300000000003</v>
      </c>
      <c r="I31" s="8">
        <v>0.1178147268408551</v>
      </c>
      <c r="J31" s="8">
        <v>0.56068980764979015</v>
      </c>
      <c r="K31" s="8">
        <v>2.2174111212397452</v>
      </c>
      <c r="L31" s="8">
        <v>3.0615650172612199</v>
      </c>
      <c r="M31" s="18">
        <v>5.9574806729916094</v>
      </c>
    </row>
    <row r="32" spans="1:13" x14ac:dyDescent="0.45">
      <c r="A32" t="s">
        <v>617</v>
      </c>
      <c r="B32" s="18">
        <v>6.21</v>
      </c>
      <c r="C32" s="18">
        <v>3.77</v>
      </c>
      <c r="D32" s="18">
        <v>2.58</v>
      </c>
      <c r="E32" s="18">
        <v>2.0299999999999998</v>
      </c>
      <c r="F32" s="18">
        <v>10.45</v>
      </c>
      <c r="G32" s="18">
        <v>3.8481999999999998</v>
      </c>
      <c r="H32" s="18">
        <v>3.2069999999999999</v>
      </c>
      <c r="I32" s="8">
        <v>0.64721485411140578</v>
      </c>
      <c r="J32" s="8">
        <v>1.4069767441860459</v>
      </c>
      <c r="K32" s="8">
        <v>2.0591133004926112</v>
      </c>
      <c r="L32" s="8">
        <v>-0.40574162679425829</v>
      </c>
      <c r="M32" s="18">
        <v>3.7075632719958049</v>
      </c>
    </row>
    <row r="33" spans="1:13" x14ac:dyDescent="0.45">
      <c r="A33" t="s">
        <v>991</v>
      </c>
      <c r="B33" s="18">
        <v>57.36</v>
      </c>
      <c r="C33" s="18">
        <v>72.45</v>
      </c>
      <c r="D33" s="18">
        <v>47.62</v>
      </c>
      <c r="E33" s="18">
        <v>19</v>
      </c>
      <c r="F33" s="18"/>
      <c r="G33" s="18">
        <v>59.146799999999992</v>
      </c>
      <c r="H33" s="18"/>
      <c r="I33" s="8">
        <v>-0.20828157349896481</v>
      </c>
      <c r="J33" s="8">
        <v>0.20453590928181439</v>
      </c>
      <c r="K33" s="8">
        <v>2.018947368421053</v>
      </c>
      <c r="L33" s="8"/>
      <c r="M33" s="18">
        <v>2.0152017042039021</v>
      </c>
    </row>
    <row r="34" spans="1:13" x14ac:dyDescent="0.45">
      <c r="A34" t="s">
        <v>9</v>
      </c>
      <c r="B34" s="18">
        <v>235.56</v>
      </c>
      <c r="C34" s="18">
        <v>155.82</v>
      </c>
      <c r="D34" s="18">
        <v>144.16</v>
      </c>
      <c r="E34" s="18">
        <v>78.209999999999994</v>
      </c>
      <c r="F34" s="18">
        <v>170.9</v>
      </c>
      <c r="G34" s="18">
        <v>168.67599999999999</v>
      </c>
      <c r="H34" s="18">
        <v>129.406025</v>
      </c>
      <c r="I34" s="8">
        <v>0.51174432036965745</v>
      </c>
      <c r="J34" s="8">
        <v>0.63401775804661487</v>
      </c>
      <c r="K34" s="8">
        <v>2.0118910625239739</v>
      </c>
      <c r="L34" s="8">
        <v>0.37834991222937392</v>
      </c>
      <c r="M34" s="18">
        <v>3.5360030531696212</v>
      </c>
    </row>
    <row r="35" spans="1:13" x14ac:dyDescent="0.45">
      <c r="A35" t="s">
        <v>970</v>
      </c>
      <c r="B35" s="18">
        <v>33.47</v>
      </c>
      <c r="C35" s="18">
        <v>38.9</v>
      </c>
      <c r="D35" s="18">
        <v>24.25</v>
      </c>
      <c r="E35" s="18">
        <v>11.16</v>
      </c>
      <c r="F35" s="18">
        <v>13.38</v>
      </c>
      <c r="G35" s="18">
        <v>33.758000000000003</v>
      </c>
      <c r="H35" s="18">
        <v>21.820250000000001</v>
      </c>
      <c r="I35" s="8">
        <v>-0.13958868894601539</v>
      </c>
      <c r="J35" s="8">
        <v>0.38020618556701019</v>
      </c>
      <c r="K35" s="8">
        <v>1.99910394265233</v>
      </c>
      <c r="L35" s="8">
        <v>1.501494768310911</v>
      </c>
      <c r="M35" s="18">
        <v>3.7412162075842361</v>
      </c>
    </row>
    <row r="36" spans="1:13" x14ac:dyDescent="0.45">
      <c r="A36" t="s">
        <v>68</v>
      </c>
      <c r="B36" s="18">
        <v>196.54</v>
      </c>
      <c r="C36" s="18">
        <v>135.24</v>
      </c>
      <c r="D36" s="18">
        <v>123.11</v>
      </c>
      <c r="E36" s="18">
        <v>65.540000000000006</v>
      </c>
      <c r="F36" s="18">
        <v>102.25</v>
      </c>
      <c r="G36" s="18">
        <v>139.50899999999999</v>
      </c>
      <c r="H36" s="18">
        <v>107.8706</v>
      </c>
      <c r="I36" s="8">
        <v>0.45326826382726981</v>
      </c>
      <c r="J36" s="8">
        <v>0.59645845179108115</v>
      </c>
      <c r="K36" s="8">
        <v>1.9987793713762581</v>
      </c>
      <c r="L36" s="8">
        <v>0.92215158924205376</v>
      </c>
      <c r="M36" s="18">
        <v>3.9706576762366632</v>
      </c>
    </row>
    <row r="37" spans="1:13" x14ac:dyDescent="0.45">
      <c r="A37" t="s">
        <v>1053</v>
      </c>
      <c r="B37" s="18">
        <v>34.630000000000003</v>
      </c>
      <c r="C37" s="18">
        <v>31.95</v>
      </c>
      <c r="D37" s="18">
        <v>26.67</v>
      </c>
      <c r="E37" s="18">
        <v>11.55</v>
      </c>
      <c r="F37" s="18">
        <v>20.260000000000002</v>
      </c>
      <c r="G37" s="18">
        <v>27.604399999999998</v>
      </c>
      <c r="H37" s="18">
        <v>20.415500000000002</v>
      </c>
      <c r="I37" s="8">
        <v>8.3881064162754315E-2</v>
      </c>
      <c r="J37" s="8">
        <v>0.29846269216347959</v>
      </c>
      <c r="K37" s="8">
        <v>1.998268398268398</v>
      </c>
      <c r="L37" s="8">
        <v>0.70927936821322812</v>
      </c>
      <c r="M37" s="18">
        <v>3.0898915228078612</v>
      </c>
    </row>
    <row r="38" spans="1:13" x14ac:dyDescent="0.45">
      <c r="A38" t="s">
        <v>907</v>
      </c>
      <c r="B38" s="18">
        <v>159.66</v>
      </c>
      <c r="C38" s="18">
        <v>122.19</v>
      </c>
      <c r="D38" s="18">
        <v>78.45</v>
      </c>
      <c r="E38" s="18">
        <v>54.03</v>
      </c>
      <c r="F38" s="18">
        <v>66.69</v>
      </c>
      <c r="G38" s="18">
        <v>115.41079999999999</v>
      </c>
      <c r="H38" s="18">
        <v>86.608899999999991</v>
      </c>
      <c r="I38" s="8">
        <v>0.306653572305426</v>
      </c>
      <c r="J38" s="8">
        <v>1.035181644359465</v>
      </c>
      <c r="K38" s="8">
        <v>1.9550249861188229</v>
      </c>
      <c r="L38" s="8">
        <v>1.394062078272605</v>
      </c>
      <c r="M38" s="18">
        <v>4.6909222810563183</v>
      </c>
    </row>
    <row r="39" spans="1:13" x14ac:dyDescent="0.45">
      <c r="A39" t="s">
        <v>2148</v>
      </c>
      <c r="B39" s="18">
        <v>48.21</v>
      </c>
      <c r="C39" s="18">
        <v>24.92</v>
      </c>
      <c r="D39" s="18">
        <v>30.7</v>
      </c>
      <c r="E39" s="18">
        <v>16.649999999999999</v>
      </c>
      <c r="F39" s="18">
        <v>13.6</v>
      </c>
      <c r="G39" s="18">
        <v>33.064399999999999</v>
      </c>
      <c r="H39" s="18">
        <v>28.103750000000002</v>
      </c>
      <c r="I39" s="8">
        <v>0.93459069020866758</v>
      </c>
      <c r="J39" s="8">
        <v>0.57035830618892525</v>
      </c>
      <c r="K39" s="8">
        <v>1.8954954954954959</v>
      </c>
      <c r="L39" s="8">
        <v>2.5448529411764711</v>
      </c>
      <c r="M39" s="18">
        <v>5.9452974330695589</v>
      </c>
    </row>
    <row r="40" spans="1:13" x14ac:dyDescent="0.45">
      <c r="A40" t="s">
        <v>2055</v>
      </c>
      <c r="B40" s="18">
        <v>42.44</v>
      </c>
      <c r="C40" s="18">
        <v>35.64</v>
      </c>
      <c r="D40" s="18">
        <v>24.07</v>
      </c>
      <c r="E40" s="18">
        <v>14.69</v>
      </c>
      <c r="F40" s="18">
        <v>19.66</v>
      </c>
      <c r="G40" s="18">
        <v>35.513199999999998</v>
      </c>
      <c r="H40" s="18">
        <v>24.307200000000002</v>
      </c>
      <c r="I40" s="8">
        <v>0.19079685746352409</v>
      </c>
      <c r="J40" s="8">
        <v>0.76319069380972149</v>
      </c>
      <c r="K40" s="8">
        <v>1.8890401633764471</v>
      </c>
      <c r="L40" s="8">
        <v>1.158697863682604</v>
      </c>
      <c r="M40" s="18">
        <v>4.0017255783322963</v>
      </c>
    </row>
    <row r="41" spans="1:13" x14ac:dyDescent="0.45">
      <c r="A41" t="s">
        <v>897</v>
      </c>
      <c r="B41" s="18">
        <v>1.42</v>
      </c>
      <c r="C41" s="18">
        <v>1.55</v>
      </c>
      <c r="D41" s="18">
        <v>1.31</v>
      </c>
      <c r="E41" s="18">
        <v>0.4919</v>
      </c>
      <c r="F41" s="18">
        <v>1.68</v>
      </c>
      <c r="G41" s="18">
        <v>1.4124000000000001</v>
      </c>
      <c r="H41" s="18">
        <v>1.2193035000000001</v>
      </c>
      <c r="I41" s="8">
        <v>-8.3870967741935587E-2</v>
      </c>
      <c r="J41" s="8">
        <v>8.3969465648854769E-2</v>
      </c>
      <c r="K41" s="8">
        <v>1.886765602764789</v>
      </c>
      <c r="L41" s="8">
        <v>-0.15476190476190479</v>
      </c>
      <c r="M41" s="18">
        <v>1.732102195909804</v>
      </c>
    </row>
    <row r="42" spans="1:13" x14ac:dyDescent="0.45">
      <c r="A42" t="s">
        <v>1092</v>
      </c>
      <c r="B42" s="18">
        <v>17.600000000000001</v>
      </c>
      <c r="C42" s="18">
        <v>8.5299999999999994</v>
      </c>
      <c r="D42" s="18">
        <v>10.5</v>
      </c>
      <c r="E42" s="18">
        <v>6.1</v>
      </c>
      <c r="F42" s="18">
        <v>16.2</v>
      </c>
      <c r="G42" s="18">
        <v>11.82518</v>
      </c>
      <c r="H42" s="18">
        <v>11.45871</v>
      </c>
      <c r="I42" s="8">
        <v>1.063305978898007</v>
      </c>
      <c r="J42" s="8">
        <v>0.67619047619047623</v>
      </c>
      <c r="K42" s="8">
        <v>1.885245901639345</v>
      </c>
      <c r="L42" s="8">
        <v>8.6419753086419915E-2</v>
      </c>
      <c r="M42" s="18">
        <v>3.7111621098142482</v>
      </c>
    </row>
    <row r="43" spans="1:13" x14ac:dyDescent="0.45">
      <c r="A43" t="s">
        <v>1733</v>
      </c>
      <c r="B43" s="18">
        <v>18.78</v>
      </c>
      <c r="C43" s="18">
        <v>13.56</v>
      </c>
      <c r="D43" s="18">
        <v>10.64</v>
      </c>
      <c r="E43" s="18">
        <v>6.56</v>
      </c>
      <c r="F43" s="18">
        <v>9.33</v>
      </c>
      <c r="G43" s="18">
        <v>12.9976</v>
      </c>
      <c r="H43" s="18">
        <v>9.5389999999999997</v>
      </c>
      <c r="I43" s="8">
        <v>0.38495575221238942</v>
      </c>
      <c r="J43" s="8">
        <v>0.76503759398496252</v>
      </c>
      <c r="K43" s="8">
        <v>1.8628048780487809</v>
      </c>
      <c r="L43" s="8">
        <v>1.012861736334405</v>
      </c>
      <c r="M43" s="18">
        <v>4.0256599605805388</v>
      </c>
    </row>
    <row r="44" spans="1:13" x14ac:dyDescent="0.45">
      <c r="A44" t="s">
        <v>1137</v>
      </c>
      <c r="B44" s="18">
        <v>145.07</v>
      </c>
      <c r="C44" s="18">
        <v>138.83000000000001</v>
      </c>
      <c r="D44" s="18">
        <v>115.37</v>
      </c>
      <c r="E44" s="18">
        <v>51</v>
      </c>
      <c r="F44" s="18">
        <v>105.89</v>
      </c>
      <c r="G44" s="18">
        <v>127.5514</v>
      </c>
      <c r="H44" s="18">
        <v>101.3479</v>
      </c>
      <c r="I44" s="8">
        <v>4.4947057552402032E-2</v>
      </c>
      <c r="J44" s="8">
        <v>0.25743260813036312</v>
      </c>
      <c r="K44" s="8">
        <v>1.8445098039215679</v>
      </c>
      <c r="L44" s="8">
        <v>0.37000661063367629</v>
      </c>
      <c r="M44" s="18">
        <v>2.51689608023801</v>
      </c>
    </row>
    <row r="45" spans="1:13" x14ac:dyDescent="0.45">
      <c r="A45" t="s">
        <v>1911</v>
      </c>
      <c r="B45" s="18">
        <v>37.020000000000003</v>
      </c>
      <c r="C45" s="18">
        <v>36.200000000000003</v>
      </c>
      <c r="D45" s="18">
        <v>34.630000000000003</v>
      </c>
      <c r="E45" s="18">
        <v>13.06</v>
      </c>
      <c r="F45" s="18">
        <v>18.97</v>
      </c>
      <c r="G45" s="18">
        <v>32.970199999999998</v>
      </c>
      <c r="H45" s="18">
        <v>22.717700000000001</v>
      </c>
      <c r="I45" s="8">
        <v>2.2651933701657519E-2</v>
      </c>
      <c r="J45" s="8">
        <v>6.9015304649148179E-2</v>
      </c>
      <c r="K45" s="8">
        <v>1.834609494640123</v>
      </c>
      <c r="L45" s="8">
        <v>0.95150237216657918</v>
      </c>
      <c r="M45" s="18">
        <v>2.877779105157507</v>
      </c>
    </row>
    <row r="46" spans="1:13" x14ac:dyDescent="0.45">
      <c r="A46" t="s">
        <v>1397</v>
      </c>
      <c r="B46" s="18">
        <v>13.34</v>
      </c>
      <c r="C46" s="18">
        <v>10.18</v>
      </c>
      <c r="D46" s="18">
        <v>5.89</v>
      </c>
      <c r="E46" s="18">
        <v>4.71</v>
      </c>
      <c r="F46" s="18">
        <v>6.6</v>
      </c>
      <c r="G46" s="18">
        <v>9.3450000000000006</v>
      </c>
      <c r="H46" s="18">
        <v>6.5154500000000004</v>
      </c>
      <c r="I46" s="8">
        <v>0.31041257367387032</v>
      </c>
      <c r="J46" s="8">
        <v>1.2648556876061119</v>
      </c>
      <c r="K46" s="8">
        <v>1.832271762208068</v>
      </c>
      <c r="L46" s="8">
        <v>1.021212121212121</v>
      </c>
      <c r="M46" s="18">
        <v>4.4287521447001721</v>
      </c>
    </row>
    <row r="47" spans="1:13" x14ac:dyDescent="0.45">
      <c r="A47" t="s">
        <v>829</v>
      </c>
      <c r="B47" s="18">
        <v>31.74</v>
      </c>
      <c r="C47" s="18">
        <v>18.5</v>
      </c>
      <c r="D47" s="18">
        <v>14.84</v>
      </c>
      <c r="E47" s="18">
        <v>11.26</v>
      </c>
      <c r="F47" s="18">
        <v>26.41</v>
      </c>
      <c r="G47" s="18">
        <v>20.359400000000001</v>
      </c>
      <c r="H47" s="18">
        <v>16.366099999999999</v>
      </c>
      <c r="I47" s="8">
        <v>0.71567567567567569</v>
      </c>
      <c r="J47" s="8">
        <v>1.138814016172506</v>
      </c>
      <c r="K47" s="8">
        <v>1.8188277087033751</v>
      </c>
      <c r="L47" s="8">
        <v>0.20181749337372201</v>
      </c>
      <c r="M47" s="18">
        <v>3.8751348939252792</v>
      </c>
    </row>
    <row r="48" spans="1:13" x14ac:dyDescent="0.45">
      <c r="A48" t="s">
        <v>2285</v>
      </c>
      <c r="B48" s="18">
        <v>2.93</v>
      </c>
      <c r="C48" s="18">
        <v>1.94</v>
      </c>
      <c r="D48" s="18">
        <v>1.42</v>
      </c>
      <c r="E48" s="18">
        <v>1.04</v>
      </c>
      <c r="F48" s="18"/>
      <c r="G48" s="18">
        <v>1.7824</v>
      </c>
      <c r="H48" s="18"/>
      <c r="I48" s="8">
        <v>0.51030927835051565</v>
      </c>
      <c r="J48" s="8">
        <v>1.063380281690141</v>
      </c>
      <c r="K48" s="8">
        <v>1.817307692307693</v>
      </c>
      <c r="L48" s="8"/>
      <c r="M48" s="18">
        <v>3.3909972523483489</v>
      </c>
    </row>
    <row r="49" spans="1:13" x14ac:dyDescent="0.45">
      <c r="A49" t="s">
        <v>1375</v>
      </c>
      <c r="B49" s="18">
        <v>17.12</v>
      </c>
      <c r="C49" s="18">
        <v>13.01</v>
      </c>
      <c r="D49" s="18">
        <v>10.79</v>
      </c>
      <c r="E49" s="18">
        <v>6.09</v>
      </c>
      <c r="F49" s="18">
        <v>9.4</v>
      </c>
      <c r="G49" s="18">
        <v>12.433199999999999</v>
      </c>
      <c r="H49" s="18">
        <v>9.4929500000000004</v>
      </c>
      <c r="I49" s="8">
        <v>0.31591083781706392</v>
      </c>
      <c r="J49" s="8">
        <v>0.58665430954587605</v>
      </c>
      <c r="K49" s="8">
        <v>1.8111658456486039</v>
      </c>
      <c r="L49" s="8">
        <v>0.82127659574468082</v>
      </c>
      <c r="M49" s="18">
        <v>3.5350075887562249</v>
      </c>
    </row>
    <row r="50" spans="1:13" x14ac:dyDescent="0.45">
      <c r="A50" t="s">
        <v>1063</v>
      </c>
      <c r="B50" s="18">
        <v>16.09</v>
      </c>
      <c r="C50" s="18">
        <v>10.76</v>
      </c>
      <c r="D50" s="18">
        <v>10.79</v>
      </c>
      <c r="E50" s="18">
        <v>5.76</v>
      </c>
      <c r="F50" s="18">
        <v>8.33</v>
      </c>
      <c r="G50" s="18">
        <v>12.478199999999999</v>
      </c>
      <c r="H50" s="18">
        <v>10.133900000000001</v>
      </c>
      <c r="I50" s="8">
        <v>0.49535315985130118</v>
      </c>
      <c r="J50" s="8">
        <v>0.49119555143651539</v>
      </c>
      <c r="K50" s="8">
        <v>1.7934027777777779</v>
      </c>
      <c r="L50" s="8">
        <v>0.93157262905162064</v>
      </c>
      <c r="M50" s="18">
        <v>3.7115241181172149</v>
      </c>
    </row>
    <row r="51" spans="1:13" x14ac:dyDescent="0.45">
      <c r="A51" t="s">
        <v>1900</v>
      </c>
      <c r="B51" s="18">
        <v>8.84</v>
      </c>
      <c r="C51" s="18">
        <v>7.13</v>
      </c>
      <c r="D51" s="18">
        <v>8.85</v>
      </c>
      <c r="E51" s="18">
        <v>3.2</v>
      </c>
      <c r="F51" s="18">
        <v>4.5</v>
      </c>
      <c r="G51" s="18">
        <v>7.8049999999999997</v>
      </c>
      <c r="H51" s="18">
        <v>5.8818500000000009</v>
      </c>
      <c r="I51" s="8">
        <v>0.23983169705469851</v>
      </c>
      <c r="J51" s="8">
        <v>-1.1299435028248039E-3</v>
      </c>
      <c r="K51" s="8">
        <v>1.7625</v>
      </c>
      <c r="L51" s="8">
        <v>0.96444444444444444</v>
      </c>
      <c r="M51" s="18">
        <v>2.965646197996318</v>
      </c>
    </row>
    <row r="52" spans="1:13" x14ac:dyDescent="0.45">
      <c r="A52" t="s">
        <v>1559</v>
      </c>
      <c r="B52" s="18">
        <v>76.599999999999994</v>
      </c>
      <c r="C52" s="18">
        <v>62.51</v>
      </c>
      <c r="D52" s="18">
        <v>47.44</v>
      </c>
      <c r="E52" s="18">
        <v>27.8</v>
      </c>
      <c r="F52" s="18"/>
      <c r="G52" s="18">
        <v>59.284399999999998</v>
      </c>
      <c r="H52" s="18"/>
      <c r="I52" s="8">
        <v>0.22540393537034081</v>
      </c>
      <c r="J52" s="8">
        <v>0.61467116357504215</v>
      </c>
      <c r="K52" s="8">
        <v>1.7553956834532369</v>
      </c>
      <c r="L52" s="8"/>
      <c r="M52" s="18">
        <v>2.5954707823986198</v>
      </c>
    </row>
    <row r="53" spans="1:13" x14ac:dyDescent="0.45">
      <c r="A53" t="s">
        <v>1577</v>
      </c>
      <c r="B53" s="18">
        <v>4.84</v>
      </c>
      <c r="C53" s="18">
        <v>3.07</v>
      </c>
      <c r="D53" s="18">
        <v>2.4300000000000002</v>
      </c>
      <c r="E53" s="18">
        <v>1.76</v>
      </c>
      <c r="F53" s="18"/>
      <c r="G53" s="18">
        <v>3.3344</v>
      </c>
      <c r="H53" s="18"/>
      <c r="I53" s="8">
        <v>0.57654723127035834</v>
      </c>
      <c r="J53" s="8">
        <v>0.9917695473251027</v>
      </c>
      <c r="K53" s="8">
        <v>1.75</v>
      </c>
      <c r="L53" s="8"/>
      <c r="M53" s="18">
        <v>3.3183167785954608</v>
      </c>
    </row>
    <row r="54" spans="1:13" x14ac:dyDescent="0.45">
      <c r="A54" t="s">
        <v>2193</v>
      </c>
      <c r="B54" s="18">
        <v>38.200000000000003</v>
      </c>
      <c r="C54" s="18">
        <v>35.340000000000003</v>
      </c>
      <c r="D54" s="18">
        <v>36.020000000000003</v>
      </c>
      <c r="E54" s="18">
        <v>13.91</v>
      </c>
      <c r="F54" s="18">
        <v>13.15</v>
      </c>
      <c r="G54" s="18">
        <v>38.587400000000002</v>
      </c>
      <c r="H54" s="18">
        <v>28.557500000000001</v>
      </c>
      <c r="I54" s="8">
        <v>8.0928126768534225E-2</v>
      </c>
      <c r="J54" s="8">
        <v>6.0521932259855582E-2</v>
      </c>
      <c r="K54" s="8">
        <v>1.746225736879943</v>
      </c>
      <c r="L54" s="8">
        <v>1.9049429657794681</v>
      </c>
      <c r="M54" s="18">
        <v>3.7926187616878</v>
      </c>
    </row>
    <row r="55" spans="1:13" x14ac:dyDescent="0.45">
      <c r="A55" t="s">
        <v>703</v>
      </c>
      <c r="B55" s="18">
        <v>7.29</v>
      </c>
      <c r="C55" s="18">
        <v>4.8</v>
      </c>
      <c r="D55" s="18">
        <v>7.12</v>
      </c>
      <c r="E55" s="18">
        <v>2.66</v>
      </c>
      <c r="F55" s="18">
        <v>1.51</v>
      </c>
      <c r="G55" s="18">
        <v>6.1254</v>
      </c>
      <c r="H55" s="18">
        <v>4.9696500000000006</v>
      </c>
      <c r="I55" s="8">
        <v>0.51875000000000004</v>
      </c>
      <c r="J55" s="8">
        <v>2.3876404494382001E-2</v>
      </c>
      <c r="K55" s="8">
        <v>1.740601503759398</v>
      </c>
      <c r="L55" s="8">
        <v>3.827814569536423</v>
      </c>
      <c r="M55" s="18">
        <v>6.1110424777902042</v>
      </c>
    </row>
    <row r="56" spans="1:13" x14ac:dyDescent="0.45">
      <c r="A56" t="s">
        <v>1232</v>
      </c>
      <c r="B56" s="18">
        <v>844.62</v>
      </c>
      <c r="C56" s="18">
        <v>709.53</v>
      </c>
      <c r="D56" s="18">
        <v>533.77</v>
      </c>
      <c r="E56" s="18">
        <v>312.20999999999998</v>
      </c>
      <c r="F56" s="18">
        <v>402.53</v>
      </c>
      <c r="G56" s="18">
        <v>741.73839999999996</v>
      </c>
      <c r="H56" s="18">
        <v>515.12540000000001</v>
      </c>
      <c r="I56" s="8">
        <v>0.1903936408608515</v>
      </c>
      <c r="J56" s="8">
        <v>0.58236693707027376</v>
      </c>
      <c r="K56" s="8">
        <v>1.7052945133083499</v>
      </c>
      <c r="L56" s="8">
        <v>1.0982783891883841</v>
      </c>
      <c r="M56" s="18">
        <v>3.5763334804278601</v>
      </c>
    </row>
    <row r="57" spans="1:13" x14ac:dyDescent="0.45">
      <c r="A57" t="s">
        <v>561</v>
      </c>
      <c r="B57" s="18">
        <v>14.13</v>
      </c>
      <c r="C57" s="18">
        <v>9.14</v>
      </c>
      <c r="D57" s="18">
        <v>8.64</v>
      </c>
      <c r="E57" s="18">
        <v>5.24</v>
      </c>
      <c r="F57" s="18">
        <v>6.37</v>
      </c>
      <c r="G57" s="18">
        <v>9.938600000000001</v>
      </c>
      <c r="H57" s="18">
        <v>7.4374500000000001</v>
      </c>
      <c r="I57" s="8">
        <v>0.5459518599562363</v>
      </c>
      <c r="J57" s="8">
        <v>0.63541666666666674</v>
      </c>
      <c r="K57" s="8">
        <v>1.696564885496183</v>
      </c>
      <c r="L57" s="8">
        <v>1.2182103610675039</v>
      </c>
      <c r="M57" s="18">
        <v>4.09614377318659</v>
      </c>
    </row>
    <row r="58" spans="1:13" x14ac:dyDescent="0.45">
      <c r="A58" t="s">
        <v>1862</v>
      </c>
      <c r="B58" s="18">
        <v>3.76</v>
      </c>
      <c r="C58" s="18">
        <v>3.08</v>
      </c>
      <c r="D58" s="18">
        <v>2.27</v>
      </c>
      <c r="E58" s="18">
        <v>1.4</v>
      </c>
      <c r="F58" s="18">
        <v>2.11</v>
      </c>
      <c r="G58" s="18">
        <v>2.867999999999999</v>
      </c>
      <c r="H58" s="18">
        <v>2.0404749999999998</v>
      </c>
      <c r="I58" s="8">
        <v>0.22077922077922069</v>
      </c>
      <c r="J58" s="8">
        <v>0.65638766519823788</v>
      </c>
      <c r="K58" s="8">
        <v>1.6857142857142859</v>
      </c>
      <c r="L58" s="8">
        <v>0.78199052132701419</v>
      </c>
      <c r="M58" s="18">
        <v>3.3448716930187579</v>
      </c>
    </row>
    <row r="59" spans="1:13" x14ac:dyDescent="0.45">
      <c r="A59" t="s">
        <v>1645</v>
      </c>
      <c r="B59" s="18">
        <v>28.78</v>
      </c>
      <c r="C59" s="18">
        <v>28.52</v>
      </c>
      <c r="D59" s="18">
        <v>23.57</v>
      </c>
      <c r="E59" s="18">
        <v>10.74</v>
      </c>
      <c r="F59" s="18">
        <v>22.55</v>
      </c>
      <c r="G59" s="18">
        <v>27.794</v>
      </c>
      <c r="H59" s="18">
        <v>21.182700000000001</v>
      </c>
      <c r="I59" s="8">
        <v>9.1164095371669696E-3</v>
      </c>
      <c r="J59" s="8">
        <v>0.22104369961815859</v>
      </c>
      <c r="K59" s="8">
        <v>1.6797020484171321</v>
      </c>
      <c r="L59" s="8">
        <v>0.27627494456762758</v>
      </c>
      <c r="M59" s="18">
        <v>2.1861371021400848</v>
      </c>
    </row>
    <row r="60" spans="1:13" x14ac:dyDescent="0.45">
      <c r="A60" t="s">
        <v>12</v>
      </c>
      <c r="B60" s="18">
        <v>629.70000000000005</v>
      </c>
      <c r="C60" s="18">
        <v>558.16999999999996</v>
      </c>
      <c r="D60" s="18">
        <v>346.32</v>
      </c>
      <c r="E60" s="18">
        <v>235.28</v>
      </c>
      <c r="F60" s="18">
        <v>139.66</v>
      </c>
      <c r="G60" s="18">
        <v>527.32420000000002</v>
      </c>
      <c r="H60" s="18">
        <v>384.48520000000002</v>
      </c>
      <c r="I60" s="8">
        <v>0.1281509217621872</v>
      </c>
      <c r="J60" s="8">
        <v>0.81826056826056837</v>
      </c>
      <c r="K60" s="8">
        <v>1.6763855831349881</v>
      </c>
      <c r="L60" s="8">
        <v>3.5088071029643428</v>
      </c>
      <c r="M60" s="18">
        <v>6.131604176122087</v>
      </c>
    </row>
    <row r="61" spans="1:13" x14ac:dyDescent="0.45">
      <c r="A61" t="s">
        <v>1790</v>
      </c>
      <c r="B61" s="18">
        <v>3.58</v>
      </c>
      <c r="C61" s="18">
        <v>1.92</v>
      </c>
      <c r="D61" s="18">
        <v>1.84</v>
      </c>
      <c r="E61" s="18">
        <v>1.34</v>
      </c>
      <c r="F61" s="18">
        <v>1.48</v>
      </c>
      <c r="G61" s="18">
        <v>2.1585000000000001</v>
      </c>
      <c r="H61" s="18">
        <v>1.876655</v>
      </c>
      <c r="I61" s="8">
        <v>0.86458333333333348</v>
      </c>
      <c r="J61" s="8">
        <v>0.94565217391304346</v>
      </c>
      <c r="K61" s="8">
        <v>1.6716417910447761</v>
      </c>
      <c r="L61" s="8">
        <v>1.4189189189189191</v>
      </c>
      <c r="M61" s="18">
        <v>4.9007962172100719</v>
      </c>
    </row>
    <row r="62" spans="1:13" x14ac:dyDescent="0.45">
      <c r="A62" t="s">
        <v>1022</v>
      </c>
      <c r="B62" s="18">
        <v>39.39</v>
      </c>
      <c r="C62" s="18">
        <v>35.17</v>
      </c>
      <c r="D62" s="18">
        <v>23.88</v>
      </c>
      <c r="E62" s="18">
        <v>14.76</v>
      </c>
      <c r="F62" s="18">
        <v>12.38</v>
      </c>
      <c r="G62" s="18">
        <v>33.805599999999998</v>
      </c>
      <c r="H62" s="18">
        <v>21.296749999999999</v>
      </c>
      <c r="I62" s="8">
        <v>0.1199886266704577</v>
      </c>
      <c r="J62" s="8">
        <v>0.64949748743718594</v>
      </c>
      <c r="K62" s="8">
        <v>1.6686991869918699</v>
      </c>
      <c r="L62" s="8">
        <v>2.1817447495961231</v>
      </c>
      <c r="M62" s="18">
        <v>4.6199300506956362</v>
      </c>
    </row>
    <row r="63" spans="1:13" x14ac:dyDescent="0.45">
      <c r="A63" t="s">
        <v>1584</v>
      </c>
      <c r="B63" s="18">
        <v>3.17</v>
      </c>
      <c r="C63" s="18">
        <v>3.29</v>
      </c>
      <c r="D63" s="18">
        <v>1.52</v>
      </c>
      <c r="E63" s="18">
        <v>1.19</v>
      </c>
      <c r="F63" s="18">
        <v>2.42</v>
      </c>
      <c r="G63" s="18">
        <v>2.6753999999999998</v>
      </c>
      <c r="H63" s="18">
        <v>1.7722500000000001</v>
      </c>
      <c r="I63" s="8">
        <v>-3.6474164133738607E-2</v>
      </c>
      <c r="J63" s="8">
        <v>1.085526315789473</v>
      </c>
      <c r="K63" s="8">
        <v>1.663865546218487</v>
      </c>
      <c r="L63" s="8">
        <v>0.30991735537190079</v>
      </c>
      <c r="M63" s="18">
        <v>3.0228350532461228</v>
      </c>
    </row>
    <row r="64" spans="1:13" x14ac:dyDescent="0.45">
      <c r="A64" t="s">
        <v>2442</v>
      </c>
      <c r="B64" s="18">
        <v>167.38</v>
      </c>
      <c r="C64" s="18">
        <v>125.58</v>
      </c>
      <c r="D64" s="18">
        <v>120.72</v>
      </c>
      <c r="E64" s="18">
        <v>62.9</v>
      </c>
      <c r="F64" s="18">
        <v>105.2</v>
      </c>
      <c r="G64" s="18">
        <v>138.74639999999999</v>
      </c>
      <c r="H64" s="18">
        <v>114.30365</v>
      </c>
      <c r="I64" s="8">
        <v>0.33285555024685459</v>
      </c>
      <c r="J64" s="8">
        <v>0.38651424784625582</v>
      </c>
      <c r="K64" s="8">
        <v>1.6610492845786959</v>
      </c>
      <c r="L64" s="8">
        <v>0.59106463878326987</v>
      </c>
      <c r="M64" s="18">
        <v>2.9714837214550771</v>
      </c>
    </row>
    <row r="65" spans="1:13" x14ac:dyDescent="0.45">
      <c r="A65" t="s">
        <v>2243</v>
      </c>
      <c r="B65" s="18">
        <v>7.89</v>
      </c>
      <c r="C65" s="18">
        <v>7.88</v>
      </c>
      <c r="D65" s="18">
        <v>6.43</v>
      </c>
      <c r="E65" s="18">
        <v>3</v>
      </c>
      <c r="F65" s="18">
        <v>10.8</v>
      </c>
      <c r="G65" s="18">
        <v>7.1985999999999999</v>
      </c>
      <c r="H65" s="18">
        <v>6.0136500000000002</v>
      </c>
      <c r="I65" s="8">
        <v>1.269035532994955E-3</v>
      </c>
      <c r="J65" s="8">
        <v>0.2270606531881805</v>
      </c>
      <c r="K65" s="8">
        <v>1.63</v>
      </c>
      <c r="L65" s="8">
        <v>-0.26944444444444449</v>
      </c>
      <c r="M65" s="18">
        <v>1.5888852442767309</v>
      </c>
    </row>
    <row r="66" spans="1:13" x14ac:dyDescent="0.45">
      <c r="A66" t="s">
        <v>1200</v>
      </c>
      <c r="B66" s="18">
        <v>8.27</v>
      </c>
      <c r="C66" s="18">
        <v>5.89</v>
      </c>
      <c r="D66" s="18">
        <v>5.44</v>
      </c>
      <c r="E66" s="18">
        <v>3.15</v>
      </c>
      <c r="F66" s="18">
        <v>4.28</v>
      </c>
      <c r="G66" s="18">
        <v>6.3049999999999997</v>
      </c>
      <c r="H66" s="18">
        <v>4.6967499999999998</v>
      </c>
      <c r="I66" s="8">
        <v>0.40407470288624792</v>
      </c>
      <c r="J66" s="8">
        <v>0.52022058823529393</v>
      </c>
      <c r="K66" s="8">
        <v>1.625396825396825</v>
      </c>
      <c r="L66" s="8">
        <v>0.93224299065420535</v>
      </c>
      <c r="M66" s="18">
        <v>3.481935107172573</v>
      </c>
    </row>
    <row r="67" spans="1:13" x14ac:dyDescent="0.45">
      <c r="A67" t="s">
        <v>2353</v>
      </c>
      <c r="B67" s="18">
        <v>5.59</v>
      </c>
      <c r="C67" s="18">
        <v>4.71</v>
      </c>
      <c r="D67" s="18">
        <v>3.62</v>
      </c>
      <c r="E67" s="18">
        <v>2.13</v>
      </c>
      <c r="F67" s="18">
        <v>3.37</v>
      </c>
      <c r="G67" s="18">
        <v>4.7450000000000001</v>
      </c>
      <c r="H67" s="18">
        <v>3.7740499999999999</v>
      </c>
      <c r="I67" s="8">
        <v>0.18683651804670909</v>
      </c>
      <c r="J67" s="8">
        <v>0.5441988950276242</v>
      </c>
      <c r="K67" s="8">
        <v>1.624413145539906</v>
      </c>
      <c r="L67" s="8">
        <v>0.65875370919881293</v>
      </c>
      <c r="M67" s="18">
        <v>3.0142022678130518</v>
      </c>
    </row>
    <row r="68" spans="1:13" x14ac:dyDescent="0.45">
      <c r="A68" t="s">
        <v>1271</v>
      </c>
      <c r="B68" s="18">
        <v>16.34</v>
      </c>
      <c r="C68" s="18">
        <v>11.04</v>
      </c>
      <c r="D68" s="18">
        <v>14.02</v>
      </c>
      <c r="E68" s="18">
        <v>6.25</v>
      </c>
      <c r="F68" s="18">
        <v>4.95</v>
      </c>
      <c r="G68" s="18">
        <v>12.800599999999999</v>
      </c>
      <c r="H68" s="18">
        <v>11.0343</v>
      </c>
      <c r="I68" s="8">
        <v>0.48007246376811602</v>
      </c>
      <c r="J68" s="8">
        <v>0.16547788873038519</v>
      </c>
      <c r="K68" s="8">
        <v>1.6144000000000001</v>
      </c>
      <c r="L68" s="8">
        <v>2.3010101010101009</v>
      </c>
      <c r="M68" s="18">
        <v>4.5609604535086019</v>
      </c>
    </row>
    <row r="69" spans="1:13" x14ac:dyDescent="0.45">
      <c r="A69" t="s">
        <v>2235</v>
      </c>
      <c r="B69" s="18">
        <v>5.45</v>
      </c>
      <c r="C69" s="18">
        <v>4.07</v>
      </c>
      <c r="D69" s="18">
        <v>7.58</v>
      </c>
      <c r="E69" s="18">
        <v>2.09</v>
      </c>
      <c r="F69" s="18">
        <v>1.94</v>
      </c>
      <c r="G69" s="18">
        <v>4.3685999999999998</v>
      </c>
      <c r="H69" s="18">
        <v>3.8290000000000002</v>
      </c>
      <c r="I69" s="8">
        <v>0.3390663390663391</v>
      </c>
      <c r="J69" s="8">
        <v>-0.28100263852242752</v>
      </c>
      <c r="K69" s="8">
        <v>1.6076555023923449</v>
      </c>
      <c r="L69" s="8">
        <v>1.8092783505154639</v>
      </c>
      <c r="M69" s="18">
        <v>3.474997553451721</v>
      </c>
    </row>
    <row r="70" spans="1:13" x14ac:dyDescent="0.45">
      <c r="A70" t="s">
        <v>1992</v>
      </c>
      <c r="B70" s="18">
        <v>139.31</v>
      </c>
      <c r="C70" s="18">
        <v>113.05</v>
      </c>
      <c r="D70" s="18">
        <v>85.02</v>
      </c>
      <c r="E70" s="18">
        <v>53.76</v>
      </c>
      <c r="F70" s="18">
        <v>59.7</v>
      </c>
      <c r="G70" s="18">
        <v>119.307</v>
      </c>
      <c r="H70" s="18">
        <v>84.388450000000006</v>
      </c>
      <c r="I70" s="8">
        <v>0.23228659885006639</v>
      </c>
      <c r="J70" s="8">
        <v>0.63855563396847814</v>
      </c>
      <c r="K70" s="8">
        <v>1.5913318452380949</v>
      </c>
      <c r="L70" s="8">
        <v>1.3335008375209381</v>
      </c>
      <c r="M70" s="18">
        <v>3.7956749155775782</v>
      </c>
    </row>
    <row r="71" spans="1:13" x14ac:dyDescent="0.45">
      <c r="A71" t="s">
        <v>2112</v>
      </c>
      <c r="B71" s="18">
        <v>25.12</v>
      </c>
      <c r="C71" s="18">
        <v>17.39</v>
      </c>
      <c r="D71" s="18">
        <v>15.45</v>
      </c>
      <c r="E71" s="18">
        <v>9.75</v>
      </c>
      <c r="F71" s="18">
        <v>16.75</v>
      </c>
      <c r="G71" s="18">
        <v>18.820599999999999</v>
      </c>
      <c r="H71" s="18">
        <v>14.2418</v>
      </c>
      <c r="I71" s="8">
        <v>0.44450833812535939</v>
      </c>
      <c r="J71" s="8">
        <v>0.62588996763754068</v>
      </c>
      <c r="K71" s="8">
        <v>1.5764102564102569</v>
      </c>
      <c r="L71" s="8">
        <v>0.49970149253731361</v>
      </c>
      <c r="M71" s="18">
        <v>3.146510054710471</v>
      </c>
    </row>
    <row r="72" spans="1:13" x14ac:dyDescent="0.45">
      <c r="A72" t="s">
        <v>2508</v>
      </c>
      <c r="B72" s="18">
        <v>25.79</v>
      </c>
      <c r="C72" s="18">
        <v>31.53</v>
      </c>
      <c r="D72" s="18">
        <v>19.91</v>
      </c>
      <c r="E72" s="18">
        <v>10.07</v>
      </c>
      <c r="F72" s="18">
        <v>17.79</v>
      </c>
      <c r="G72" s="18">
        <v>28.4802</v>
      </c>
      <c r="H72" s="18">
        <v>20.29655</v>
      </c>
      <c r="I72" s="8">
        <v>-0.18204884237234389</v>
      </c>
      <c r="J72" s="8">
        <v>0.29532898041185329</v>
      </c>
      <c r="K72" s="8">
        <v>1.5610724925521351</v>
      </c>
      <c r="L72" s="8">
        <v>0.44969083754918499</v>
      </c>
      <c r="M72" s="18">
        <v>2.12404346814083</v>
      </c>
    </row>
    <row r="73" spans="1:13" x14ac:dyDescent="0.45">
      <c r="A73" t="s">
        <v>192</v>
      </c>
      <c r="B73" s="18">
        <v>387.27</v>
      </c>
      <c r="C73" s="18">
        <v>318.77999999999997</v>
      </c>
      <c r="D73" s="18">
        <v>388.96</v>
      </c>
      <c r="E73" s="18">
        <v>151.47</v>
      </c>
      <c r="F73" s="18">
        <v>170.91</v>
      </c>
      <c r="G73" s="18">
        <v>325.49059999999997</v>
      </c>
      <c r="H73" s="18">
        <v>275.572</v>
      </c>
      <c r="I73" s="8">
        <v>0.21485036702428009</v>
      </c>
      <c r="J73" s="8">
        <v>-4.3449197860963018E-3</v>
      </c>
      <c r="K73" s="8">
        <v>1.5567439096850859</v>
      </c>
      <c r="L73" s="8">
        <v>1.26592943654555</v>
      </c>
      <c r="M73" s="18">
        <v>3.0331787934688199</v>
      </c>
    </row>
    <row r="74" spans="1:13" x14ac:dyDescent="0.45">
      <c r="A74" t="s">
        <v>1562</v>
      </c>
      <c r="B74" s="18">
        <v>15.73</v>
      </c>
      <c r="C74" s="18">
        <v>16.62</v>
      </c>
      <c r="D74" s="18">
        <v>9.65</v>
      </c>
      <c r="E74" s="18">
        <v>6.18</v>
      </c>
      <c r="F74" s="18">
        <v>19.62</v>
      </c>
      <c r="G74" s="18">
        <v>14.8102</v>
      </c>
      <c r="H74" s="18">
        <v>11.187049999999999</v>
      </c>
      <c r="I74" s="8">
        <v>-5.3549939831528337E-2</v>
      </c>
      <c r="J74" s="8">
        <v>0.63005181347150252</v>
      </c>
      <c r="K74" s="8">
        <v>1.5453074433656959</v>
      </c>
      <c r="L74" s="8">
        <v>-0.1982670744138634</v>
      </c>
      <c r="M74" s="18">
        <v>1.923542242591807</v>
      </c>
    </row>
    <row r="75" spans="1:13" x14ac:dyDescent="0.45">
      <c r="A75" t="s">
        <v>1780</v>
      </c>
      <c r="B75" s="18">
        <v>7.85</v>
      </c>
      <c r="C75" s="18">
        <v>6.28</v>
      </c>
      <c r="D75" s="18">
        <v>3.69</v>
      </c>
      <c r="E75" s="18">
        <v>3.14</v>
      </c>
      <c r="F75" s="18">
        <v>6.77</v>
      </c>
      <c r="G75" s="18">
        <v>6.1481999999999992</v>
      </c>
      <c r="H75" s="18">
        <v>4.61015</v>
      </c>
      <c r="I75" s="8">
        <v>0.25</v>
      </c>
      <c r="J75" s="8">
        <v>1.127371273712737</v>
      </c>
      <c r="K75" s="8">
        <v>1.5</v>
      </c>
      <c r="L75" s="8">
        <v>0.15952732644017731</v>
      </c>
      <c r="M75" s="18">
        <v>3.0368986001529139</v>
      </c>
    </row>
    <row r="76" spans="1:13" x14ac:dyDescent="0.45">
      <c r="A76" t="s">
        <v>2035</v>
      </c>
      <c r="B76" s="18">
        <v>125.97</v>
      </c>
      <c r="C76" s="18">
        <v>131.79</v>
      </c>
      <c r="D76" s="18">
        <v>105.03</v>
      </c>
      <c r="E76" s="18">
        <v>51.22</v>
      </c>
      <c r="F76" s="18">
        <v>41.99</v>
      </c>
      <c r="G76" s="18">
        <v>129.10759999999999</v>
      </c>
      <c r="H76" s="18">
        <v>89.184449999999998</v>
      </c>
      <c r="I76" s="8">
        <v>-4.4161165490553163E-2</v>
      </c>
      <c r="J76" s="8">
        <v>0.19937160811196811</v>
      </c>
      <c r="K76" s="8">
        <v>1.4593908629441621</v>
      </c>
      <c r="L76" s="8">
        <v>2</v>
      </c>
      <c r="M76" s="18">
        <v>3.6146013055655768</v>
      </c>
    </row>
    <row r="77" spans="1:13" x14ac:dyDescent="0.45">
      <c r="A77" t="s">
        <v>1109</v>
      </c>
      <c r="B77" s="18">
        <v>86.03</v>
      </c>
      <c r="C77" s="18">
        <v>75.91</v>
      </c>
      <c r="D77" s="18">
        <v>67.34</v>
      </c>
      <c r="E77" s="18">
        <v>35.07</v>
      </c>
      <c r="F77" s="18"/>
      <c r="G77" s="18">
        <v>77.735799999999998</v>
      </c>
      <c r="H77" s="18">
        <v>60.825200000000002</v>
      </c>
      <c r="I77" s="8">
        <v>0.1333157686734292</v>
      </c>
      <c r="J77" s="8">
        <v>0.27754677754677748</v>
      </c>
      <c r="K77" s="8">
        <v>1.4530938123752499</v>
      </c>
      <c r="L77" s="8"/>
      <c r="M77" s="18">
        <v>1.8639563585954559</v>
      </c>
    </row>
    <row r="78" spans="1:13" x14ac:dyDescent="0.45">
      <c r="A78" t="s">
        <v>1135</v>
      </c>
      <c r="B78" s="18">
        <v>20.34</v>
      </c>
      <c r="C78" s="18">
        <v>18.760000000000002</v>
      </c>
      <c r="D78" s="18">
        <v>15.04</v>
      </c>
      <c r="E78" s="18">
        <v>8.33</v>
      </c>
      <c r="F78" s="18">
        <v>14.66</v>
      </c>
      <c r="G78" s="18">
        <v>18.0166</v>
      </c>
      <c r="H78" s="18">
        <v>13.470750000000001</v>
      </c>
      <c r="I78" s="8">
        <v>8.4221748400852725E-2</v>
      </c>
      <c r="J78" s="8">
        <v>0.35239361702127669</v>
      </c>
      <c r="K78" s="8">
        <v>1.441776710684274</v>
      </c>
      <c r="L78" s="8">
        <v>0.38744884038199179</v>
      </c>
      <c r="M78" s="18">
        <v>2.2658409164883948</v>
      </c>
    </row>
    <row r="79" spans="1:13" x14ac:dyDescent="0.45">
      <c r="A79" t="s">
        <v>1172</v>
      </c>
      <c r="B79" s="18">
        <v>23.42</v>
      </c>
      <c r="C79" s="18">
        <v>15.75</v>
      </c>
      <c r="D79" s="18">
        <v>14.76</v>
      </c>
      <c r="E79" s="18">
        <v>9.65</v>
      </c>
      <c r="F79" s="18">
        <v>21.87</v>
      </c>
      <c r="G79" s="18">
        <v>16.0916</v>
      </c>
      <c r="H79" s="18">
        <v>14.245950000000001</v>
      </c>
      <c r="I79" s="8">
        <v>0.48698412698412707</v>
      </c>
      <c r="J79" s="8">
        <v>0.58672086720867211</v>
      </c>
      <c r="K79" s="8">
        <v>1.426943005181347</v>
      </c>
      <c r="L79" s="8">
        <v>7.087334247828081E-2</v>
      </c>
      <c r="M79" s="18">
        <v>2.5715213418524279</v>
      </c>
    </row>
    <row r="80" spans="1:13" x14ac:dyDescent="0.45">
      <c r="A80" t="s">
        <v>1995</v>
      </c>
      <c r="B80" s="18">
        <v>22.29</v>
      </c>
      <c r="C80" s="18">
        <v>22.2</v>
      </c>
      <c r="D80" s="18">
        <v>16.3</v>
      </c>
      <c r="E80" s="18">
        <v>9.2200000000000006</v>
      </c>
      <c r="F80" s="18">
        <v>13.07</v>
      </c>
      <c r="G80" s="18">
        <v>20.423400000000001</v>
      </c>
      <c r="H80" s="18">
        <v>14.1937</v>
      </c>
      <c r="I80" s="8">
        <v>4.0540540540541237E-3</v>
      </c>
      <c r="J80" s="8">
        <v>0.36748466257668699</v>
      </c>
      <c r="K80" s="8">
        <v>1.417570498915401</v>
      </c>
      <c r="L80" s="8">
        <v>0.70543228768171384</v>
      </c>
      <c r="M80" s="18">
        <v>2.4945415032278562</v>
      </c>
    </row>
    <row r="81" spans="1:13" x14ac:dyDescent="0.45">
      <c r="A81" t="s">
        <v>2391</v>
      </c>
      <c r="B81" s="18">
        <v>1.94</v>
      </c>
      <c r="C81" s="18">
        <v>2.2200000000000002</v>
      </c>
      <c r="D81" s="18">
        <v>1.5</v>
      </c>
      <c r="E81" s="18">
        <v>0.80310000000000004</v>
      </c>
      <c r="F81" s="18">
        <v>2.38</v>
      </c>
      <c r="G81" s="18">
        <v>2.0087999999999999</v>
      </c>
      <c r="H81" s="18">
        <v>1.504054</v>
      </c>
      <c r="I81" s="8">
        <v>-0.12612612612612631</v>
      </c>
      <c r="J81" s="8">
        <v>0.29333333333333322</v>
      </c>
      <c r="K81" s="8">
        <v>1.4156393973353261</v>
      </c>
      <c r="L81" s="8">
        <v>-0.18487394957983189</v>
      </c>
      <c r="M81" s="18">
        <v>1.397972654962701</v>
      </c>
    </row>
    <row r="82" spans="1:13" x14ac:dyDescent="0.45">
      <c r="A82" t="s">
        <v>1615</v>
      </c>
      <c r="B82" s="18">
        <v>4.8499999999999996</v>
      </c>
      <c r="C82" s="18">
        <v>4.41</v>
      </c>
      <c r="D82" s="18">
        <v>3.74</v>
      </c>
      <c r="E82" s="18">
        <v>2.0099999999999998</v>
      </c>
      <c r="F82" s="18">
        <v>5.87</v>
      </c>
      <c r="G82" s="18">
        <v>4.2294</v>
      </c>
      <c r="H82" s="18">
        <v>3.44895</v>
      </c>
      <c r="I82" s="8">
        <v>9.977324263038545E-2</v>
      </c>
      <c r="J82" s="8">
        <v>0.29679144385026718</v>
      </c>
      <c r="K82" s="8">
        <v>1.412935323383085</v>
      </c>
      <c r="L82" s="8">
        <v>-0.17376490630323679</v>
      </c>
      <c r="M82" s="18">
        <v>1.635735103560501</v>
      </c>
    </row>
    <row r="83" spans="1:13" x14ac:dyDescent="0.45">
      <c r="A83" t="s">
        <v>2381</v>
      </c>
      <c r="B83" s="18">
        <v>682.35</v>
      </c>
      <c r="C83" s="18">
        <v>598.70000000000005</v>
      </c>
      <c r="D83" s="18">
        <v>399.62</v>
      </c>
      <c r="E83" s="18">
        <v>283.26</v>
      </c>
      <c r="F83" s="18">
        <v>226.39</v>
      </c>
      <c r="G83" s="18">
        <v>548.28599999999994</v>
      </c>
      <c r="H83" s="18">
        <v>412.54025000000001</v>
      </c>
      <c r="I83" s="8">
        <v>0.1397193920160347</v>
      </c>
      <c r="J83" s="8">
        <v>0.7074971222661528</v>
      </c>
      <c r="K83" s="8">
        <v>1.4089176022029231</v>
      </c>
      <c r="L83" s="8">
        <v>2.014046556826715</v>
      </c>
      <c r="M83" s="18">
        <v>4.2701806733118257</v>
      </c>
    </row>
    <row r="84" spans="1:13" x14ac:dyDescent="0.45">
      <c r="A84" t="s">
        <v>2007</v>
      </c>
      <c r="B84" s="18">
        <v>93.14</v>
      </c>
      <c r="C84" s="18">
        <v>79.209999999999994</v>
      </c>
      <c r="D84" s="18">
        <v>57.56</v>
      </c>
      <c r="E84" s="18">
        <v>38.69</v>
      </c>
      <c r="F84" s="18">
        <v>51.24</v>
      </c>
      <c r="G84" s="18">
        <v>73.045200000000008</v>
      </c>
      <c r="H84" s="18">
        <v>60.005099999999999</v>
      </c>
      <c r="I84" s="8">
        <v>0.17586163363211729</v>
      </c>
      <c r="J84" s="8">
        <v>0.61813759555246683</v>
      </c>
      <c r="K84" s="8">
        <v>1.407340398035668</v>
      </c>
      <c r="L84" s="8">
        <v>0.81772053083528484</v>
      </c>
      <c r="M84" s="18">
        <v>3.0190601580555372</v>
      </c>
    </row>
    <row r="85" spans="1:13" x14ac:dyDescent="0.45">
      <c r="A85" t="s">
        <v>1838</v>
      </c>
      <c r="B85" s="18">
        <v>11.73</v>
      </c>
      <c r="C85" s="18">
        <v>11.69</v>
      </c>
      <c r="D85" s="18">
        <v>9.4</v>
      </c>
      <c r="E85" s="18">
        <v>4.88</v>
      </c>
      <c r="F85" s="18">
        <v>10.130000000000001</v>
      </c>
      <c r="G85" s="18">
        <v>10.9978</v>
      </c>
      <c r="H85" s="18">
        <v>8.5980000000000008</v>
      </c>
      <c r="I85" s="8">
        <v>3.4217279726262979E-3</v>
      </c>
      <c r="J85" s="8">
        <v>0.24787234042553191</v>
      </c>
      <c r="K85" s="8">
        <v>1.403688524590164</v>
      </c>
      <c r="L85" s="8">
        <v>0.15794669299111549</v>
      </c>
      <c r="M85" s="18">
        <v>1.8129292859794379</v>
      </c>
    </row>
    <row r="86" spans="1:13" x14ac:dyDescent="0.45">
      <c r="A86" t="s">
        <v>931</v>
      </c>
      <c r="B86" s="18">
        <v>8.42</v>
      </c>
      <c r="C86" s="18">
        <v>7.08</v>
      </c>
      <c r="D86" s="18">
        <v>4.8899999999999997</v>
      </c>
      <c r="E86" s="18">
        <v>3.52</v>
      </c>
      <c r="F86" s="18">
        <v>4.78</v>
      </c>
      <c r="G86" s="18">
        <v>6.7277999999999993</v>
      </c>
      <c r="H86" s="18">
        <v>5.1294244999999998</v>
      </c>
      <c r="I86" s="8">
        <v>0.1892655367231639</v>
      </c>
      <c r="J86" s="8">
        <v>0.72188139059304723</v>
      </c>
      <c r="K86" s="8">
        <v>1.392045454545455</v>
      </c>
      <c r="L86" s="8">
        <v>0.76150627615062749</v>
      </c>
      <c r="M86" s="18">
        <v>3.064698658012293</v>
      </c>
    </row>
    <row r="87" spans="1:13" x14ac:dyDescent="0.45">
      <c r="A87" t="s">
        <v>80</v>
      </c>
      <c r="B87" s="18">
        <v>183.56</v>
      </c>
      <c r="C87" s="18">
        <v>162.36000000000001</v>
      </c>
      <c r="D87" s="18">
        <v>142.5</v>
      </c>
      <c r="E87" s="18">
        <v>77.319999999999993</v>
      </c>
      <c r="F87" s="18">
        <v>40.01</v>
      </c>
      <c r="G87" s="18">
        <v>170.39</v>
      </c>
      <c r="H87" s="18">
        <v>123.17545</v>
      </c>
      <c r="I87" s="8">
        <v>0.13057403301305739</v>
      </c>
      <c r="J87" s="8">
        <v>0.28814035087719292</v>
      </c>
      <c r="K87" s="8">
        <v>1.3740300051733061</v>
      </c>
      <c r="L87" s="8">
        <v>3.5878530367408148</v>
      </c>
      <c r="M87" s="18">
        <v>5.3805974258043712</v>
      </c>
    </row>
    <row r="88" spans="1:13" x14ac:dyDescent="0.45">
      <c r="A88" t="s">
        <v>57</v>
      </c>
      <c r="B88" s="18">
        <v>142.54</v>
      </c>
      <c r="C88" s="18">
        <v>105.57</v>
      </c>
      <c r="D88" s="18">
        <v>101.06</v>
      </c>
      <c r="E88" s="18">
        <v>60.25</v>
      </c>
      <c r="F88" s="18">
        <v>81.540000000000006</v>
      </c>
      <c r="G88" s="18">
        <v>113.1568</v>
      </c>
      <c r="H88" s="18">
        <v>89.344899999999996</v>
      </c>
      <c r="I88" s="8">
        <v>0.35019418395377477</v>
      </c>
      <c r="J88" s="8">
        <v>0.41044923807639022</v>
      </c>
      <c r="K88" s="8">
        <v>1.365809128630705</v>
      </c>
      <c r="L88" s="8">
        <v>0.7480990924699531</v>
      </c>
      <c r="M88" s="18">
        <v>2.874551643130824</v>
      </c>
    </row>
    <row r="89" spans="1:13" x14ac:dyDescent="0.45">
      <c r="A89" t="s">
        <v>546</v>
      </c>
      <c r="B89" s="18">
        <v>24.41</v>
      </c>
      <c r="C89" s="18">
        <v>24.06</v>
      </c>
      <c r="D89" s="18">
        <v>22.87</v>
      </c>
      <c r="E89" s="18">
        <v>10.34</v>
      </c>
      <c r="F89" s="18">
        <v>22.16</v>
      </c>
      <c r="G89" s="18">
        <v>23.9514</v>
      </c>
      <c r="H89" s="18">
        <v>18.317150000000002</v>
      </c>
      <c r="I89" s="8">
        <v>1.4546965918537101E-2</v>
      </c>
      <c r="J89" s="8">
        <v>6.7337122868386556E-2</v>
      </c>
      <c r="K89" s="8">
        <v>1.3607350096711801</v>
      </c>
      <c r="L89" s="8">
        <v>0.1015342960288808</v>
      </c>
      <c r="M89" s="18">
        <v>1.5441533944869841</v>
      </c>
    </row>
    <row r="90" spans="1:13" x14ac:dyDescent="0.45">
      <c r="A90" t="s">
        <v>877</v>
      </c>
      <c r="B90" s="18">
        <v>86.21</v>
      </c>
      <c r="C90" s="18">
        <v>77.39</v>
      </c>
      <c r="D90" s="18">
        <v>70.819999999999993</v>
      </c>
      <c r="E90" s="18">
        <v>36.68</v>
      </c>
      <c r="F90" s="18">
        <v>51.84</v>
      </c>
      <c r="G90" s="18">
        <v>79.161199999999994</v>
      </c>
      <c r="H90" s="18">
        <v>60.121549999999999</v>
      </c>
      <c r="I90" s="8">
        <v>0.11396821294740909</v>
      </c>
      <c r="J90" s="8">
        <v>0.21731149392826901</v>
      </c>
      <c r="K90" s="8">
        <v>1.3503271537622681</v>
      </c>
      <c r="L90" s="8">
        <v>0.66300154320987637</v>
      </c>
      <c r="M90" s="18">
        <v>2.3446084038478232</v>
      </c>
    </row>
    <row r="91" spans="1:13" x14ac:dyDescent="0.45">
      <c r="A91" t="s">
        <v>671</v>
      </c>
      <c r="B91" s="18">
        <v>77.489999999999995</v>
      </c>
      <c r="C91" s="18">
        <v>61.92</v>
      </c>
      <c r="D91" s="18">
        <v>46.53</v>
      </c>
      <c r="E91" s="18">
        <v>33.159999999999997</v>
      </c>
      <c r="F91" s="18">
        <v>26.23</v>
      </c>
      <c r="G91" s="18">
        <v>61.188000000000002</v>
      </c>
      <c r="H91" s="18">
        <v>43.609350000000013</v>
      </c>
      <c r="I91" s="8">
        <v>0.25145348837209291</v>
      </c>
      <c r="J91" s="8">
        <v>0.66537717601547364</v>
      </c>
      <c r="K91" s="8">
        <v>1.3368516284680341</v>
      </c>
      <c r="L91" s="8">
        <v>1.9542508577964159</v>
      </c>
      <c r="M91" s="18">
        <v>4.2079331506520168</v>
      </c>
    </row>
    <row r="92" spans="1:13" x14ac:dyDescent="0.45">
      <c r="A92" t="s">
        <v>98</v>
      </c>
      <c r="B92" s="18">
        <v>17.89</v>
      </c>
      <c r="C92" s="18">
        <v>12.26</v>
      </c>
      <c r="D92" s="18">
        <v>11.65</v>
      </c>
      <c r="E92" s="18">
        <v>7.69</v>
      </c>
      <c r="F92" s="18">
        <v>7.78</v>
      </c>
      <c r="G92" s="18">
        <v>14.789300000000001</v>
      </c>
      <c r="H92" s="18">
        <v>11.3766</v>
      </c>
      <c r="I92" s="8">
        <v>0.45921696574225129</v>
      </c>
      <c r="J92" s="8">
        <v>0.53562231759656642</v>
      </c>
      <c r="K92" s="8">
        <v>1.3263979193758131</v>
      </c>
      <c r="L92" s="8">
        <v>1.2994858611825191</v>
      </c>
      <c r="M92" s="18">
        <v>3.6207230638971502</v>
      </c>
    </row>
    <row r="93" spans="1:13" x14ac:dyDescent="0.45">
      <c r="A93" t="s">
        <v>392</v>
      </c>
      <c r="B93" s="18">
        <v>288.63</v>
      </c>
      <c r="C93" s="18">
        <v>241.51</v>
      </c>
      <c r="D93" s="18">
        <v>235</v>
      </c>
      <c r="E93" s="18">
        <v>124.5</v>
      </c>
      <c r="F93" s="18">
        <v>170.86</v>
      </c>
      <c r="G93" s="18">
        <v>265.25979999999998</v>
      </c>
      <c r="H93" s="18">
        <v>195.79839999999999</v>
      </c>
      <c r="I93" s="8">
        <v>0.19510579272079839</v>
      </c>
      <c r="J93" s="8">
        <v>0.22821276595744691</v>
      </c>
      <c r="K93" s="8">
        <v>1.318313253012048</v>
      </c>
      <c r="L93" s="8">
        <v>0.68927777127472778</v>
      </c>
      <c r="M93" s="18">
        <v>2.4309095829650209</v>
      </c>
    </row>
    <row r="94" spans="1:13" x14ac:dyDescent="0.45">
      <c r="A94" t="s">
        <v>1099</v>
      </c>
      <c r="B94" s="18">
        <v>9.89</v>
      </c>
      <c r="C94" s="18">
        <v>8.26</v>
      </c>
      <c r="D94" s="18">
        <v>7.33</v>
      </c>
      <c r="E94" s="18">
        <v>4.28</v>
      </c>
      <c r="F94" s="18">
        <v>9.35</v>
      </c>
      <c r="G94" s="18">
        <v>8.2591999999999999</v>
      </c>
      <c r="H94" s="18">
        <v>7.3691000000000004</v>
      </c>
      <c r="I94" s="8">
        <v>0.1973365617433416</v>
      </c>
      <c r="J94" s="8">
        <v>0.34924965893588</v>
      </c>
      <c r="K94" s="8">
        <v>1.3107476635514019</v>
      </c>
      <c r="L94" s="8">
        <v>5.7754010695187263E-2</v>
      </c>
      <c r="M94" s="18">
        <v>1.915087894925811</v>
      </c>
    </row>
    <row r="95" spans="1:13" x14ac:dyDescent="0.45">
      <c r="A95" t="s">
        <v>1443</v>
      </c>
      <c r="B95" s="18">
        <v>13.39</v>
      </c>
      <c r="C95" s="18">
        <v>10.02</v>
      </c>
      <c r="D95" s="18">
        <v>6.95</v>
      </c>
      <c r="E95" s="18">
        <v>5.81</v>
      </c>
      <c r="F95" s="18">
        <v>5.04</v>
      </c>
      <c r="G95" s="18">
        <v>9.9548000000000005</v>
      </c>
      <c r="H95" s="18">
        <v>7.3537499999999998</v>
      </c>
      <c r="I95" s="8">
        <v>0.33632734530938141</v>
      </c>
      <c r="J95" s="8">
        <v>0.92661870503597132</v>
      </c>
      <c r="K95" s="8">
        <v>1.304647160068847</v>
      </c>
      <c r="L95" s="8">
        <v>1.6567460317460321</v>
      </c>
      <c r="M95" s="18">
        <v>4.2243392421602319</v>
      </c>
    </row>
    <row r="96" spans="1:13" x14ac:dyDescent="0.45">
      <c r="A96" t="s">
        <v>1885</v>
      </c>
      <c r="B96" s="18">
        <v>3.26</v>
      </c>
      <c r="C96" s="18">
        <v>4.21</v>
      </c>
      <c r="D96" s="18">
        <v>1.45</v>
      </c>
      <c r="E96" s="18">
        <v>1.42</v>
      </c>
      <c r="F96" s="18">
        <v>3.39</v>
      </c>
      <c r="G96" s="18">
        <v>3.2686000000000002</v>
      </c>
      <c r="H96" s="18">
        <v>2.1360109999999999</v>
      </c>
      <c r="I96" s="8">
        <v>-0.22565320665083141</v>
      </c>
      <c r="J96" s="8">
        <v>1.248275862068966</v>
      </c>
      <c r="K96" s="8">
        <v>1.295774647887324</v>
      </c>
      <c r="L96" s="8">
        <v>-3.8348082595870303E-2</v>
      </c>
      <c r="M96" s="18">
        <v>2.2800492207095879</v>
      </c>
    </row>
    <row r="97" spans="1:13" x14ac:dyDescent="0.45">
      <c r="A97" t="s">
        <v>1627</v>
      </c>
      <c r="B97" s="18">
        <v>10.68</v>
      </c>
      <c r="C97" s="18">
        <v>12.25</v>
      </c>
      <c r="D97" s="18">
        <v>7.62</v>
      </c>
      <c r="E97" s="18">
        <v>4.67</v>
      </c>
      <c r="F97" s="18">
        <v>16.059999999999999</v>
      </c>
      <c r="G97" s="18">
        <v>11.031599999999999</v>
      </c>
      <c r="H97" s="18">
        <v>8.1843500000000002</v>
      </c>
      <c r="I97" s="8">
        <v>-0.1281632653061224</v>
      </c>
      <c r="J97" s="8">
        <v>0.40157480314960631</v>
      </c>
      <c r="K97" s="8">
        <v>1.2869379014989291</v>
      </c>
      <c r="L97" s="8">
        <v>-0.33499377334993768</v>
      </c>
      <c r="M97" s="18">
        <v>1.2253556659924749</v>
      </c>
    </row>
    <row r="98" spans="1:13" x14ac:dyDescent="0.45">
      <c r="A98" t="s">
        <v>2220</v>
      </c>
      <c r="B98" s="18">
        <v>59.29</v>
      </c>
      <c r="C98" s="18">
        <v>51.83</v>
      </c>
      <c r="D98" s="18">
        <v>43.01</v>
      </c>
      <c r="E98" s="18">
        <v>26.01</v>
      </c>
      <c r="F98" s="18">
        <v>45.26</v>
      </c>
      <c r="G98" s="18">
        <v>50.352799999999988</v>
      </c>
      <c r="H98" s="18">
        <v>41.207700000000003</v>
      </c>
      <c r="I98" s="8">
        <v>0.14393208566467311</v>
      </c>
      <c r="J98" s="8">
        <v>0.37851662404092079</v>
      </c>
      <c r="K98" s="8">
        <v>1.279507881584006</v>
      </c>
      <c r="L98" s="8">
        <v>0.30998674326115783</v>
      </c>
      <c r="M98" s="18">
        <v>2.1119433345507579</v>
      </c>
    </row>
    <row r="99" spans="1:13" x14ac:dyDescent="0.45">
      <c r="A99" t="s">
        <v>1007</v>
      </c>
      <c r="B99" s="18">
        <v>36.76</v>
      </c>
      <c r="C99" s="18">
        <v>33.130000000000003</v>
      </c>
      <c r="D99" s="18">
        <v>32.49</v>
      </c>
      <c r="E99" s="18">
        <v>16.14</v>
      </c>
      <c r="F99" s="18">
        <v>24.66</v>
      </c>
      <c r="G99" s="18">
        <v>30.945599999999999</v>
      </c>
      <c r="H99" s="18">
        <v>24.097850000000001</v>
      </c>
      <c r="I99" s="8">
        <v>0.10956836703893739</v>
      </c>
      <c r="J99" s="8">
        <v>0.13142505386272679</v>
      </c>
      <c r="K99" s="8">
        <v>1.277571251548947</v>
      </c>
      <c r="L99" s="8">
        <v>0.49067315490673141</v>
      </c>
      <c r="M99" s="18">
        <v>2.0092378273573419</v>
      </c>
    </row>
    <row r="100" spans="1:13" x14ac:dyDescent="0.45">
      <c r="A100" t="s">
        <v>2045</v>
      </c>
      <c r="B100" s="18">
        <v>202.29</v>
      </c>
      <c r="C100" s="18">
        <v>240.2</v>
      </c>
      <c r="D100" s="18">
        <v>143</v>
      </c>
      <c r="E100" s="18">
        <v>88.89</v>
      </c>
      <c r="F100" s="18">
        <v>72.38</v>
      </c>
      <c r="G100" s="18">
        <v>226.4708</v>
      </c>
      <c r="H100" s="18">
        <v>162.95015000000001</v>
      </c>
      <c r="I100" s="8">
        <v>-0.15782681099084089</v>
      </c>
      <c r="J100" s="8">
        <v>0.41461538461538461</v>
      </c>
      <c r="K100" s="8">
        <v>1.2757340533243331</v>
      </c>
      <c r="L100" s="8">
        <v>1.79483282674772</v>
      </c>
      <c r="M100" s="18">
        <v>3.327355453696597</v>
      </c>
    </row>
    <row r="101" spans="1:13" x14ac:dyDescent="0.45">
      <c r="A101" t="s">
        <v>954</v>
      </c>
      <c r="B101" s="18">
        <v>116.67</v>
      </c>
      <c r="C101" s="18">
        <v>99.22</v>
      </c>
      <c r="D101" s="18">
        <v>93.72</v>
      </c>
      <c r="E101" s="18">
        <v>51.39</v>
      </c>
      <c r="F101" s="18">
        <v>95.33</v>
      </c>
      <c r="G101" s="18">
        <v>103.0004</v>
      </c>
      <c r="H101" s="18">
        <v>86.392350000000008</v>
      </c>
      <c r="I101" s="8">
        <v>0.17587180004031461</v>
      </c>
      <c r="J101" s="8">
        <v>0.24487836107554431</v>
      </c>
      <c r="K101" s="8">
        <v>1.270286047869235</v>
      </c>
      <c r="L101" s="8">
        <v>0.22385398090842351</v>
      </c>
      <c r="M101" s="18">
        <v>1.914890189893518</v>
      </c>
    </row>
    <row r="102" spans="1:13" x14ac:dyDescent="0.45">
      <c r="A102" t="s">
        <v>212</v>
      </c>
      <c r="B102" s="18">
        <v>164.53</v>
      </c>
      <c r="C102" s="18">
        <v>121.29</v>
      </c>
      <c r="D102" s="18">
        <v>127.91</v>
      </c>
      <c r="E102" s="18">
        <v>72.59</v>
      </c>
      <c r="F102" s="18">
        <v>120.42</v>
      </c>
      <c r="G102" s="18">
        <v>133.28639999999999</v>
      </c>
      <c r="H102" s="18">
        <v>114.09395000000001</v>
      </c>
      <c r="I102" s="8">
        <v>0.35650094814081951</v>
      </c>
      <c r="J102" s="8">
        <v>0.28629505120788062</v>
      </c>
      <c r="K102" s="8">
        <v>1.266565642650503</v>
      </c>
      <c r="L102" s="8">
        <v>0.36630127885733282</v>
      </c>
      <c r="M102" s="18">
        <v>2.275662920856536</v>
      </c>
    </row>
    <row r="103" spans="1:13" x14ac:dyDescent="0.45">
      <c r="A103" t="s">
        <v>134</v>
      </c>
      <c r="B103" s="18">
        <v>157.36000000000001</v>
      </c>
      <c r="C103" s="18">
        <v>141.91</v>
      </c>
      <c r="D103" s="18">
        <v>106.29</v>
      </c>
      <c r="E103" s="18">
        <v>69.5</v>
      </c>
      <c r="F103" s="18">
        <v>98.992500000000007</v>
      </c>
      <c r="G103" s="18">
        <v>139.148</v>
      </c>
      <c r="H103" s="18">
        <v>107.4007</v>
      </c>
      <c r="I103" s="8">
        <v>0.1088718201677121</v>
      </c>
      <c r="J103" s="8">
        <v>0.4804779377175652</v>
      </c>
      <c r="K103" s="8">
        <v>1.264172661870504</v>
      </c>
      <c r="L103" s="8">
        <v>0.58961537490213911</v>
      </c>
      <c r="M103" s="18">
        <v>2.44313779465792</v>
      </c>
    </row>
    <row r="104" spans="1:13" x14ac:dyDescent="0.45">
      <c r="A104" t="s">
        <v>2433</v>
      </c>
      <c r="B104" s="18">
        <v>3.12</v>
      </c>
      <c r="C104" s="18">
        <v>1.5</v>
      </c>
      <c r="D104" s="18">
        <v>1.6</v>
      </c>
      <c r="E104" s="18">
        <v>1.38</v>
      </c>
      <c r="F104" s="18">
        <v>1.99</v>
      </c>
      <c r="G104" s="18">
        <v>2.1475140000000001</v>
      </c>
      <c r="H104" s="18">
        <v>2.2250435</v>
      </c>
      <c r="I104" s="8">
        <v>1.08</v>
      </c>
      <c r="J104" s="8">
        <v>0.95</v>
      </c>
      <c r="K104" s="8">
        <v>1.260869565217392</v>
      </c>
      <c r="L104" s="8">
        <v>0.56783919597989962</v>
      </c>
      <c r="M104" s="18">
        <v>3.858708761197291</v>
      </c>
    </row>
    <row r="105" spans="1:13" x14ac:dyDescent="0.45">
      <c r="A105" t="s">
        <v>1764</v>
      </c>
      <c r="B105" s="18">
        <v>220</v>
      </c>
      <c r="C105" s="18">
        <v>218.56</v>
      </c>
      <c r="D105" s="18">
        <v>181.92</v>
      </c>
      <c r="E105" s="18">
        <v>97.45</v>
      </c>
      <c r="F105" s="18">
        <v>83.43</v>
      </c>
      <c r="G105" s="18">
        <v>211.2704</v>
      </c>
      <c r="H105" s="18">
        <v>161.11345</v>
      </c>
      <c r="I105" s="8">
        <v>6.5885797950220324E-3</v>
      </c>
      <c r="J105" s="8">
        <v>0.20932277924362361</v>
      </c>
      <c r="K105" s="8">
        <v>1.257567983581324</v>
      </c>
      <c r="L105" s="8">
        <v>1.636941148268009</v>
      </c>
      <c r="M105" s="18">
        <v>3.1104204908879778</v>
      </c>
    </row>
    <row r="106" spans="1:13" x14ac:dyDescent="0.45">
      <c r="A106" t="s">
        <v>1812</v>
      </c>
      <c r="B106" s="18">
        <v>11.15</v>
      </c>
      <c r="C106" s="18">
        <v>10.43</v>
      </c>
      <c r="D106" s="18">
        <v>8.6199999999999992</v>
      </c>
      <c r="E106" s="18">
        <v>4.95</v>
      </c>
      <c r="F106" s="18"/>
      <c r="G106" s="18">
        <v>10.3512</v>
      </c>
      <c r="H106" s="18">
        <v>8.0155999999999992</v>
      </c>
      <c r="I106" s="8">
        <v>6.9031639501438313E-2</v>
      </c>
      <c r="J106" s="8">
        <v>0.29350348027842238</v>
      </c>
      <c r="K106" s="8">
        <v>1.252525252525253</v>
      </c>
      <c r="L106" s="8"/>
      <c r="M106" s="18">
        <v>1.6150603723051129</v>
      </c>
    </row>
    <row r="107" spans="1:13" x14ac:dyDescent="0.45">
      <c r="A107" t="s">
        <v>2168</v>
      </c>
      <c r="B107" s="18">
        <v>88.55</v>
      </c>
      <c r="C107" s="18">
        <v>68.16</v>
      </c>
      <c r="D107" s="18">
        <v>70.23</v>
      </c>
      <c r="E107" s="18">
        <v>39.51</v>
      </c>
      <c r="F107" s="18">
        <v>44.71</v>
      </c>
      <c r="G107" s="18">
        <v>71.033000000000001</v>
      </c>
      <c r="H107" s="18">
        <v>56.741349999999997</v>
      </c>
      <c r="I107" s="8">
        <v>0.29914906103286398</v>
      </c>
      <c r="J107" s="8">
        <v>0.2608571835397977</v>
      </c>
      <c r="K107" s="8">
        <v>1.2412047582890411</v>
      </c>
      <c r="L107" s="8">
        <v>0.98054126593603219</v>
      </c>
      <c r="M107" s="18">
        <v>2.7817522687977339</v>
      </c>
    </row>
    <row r="108" spans="1:13" x14ac:dyDescent="0.45">
      <c r="A108" t="s">
        <v>1833</v>
      </c>
      <c r="B108" s="18">
        <v>3.72</v>
      </c>
      <c r="C108" s="18">
        <v>3.35</v>
      </c>
      <c r="D108" s="18">
        <v>2.31</v>
      </c>
      <c r="E108" s="18">
        <v>1.66</v>
      </c>
      <c r="F108" s="18">
        <v>2.41</v>
      </c>
      <c r="G108" s="18">
        <v>3.0251999999999999</v>
      </c>
      <c r="H108" s="18">
        <v>2.42055</v>
      </c>
      <c r="I108" s="8">
        <v>0.1104477611940298</v>
      </c>
      <c r="J108" s="8">
        <v>0.61038961038961048</v>
      </c>
      <c r="K108" s="8">
        <v>1.2409638554216871</v>
      </c>
      <c r="L108" s="8">
        <v>0.54356846473029052</v>
      </c>
      <c r="M108" s="18">
        <v>2.5053696917356181</v>
      </c>
    </row>
    <row r="109" spans="1:13" x14ac:dyDescent="0.45">
      <c r="A109" t="s">
        <v>1391</v>
      </c>
      <c r="B109" s="18">
        <v>58.17</v>
      </c>
      <c r="C109" s="18">
        <v>47.79</v>
      </c>
      <c r="D109" s="18">
        <v>50.27</v>
      </c>
      <c r="E109" s="18">
        <v>26.1</v>
      </c>
      <c r="F109" s="18">
        <v>17.66</v>
      </c>
      <c r="G109" s="18">
        <v>51.651200000000003</v>
      </c>
      <c r="H109" s="18">
        <v>44.303549999999987</v>
      </c>
      <c r="I109" s="8">
        <v>0.2172002510985562</v>
      </c>
      <c r="J109" s="8">
        <v>0.15715138253431471</v>
      </c>
      <c r="K109" s="8">
        <v>1.228735632183908</v>
      </c>
      <c r="L109" s="8">
        <v>2.2938844847112119</v>
      </c>
      <c r="M109" s="18">
        <v>3.8969717505279911</v>
      </c>
    </row>
    <row r="110" spans="1:13" x14ac:dyDescent="0.45">
      <c r="A110" t="s">
        <v>199</v>
      </c>
      <c r="B110" s="18">
        <v>87.07</v>
      </c>
      <c r="C110" s="18">
        <v>72.39</v>
      </c>
      <c r="D110" s="18">
        <v>52.26</v>
      </c>
      <c r="E110" s="18">
        <v>39.18</v>
      </c>
      <c r="F110" s="18">
        <v>44.88</v>
      </c>
      <c r="G110" s="18">
        <v>72.207599999999999</v>
      </c>
      <c r="H110" s="18">
        <v>54.675199999999997</v>
      </c>
      <c r="I110" s="8">
        <v>0.2027904406686005</v>
      </c>
      <c r="J110" s="8">
        <v>0.66609261385380791</v>
      </c>
      <c r="K110" s="8">
        <v>1.222307299642674</v>
      </c>
      <c r="L110" s="8">
        <v>0.94006238859180002</v>
      </c>
      <c r="M110" s="18">
        <v>3.0312527427568829</v>
      </c>
    </row>
    <row r="111" spans="1:13" x14ac:dyDescent="0.45">
      <c r="A111" t="s">
        <v>1073</v>
      </c>
      <c r="B111" s="18">
        <v>29.83</v>
      </c>
      <c r="C111" s="18">
        <v>21.65</v>
      </c>
      <c r="D111" s="18">
        <v>13.39</v>
      </c>
      <c r="E111" s="18">
        <v>13.43</v>
      </c>
      <c r="F111" s="18">
        <v>9.76</v>
      </c>
      <c r="G111" s="18">
        <v>20.824400000000001</v>
      </c>
      <c r="H111" s="18">
        <v>14.964600000000001</v>
      </c>
      <c r="I111" s="8">
        <v>0.37782909930715941</v>
      </c>
      <c r="J111" s="8">
        <v>1.227781926811053</v>
      </c>
      <c r="K111" s="8">
        <v>1.2211466865227101</v>
      </c>
      <c r="L111" s="8">
        <v>2.0563524590163929</v>
      </c>
      <c r="M111" s="18">
        <v>4.8831101716573153</v>
      </c>
    </row>
    <row r="112" spans="1:13" x14ac:dyDescent="0.45">
      <c r="A112" t="s">
        <v>15</v>
      </c>
      <c r="B112" s="18">
        <v>345.5</v>
      </c>
      <c r="C112" s="18">
        <v>336.67</v>
      </c>
      <c r="D112" s="18">
        <v>275.39999999999998</v>
      </c>
      <c r="E112" s="18">
        <v>156.03</v>
      </c>
      <c r="F112" s="18">
        <v>176.64</v>
      </c>
      <c r="G112" s="18">
        <v>320.995</v>
      </c>
      <c r="H112" s="18">
        <v>248.4452</v>
      </c>
      <c r="I112" s="8">
        <v>2.6227463094424811E-2</v>
      </c>
      <c r="J112" s="8">
        <v>0.2545388525780683</v>
      </c>
      <c r="K112" s="8">
        <v>1.214317759405243</v>
      </c>
      <c r="L112" s="8">
        <v>0.95595561594202905</v>
      </c>
      <c r="M112" s="18">
        <v>2.4510396910197652</v>
      </c>
    </row>
    <row r="113" spans="1:13" x14ac:dyDescent="0.45">
      <c r="A113" t="s">
        <v>569</v>
      </c>
      <c r="B113" s="18">
        <v>281.67</v>
      </c>
      <c r="C113" s="18">
        <v>217.41</v>
      </c>
      <c r="D113" s="18">
        <v>208.46</v>
      </c>
      <c r="E113" s="18">
        <v>127.48</v>
      </c>
      <c r="F113" s="18">
        <v>108.29</v>
      </c>
      <c r="G113" s="18">
        <v>240.02860000000001</v>
      </c>
      <c r="H113" s="18">
        <v>184.83090000000001</v>
      </c>
      <c r="I113" s="8">
        <v>0.29557058093004018</v>
      </c>
      <c r="J113" s="8">
        <v>0.35119447375995388</v>
      </c>
      <c r="K113" s="8">
        <v>1.209523062441167</v>
      </c>
      <c r="L113" s="8">
        <v>1.6010711977098531</v>
      </c>
      <c r="M113" s="18">
        <v>3.457359314841014</v>
      </c>
    </row>
    <row r="114" spans="1:13" x14ac:dyDescent="0.45">
      <c r="A114" t="s">
        <v>1594</v>
      </c>
      <c r="B114" s="18">
        <v>55.5</v>
      </c>
      <c r="C114" s="18">
        <v>52.85</v>
      </c>
      <c r="D114" s="18">
        <v>39.770000000000003</v>
      </c>
      <c r="E114" s="18">
        <v>25.12</v>
      </c>
      <c r="F114" s="18">
        <v>16.690000000000001</v>
      </c>
      <c r="G114" s="18">
        <v>52.713999999999999</v>
      </c>
      <c r="H114" s="18">
        <v>39.496749999999999</v>
      </c>
      <c r="I114" s="8">
        <v>5.0141911069063287E-2</v>
      </c>
      <c r="J114" s="8">
        <v>0.39552426452099548</v>
      </c>
      <c r="K114" s="8">
        <v>1.209394904458599</v>
      </c>
      <c r="L114" s="8">
        <v>2.325344517675255</v>
      </c>
      <c r="M114" s="18">
        <v>3.9804055977239119</v>
      </c>
    </row>
    <row r="115" spans="1:13" x14ac:dyDescent="0.45">
      <c r="A115" t="s">
        <v>1247</v>
      </c>
      <c r="B115" s="18">
        <v>383.43</v>
      </c>
      <c r="C115" s="18">
        <v>369.09</v>
      </c>
      <c r="D115" s="18">
        <v>289.25</v>
      </c>
      <c r="E115" s="18">
        <v>174.02</v>
      </c>
      <c r="F115" s="18">
        <v>242.85</v>
      </c>
      <c r="G115" s="18">
        <v>346.23219999999998</v>
      </c>
      <c r="H115" s="18">
        <v>259.88125000000002</v>
      </c>
      <c r="I115" s="8">
        <v>3.8852312444119352E-2</v>
      </c>
      <c r="J115" s="8">
        <v>0.32560069144338799</v>
      </c>
      <c r="K115" s="8">
        <v>1.203367429031146</v>
      </c>
      <c r="L115" s="8">
        <v>0.57887584928968505</v>
      </c>
      <c r="M115" s="18">
        <v>2.146696282208338</v>
      </c>
    </row>
    <row r="116" spans="1:13" x14ac:dyDescent="0.45">
      <c r="A116" t="s">
        <v>2527</v>
      </c>
      <c r="B116" s="18">
        <v>7.9</v>
      </c>
      <c r="C116" s="18">
        <v>10.34</v>
      </c>
      <c r="D116" s="18">
        <v>9.36</v>
      </c>
      <c r="E116" s="18">
        <v>3.59</v>
      </c>
      <c r="F116" s="18">
        <v>3.49</v>
      </c>
      <c r="G116" s="18">
        <v>9.3363999999999994</v>
      </c>
      <c r="H116" s="18">
        <v>6.4208999999999996</v>
      </c>
      <c r="I116" s="8">
        <v>-0.23597678916827849</v>
      </c>
      <c r="J116" s="8">
        <v>-0.1559829059829059</v>
      </c>
      <c r="K116" s="8">
        <v>1.2005571030640669</v>
      </c>
      <c r="L116" s="8">
        <v>1.2636103151862459</v>
      </c>
      <c r="M116" s="18">
        <v>2.0722077230991292</v>
      </c>
    </row>
    <row r="117" spans="1:13" x14ac:dyDescent="0.45">
      <c r="A117" t="s">
        <v>824</v>
      </c>
      <c r="B117" s="18">
        <v>2.98</v>
      </c>
      <c r="C117" s="18">
        <v>2.65</v>
      </c>
      <c r="D117" s="18">
        <v>6.25</v>
      </c>
      <c r="E117" s="18">
        <v>1.36</v>
      </c>
      <c r="F117" s="18">
        <v>2.16</v>
      </c>
      <c r="G117" s="18">
        <v>2.8206000000000002</v>
      </c>
      <c r="H117" s="18">
        <v>2.403489</v>
      </c>
      <c r="I117" s="8">
        <v>0.1245283018867924</v>
      </c>
      <c r="J117" s="8">
        <v>-0.5232</v>
      </c>
      <c r="K117" s="8">
        <v>1.1911764705882351</v>
      </c>
      <c r="L117" s="8">
        <v>0.37962962962962948</v>
      </c>
      <c r="M117" s="18">
        <v>1.1721344021046569</v>
      </c>
    </row>
    <row r="118" spans="1:13" x14ac:dyDescent="0.45">
      <c r="A118" t="s">
        <v>1841</v>
      </c>
      <c r="B118" s="18">
        <v>98.72</v>
      </c>
      <c r="C118" s="18">
        <v>91.44</v>
      </c>
      <c r="D118" s="18">
        <v>74.67</v>
      </c>
      <c r="E118" s="18">
        <v>45.2</v>
      </c>
      <c r="F118" s="18">
        <v>69.680000000000007</v>
      </c>
      <c r="G118" s="18">
        <v>92.727400000000003</v>
      </c>
      <c r="H118" s="18">
        <v>71.513549999999995</v>
      </c>
      <c r="I118" s="8">
        <v>7.9615048118985232E-2</v>
      </c>
      <c r="J118" s="8">
        <v>0.32208383554305597</v>
      </c>
      <c r="K118" s="8">
        <v>1.1840707964601771</v>
      </c>
      <c r="L118" s="8">
        <v>0.41676234213547619</v>
      </c>
      <c r="M118" s="18">
        <v>2.0025320222576939</v>
      </c>
    </row>
    <row r="119" spans="1:13" x14ac:dyDescent="0.45">
      <c r="A119" t="s">
        <v>2369</v>
      </c>
      <c r="B119" s="18">
        <v>36.58</v>
      </c>
      <c r="C119" s="18">
        <v>45.5</v>
      </c>
      <c r="D119" s="18">
        <v>29.16</v>
      </c>
      <c r="E119" s="18">
        <v>16.75</v>
      </c>
      <c r="F119" s="18">
        <v>21.84</v>
      </c>
      <c r="G119" s="18">
        <v>39.559600000000003</v>
      </c>
      <c r="H119" s="18">
        <v>27.498699999999999</v>
      </c>
      <c r="I119" s="8">
        <v>-0.19604395604395611</v>
      </c>
      <c r="J119" s="8">
        <v>0.25445816186556919</v>
      </c>
      <c r="K119" s="8">
        <v>1.1838805970149251</v>
      </c>
      <c r="L119" s="8">
        <v>0.67490842490842473</v>
      </c>
      <c r="M119" s="18">
        <v>1.9172032277449631</v>
      </c>
    </row>
    <row r="120" spans="1:13" x14ac:dyDescent="0.45">
      <c r="A120" t="s">
        <v>2173</v>
      </c>
      <c r="B120" s="18">
        <v>18.78</v>
      </c>
      <c r="C120" s="18">
        <v>17.36</v>
      </c>
      <c r="D120" s="18">
        <v>15.76</v>
      </c>
      <c r="E120" s="18">
        <v>8.61</v>
      </c>
      <c r="F120" s="18">
        <v>8.5</v>
      </c>
      <c r="G120" s="18">
        <v>16.715800000000002</v>
      </c>
      <c r="H120" s="18">
        <v>13.062200000000001</v>
      </c>
      <c r="I120" s="8">
        <v>8.1797235023041592E-2</v>
      </c>
      <c r="J120" s="8">
        <v>0.19162436548223361</v>
      </c>
      <c r="K120" s="8">
        <v>1.1811846689895471</v>
      </c>
      <c r="L120" s="8">
        <v>1.209411764705882</v>
      </c>
      <c r="M120" s="18">
        <v>2.6640180342007049</v>
      </c>
    </row>
    <row r="121" spans="1:13" x14ac:dyDescent="0.45">
      <c r="A121" t="s">
        <v>272</v>
      </c>
      <c r="B121" s="18">
        <v>625.45000000000005</v>
      </c>
      <c r="C121" s="18">
        <v>605.70000000000005</v>
      </c>
      <c r="D121" s="18">
        <v>539.36</v>
      </c>
      <c r="E121" s="18">
        <v>286.89</v>
      </c>
      <c r="F121" s="18">
        <v>265.58999999999997</v>
      </c>
      <c r="G121" s="18">
        <v>621.97660000000008</v>
      </c>
      <c r="H121" s="18">
        <v>459.28084999999999</v>
      </c>
      <c r="I121" s="8">
        <v>3.260690110615827E-2</v>
      </c>
      <c r="J121" s="8">
        <v>0.15961509937703949</v>
      </c>
      <c r="K121" s="8">
        <v>1.180103872564398</v>
      </c>
      <c r="L121" s="8">
        <v>1.3549455928310561</v>
      </c>
      <c r="M121" s="18">
        <v>2.7272714658786512</v>
      </c>
    </row>
    <row r="122" spans="1:13" x14ac:dyDescent="0.45">
      <c r="A122" t="s">
        <v>1613</v>
      </c>
      <c r="B122" s="18">
        <v>7.04</v>
      </c>
      <c r="C122" s="18">
        <v>5.63</v>
      </c>
      <c r="D122" s="18">
        <v>4.51</v>
      </c>
      <c r="E122" s="18">
        <v>3.24</v>
      </c>
      <c r="F122" s="18">
        <v>6.78</v>
      </c>
      <c r="G122" s="18">
        <v>5.1551999999999998</v>
      </c>
      <c r="H122" s="18">
        <v>4.6600999999999999</v>
      </c>
      <c r="I122" s="8">
        <v>0.25044404973357032</v>
      </c>
      <c r="J122" s="8">
        <v>0.56097560975609762</v>
      </c>
      <c r="K122" s="8">
        <v>1.1728395061728389</v>
      </c>
      <c r="L122" s="8">
        <v>3.8348082595870192E-2</v>
      </c>
      <c r="M122" s="18">
        <v>2.0226072482583768</v>
      </c>
    </row>
    <row r="123" spans="1:13" x14ac:dyDescent="0.45">
      <c r="A123" t="s">
        <v>1304</v>
      </c>
      <c r="B123" s="18">
        <v>43.39</v>
      </c>
      <c r="C123" s="18">
        <v>35.729999999999997</v>
      </c>
      <c r="D123" s="18">
        <v>23.94</v>
      </c>
      <c r="E123" s="18">
        <v>20.04</v>
      </c>
      <c r="F123" s="18">
        <v>15.52</v>
      </c>
      <c r="G123" s="18">
        <v>35.005400000000002</v>
      </c>
      <c r="H123" s="18">
        <v>24.340250000000001</v>
      </c>
      <c r="I123" s="8">
        <v>0.21438567030506589</v>
      </c>
      <c r="J123" s="8">
        <v>0.81244778613199653</v>
      </c>
      <c r="K123" s="8">
        <v>1.165169660678643</v>
      </c>
      <c r="L123" s="8">
        <v>1.795747422680412</v>
      </c>
      <c r="M123" s="18">
        <v>3.9877505397961182</v>
      </c>
    </row>
    <row r="124" spans="1:13" x14ac:dyDescent="0.45">
      <c r="A124" t="s">
        <v>87</v>
      </c>
      <c r="B124" s="18">
        <v>166.43</v>
      </c>
      <c r="C124" s="18">
        <v>143.44</v>
      </c>
      <c r="D124" s="18">
        <v>115.16</v>
      </c>
      <c r="E124" s="18">
        <v>77.09</v>
      </c>
      <c r="F124" s="18">
        <v>82.43</v>
      </c>
      <c r="G124" s="18">
        <v>144.76140000000001</v>
      </c>
      <c r="H124" s="18">
        <v>116.1842</v>
      </c>
      <c r="I124" s="8">
        <v>0.160276073619632</v>
      </c>
      <c r="J124" s="8">
        <v>0.44520666898228561</v>
      </c>
      <c r="K124" s="8">
        <v>1.158905175768582</v>
      </c>
      <c r="L124" s="8">
        <v>1.0190464636661409</v>
      </c>
      <c r="M124" s="18">
        <v>2.7834343820366412</v>
      </c>
    </row>
    <row r="125" spans="1:13" x14ac:dyDescent="0.45">
      <c r="A125" t="s">
        <v>1848</v>
      </c>
      <c r="B125" s="18">
        <v>8.76</v>
      </c>
      <c r="C125" s="18">
        <v>7.85</v>
      </c>
      <c r="D125" s="18">
        <v>6.51</v>
      </c>
      <c r="E125" s="18">
        <v>4.0599999999999996</v>
      </c>
      <c r="F125" s="18">
        <v>6.91</v>
      </c>
      <c r="G125" s="18">
        <v>7.7582000000000004</v>
      </c>
      <c r="H125" s="18">
        <v>6.4229499999999993</v>
      </c>
      <c r="I125" s="8">
        <v>0.11592356687898089</v>
      </c>
      <c r="J125" s="8">
        <v>0.34562211981566809</v>
      </c>
      <c r="K125" s="8">
        <v>1.157635467980296</v>
      </c>
      <c r="L125" s="8">
        <v>0.26772793053545579</v>
      </c>
      <c r="M125" s="18">
        <v>1.8869090852104009</v>
      </c>
    </row>
    <row r="126" spans="1:13" x14ac:dyDescent="0.45">
      <c r="A126" t="s">
        <v>367</v>
      </c>
      <c r="B126" s="18">
        <v>980.9</v>
      </c>
      <c r="C126" s="18">
        <v>857.87</v>
      </c>
      <c r="D126" s="18">
        <v>740.45</v>
      </c>
      <c r="E126" s="18">
        <v>455.19</v>
      </c>
      <c r="F126" s="18">
        <v>935.61</v>
      </c>
      <c r="G126" s="18">
        <v>858.12399999999991</v>
      </c>
      <c r="H126" s="18">
        <v>698.54899999999998</v>
      </c>
      <c r="I126" s="8">
        <v>0.1434133376851969</v>
      </c>
      <c r="J126" s="8">
        <v>0.32473495847119982</v>
      </c>
      <c r="K126" s="8">
        <v>1.154924317318043</v>
      </c>
      <c r="L126" s="8">
        <v>4.8406921687455202E-2</v>
      </c>
      <c r="M126" s="18">
        <v>1.671479535161895</v>
      </c>
    </row>
    <row r="127" spans="1:13" x14ac:dyDescent="0.45">
      <c r="A127" t="s">
        <v>2348</v>
      </c>
      <c r="B127" s="18">
        <v>304.52</v>
      </c>
      <c r="C127" s="18">
        <v>250.92</v>
      </c>
      <c r="D127" s="18">
        <v>229.76</v>
      </c>
      <c r="E127" s="18">
        <v>141.37</v>
      </c>
      <c r="F127" s="18">
        <v>181.16</v>
      </c>
      <c r="G127" s="18">
        <v>254.07480000000001</v>
      </c>
      <c r="H127" s="18">
        <v>210.87039999999999</v>
      </c>
      <c r="I127" s="8">
        <v>0.21361390084489071</v>
      </c>
      <c r="J127" s="8">
        <v>0.32538300835654588</v>
      </c>
      <c r="K127" s="8">
        <v>1.1540638042017399</v>
      </c>
      <c r="L127" s="8">
        <v>0.6809450209759329</v>
      </c>
      <c r="M127" s="18">
        <v>2.374005734379109</v>
      </c>
    </row>
    <row r="128" spans="1:13" x14ac:dyDescent="0.45">
      <c r="A128" t="s">
        <v>1691</v>
      </c>
      <c r="B128" s="18">
        <v>154.54</v>
      </c>
      <c r="C128" s="18">
        <v>138.52000000000001</v>
      </c>
      <c r="D128" s="18">
        <v>92.65</v>
      </c>
      <c r="E128" s="18">
        <v>71.819999999999993</v>
      </c>
      <c r="F128" s="18">
        <v>134.38</v>
      </c>
      <c r="G128" s="18">
        <v>141.68620000000001</v>
      </c>
      <c r="H128" s="18">
        <v>107.17795</v>
      </c>
      <c r="I128" s="8">
        <v>0.11565116950620841</v>
      </c>
      <c r="J128" s="8">
        <v>0.66799784133837004</v>
      </c>
      <c r="K128" s="8">
        <v>1.151768309663046</v>
      </c>
      <c r="L128" s="8">
        <v>0.1500223247507069</v>
      </c>
      <c r="M128" s="18">
        <v>2.0854396452583321</v>
      </c>
    </row>
    <row r="129" spans="1:13" x14ac:dyDescent="0.45">
      <c r="A129" t="s">
        <v>1604</v>
      </c>
      <c r="B129" s="18">
        <v>5.5</v>
      </c>
      <c r="C129" s="18">
        <v>4.3899999999999997</v>
      </c>
      <c r="D129" s="18">
        <v>3.43</v>
      </c>
      <c r="E129" s="18">
        <v>2.56</v>
      </c>
      <c r="F129" s="18">
        <v>3.91</v>
      </c>
      <c r="G129" s="18">
        <v>4.5662000000000003</v>
      </c>
      <c r="H129" s="18">
        <v>3.5551499999999998</v>
      </c>
      <c r="I129" s="8">
        <v>0.25284738041002291</v>
      </c>
      <c r="J129" s="8">
        <v>0.60349854227405242</v>
      </c>
      <c r="K129" s="8">
        <v>1.1484375</v>
      </c>
      <c r="L129" s="8">
        <v>0.40664961636828639</v>
      </c>
      <c r="M129" s="18">
        <v>2.4114330390523619</v>
      </c>
    </row>
    <row r="130" spans="1:13" x14ac:dyDescent="0.45">
      <c r="A130" t="s">
        <v>1815</v>
      </c>
      <c r="B130" s="18">
        <v>4.34</v>
      </c>
      <c r="C130" s="18">
        <v>2.14</v>
      </c>
      <c r="D130" s="18">
        <v>3.33</v>
      </c>
      <c r="E130" s="18">
        <v>2.0299999999999998</v>
      </c>
      <c r="F130" s="18">
        <v>6.99</v>
      </c>
      <c r="G130" s="18">
        <v>2.6657999999999999</v>
      </c>
      <c r="H130" s="18">
        <v>4.1341000000000001</v>
      </c>
      <c r="I130" s="8">
        <v>1.02803738317757</v>
      </c>
      <c r="J130" s="8">
        <v>0.30330330330330318</v>
      </c>
      <c r="K130" s="8">
        <v>1.1379310344827589</v>
      </c>
      <c r="L130" s="8">
        <v>-0.37911301859799718</v>
      </c>
      <c r="M130" s="18">
        <v>2.0901587023656352</v>
      </c>
    </row>
    <row r="131" spans="1:13" x14ac:dyDescent="0.45">
      <c r="A131" t="s">
        <v>2044</v>
      </c>
      <c r="B131" s="18">
        <v>15.05</v>
      </c>
      <c r="C131" s="18">
        <v>11.32</v>
      </c>
      <c r="D131" s="18">
        <v>9.5399999999999991</v>
      </c>
      <c r="E131" s="18">
        <v>7.04</v>
      </c>
      <c r="F131" s="18">
        <v>16.649999999999999</v>
      </c>
      <c r="G131" s="18">
        <v>11.2928</v>
      </c>
      <c r="H131" s="18">
        <v>10.49075</v>
      </c>
      <c r="I131" s="8">
        <v>0.32950530035335701</v>
      </c>
      <c r="J131" s="8">
        <v>0.57756813417190789</v>
      </c>
      <c r="K131" s="8">
        <v>1.1377840909090911</v>
      </c>
      <c r="L131" s="8">
        <v>-9.6096096096095929E-2</v>
      </c>
      <c r="M131" s="18">
        <v>1.94876142933826</v>
      </c>
    </row>
    <row r="132" spans="1:13" x14ac:dyDescent="0.45">
      <c r="A132" t="s">
        <v>894</v>
      </c>
      <c r="B132" s="18">
        <v>11.76</v>
      </c>
      <c r="C132" s="18">
        <v>8.85</v>
      </c>
      <c r="D132" s="18">
        <v>7.18</v>
      </c>
      <c r="E132" s="18">
        <v>5.52</v>
      </c>
      <c r="F132" s="18">
        <v>7.13</v>
      </c>
      <c r="G132" s="18">
        <v>8.6643999999999988</v>
      </c>
      <c r="H132" s="18">
        <v>7.0748500000000014</v>
      </c>
      <c r="I132" s="8">
        <v>0.32881355932203382</v>
      </c>
      <c r="J132" s="8">
        <v>0.6378830083565461</v>
      </c>
      <c r="K132" s="8">
        <v>1.130434782608696</v>
      </c>
      <c r="L132" s="8">
        <v>0.64936886395511917</v>
      </c>
      <c r="M132" s="18">
        <v>2.7465002142423951</v>
      </c>
    </row>
    <row r="133" spans="1:13" x14ac:dyDescent="0.45">
      <c r="A133" t="s">
        <v>461</v>
      </c>
      <c r="B133" s="18">
        <v>144.6</v>
      </c>
      <c r="C133" s="18">
        <v>115.07</v>
      </c>
      <c r="D133" s="18">
        <v>98.62</v>
      </c>
      <c r="E133" s="18">
        <v>67.959999999999994</v>
      </c>
      <c r="F133" s="18">
        <v>130.5</v>
      </c>
      <c r="G133" s="18">
        <v>119.8746</v>
      </c>
      <c r="H133" s="18">
        <v>102.714675</v>
      </c>
      <c r="I133" s="8">
        <v>0.25662640132093523</v>
      </c>
      <c r="J133" s="8">
        <v>0.4662340296085985</v>
      </c>
      <c r="K133" s="8">
        <v>1.127722189523249</v>
      </c>
      <c r="L133" s="8">
        <v>0.1080459770114941</v>
      </c>
      <c r="M133" s="18">
        <v>1.958628597464277</v>
      </c>
    </row>
    <row r="134" spans="1:13" x14ac:dyDescent="0.45">
      <c r="A134" t="s">
        <v>1535</v>
      </c>
      <c r="B134" s="18">
        <v>25.31</v>
      </c>
      <c r="C134" s="18">
        <v>22.37</v>
      </c>
      <c r="D134" s="18">
        <v>15.34</v>
      </c>
      <c r="E134" s="18">
        <v>11.96</v>
      </c>
      <c r="F134" s="18">
        <v>9.42</v>
      </c>
      <c r="G134" s="18">
        <v>21.371600000000001</v>
      </c>
      <c r="H134" s="18">
        <v>15.16245</v>
      </c>
      <c r="I134" s="8">
        <v>0.13142601698703599</v>
      </c>
      <c r="J134" s="8">
        <v>0.64993481095175998</v>
      </c>
      <c r="K134" s="8">
        <v>1.116220735785953</v>
      </c>
      <c r="L134" s="8">
        <v>1.6868365180467091</v>
      </c>
      <c r="M134" s="18">
        <v>3.5844180817714579</v>
      </c>
    </row>
    <row r="135" spans="1:13" x14ac:dyDescent="0.45">
      <c r="A135" t="s">
        <v>1315</v>
      </c>
      <c r="B135" s="18">
        <v>56.33</v>
      </c>
      <c r="C135" s="18">
        <v>47.5</v>
      </c>
      <c r="D135" s="18">
        <v>51.44</v>
      </c>
      <c r="E135" s="18">
        <v>26.62</v>
      </c>
      <c r="F135" s="18">
        <v>29.67</v>
      </c>
      <c r="G135" s="18">
        <v>51.338600000000007</v>
      </c>
      <c r="H135" s="18">
        <v>42.672899999999998</v>
      </c>
      <c r="I135" s="8">
        <v>0.18589473684210531</v>
      </c>
      <c r="J135" s="8">
        <v>9.5062208398133841E-2</v>
      </c>
      <c r="K135" s="8">
        <v>1.116078136739294</v>
      </c>
      <c r="L135" s="8">
        <v>0.89855072463768093</v>
      </c>
      <c r="M135" s="18">
        <v>2.2955858066172139</v>
      </c>
    </row>
    <row r="136" spans="1:13" x14ac:dyDescent="0.45">
      <c r="A136" t="s">
        <v>1889</v>
      </c>
      <c r="B136" s="18">
        <v>40.71</v>
      </c>
      <c r="C136" s="18">
        <v>34.61</v>
      </c>
      <c r="D136" s="18">
        <v>26.8</v>
      </c>
      <c r="E136" s="18">
        <v>19.239999999999998</v>
      </c>
      <c r="F136" s="18">
        <v>18.61</v>
      </c>
      <c r="G136" s="18">
        <v>33.875799999999998</v>
      </c>
      <c r="H136" s="18">
        <v>25.155950000000001</v>
      </c>
      <c r="I136" s="8">
        <v>0.17624963883270731</v>
      </c>
      <c r="J136" s="8">
        <v>0.51902985074626873</v>
      </c>
      <c r="K136" s="8">
        <v>1.1159043659043659</v>
      </c>
      <c r="L136" s="8">
        <v>1.1875335840945731</v>
      </c>
      <c r="M136" s="18">
        <v>2.998717439577915</v>
      </c>
    </row>
    <row r="137" spans="1:13" x14ac:dyDescent="0.45">
      <c r="A137" t="s">
        <v>845</v>
      </c>
      <c r="B137" s="18">
        <v>197.01</v>
      </c>
      <c r="C137" s="18">
        <v>162.22999999999999</v>
      </c>
      <c r="D137" s="18">
        <v>136.44999999999999</v>
      </c>
      <c r="E137" s="18">
        <v>93.17</v>
      </c>
      <c r="F137" s="18">
        <v>117.71</v>
      </c>
      <c r="G137" s="18">
        <v>172.06319999999999</v>
      </c>
      <c r="H137" s="18">
        <v>130.45345</v>
      </c>
      <c r="I137" s="8">
        <v>0.214386981446095</v>
      </c>
      <c r="J137" s="8">
        <v>0.44382557713448151</v>
      </c>
      <c r="K137" s="8">
        <v>1.114521841794569</v>
      </c>
      <c r="L137" s="8">
        <v>0.67368957607679891</v>
      </c>
      <c r="M137" s="18">
        <v>2.446423976451944</v>
      </c>
    </row>
    <row r="138" spans="1:13" x14ac:dyDescent="0.45">
      <c r="A138" t="s">
        <v>2018</v>
      </c>
      <c r="B138" s="18">
        <v>4.62</v>
      </c>
      <c r="C138" s="18">
        <v>4.2300000000000004</v>
      </c>
      <c r="D138" s="18">
        <v>3.44</v>
      </c>
      <c r="E138" s="18">
        <v>2.19</v>
      </c>
      <c r="F138" s="18">
        <v>2.29</v>
      </c>
      <c r="G138" s="18">
        <v>4.3654000000000002</v>
      </c>
      <c r="H138" s="18">
        <v>3.2425999999999999</v>
      </c>
      <c r="I138" s="8">
        <v>9.219858156028371E-2</v>
      </c>
      <c r="J138" s="8">
        <v>0.34302325581395338</v>
      </c>
      <c r="K138" s="8">
        <v>1.10958904109589</v>
      </c>
      <c r="L138" s="8">
        <v>1.017467248908297</v>
      </c>
      <c r="M138" s="18">
        <v>2.5622781273784239</v>
      </c>
    </row>
    <row r="139" spans="1:13" x14ac:dyDescent="0.45">
      <c r="A139" t="s">
        <v>127</v>
      </c>
      <c r="B139" s="18">
        <v>125.79</v>
      </c>
      <c r="C139" s="18">
        <v>116.79</v>
      </c>
      <c r="D139" s="18">
        <v>98.31</v>
      </c>
      <c r="E139" s="18">
        <v>60.07</v>
      </c>
      <c r="F139" s="18">
        <v>62.4</v>
      </c>
      <c r="G139" s="18">
        <v>114.9452</v>
      </c>
      <c r="H139" s="18">
        <v>87.477099999999993</v>
      </c>
      <c r="I139" s="8">
        <v>7.7061392242486537E-2</v>
      </c>
      <c r="J139" s="8">
        <v>0.27952395483674097</v>
      </c>
      <c r="K139" s="8">
        <v>1.094056933577493</v>
      </c>
      <c r="L139" s="8">
        <v>1.0158653846153849</v>
      </c>
      <c r="M139" s="18">
        <v>2.466507665272105</v>
      </c>
    </row>
    <row r="140" spans="1:13" x14ac:dyDescent="0.45">
      <c r="A140" t="s">
        <v>1090</v>
      </c>
      <c r="B140" s="18">
        <v>294.08999999999997</v>
      </c>
      <c r="C140" s="18">
        <v>252.01</v>
      </c>
      <c r="D140" s="18">
        <v>250.27</v>
      </c>
      <c r="E140" s="18">
        <v>140.69</v>
      </c>
      <c r="F140" s="18">
        <v>190.88</v>
      </c>
      <c r="G140" s="18">
        <v>268.69580000000002</v>
      </c>
      <c r="H140" s="18">
        <v>212.3373</v>
      </c>
      <c r="I140" s="8">
        <v>0.1669775008928216</v>
      </c>
      <c r="J140" s="8">
        <v>0.17509090182602779</v>
      </c>
      <c r="K140" s="8">
        <v>1.090340464851802</v>
      </c>
      <c r="L140" s="8">
        <v>0.54070620284995807</v>
      </c>
      <c r="M140" s="18">
        <v>1.9731150704206091</v>
      </c>
    </row>
    <row r="141" spans="1:13" x14ac:dyDescent="0.45">
      <c r="A141" t="s">
        <v>290</v>
      </c>
      <c r="B141" s="18">
        <v>26.08</v>
      </c>
      <c r="C141" s="18">
        <v>23.88</v>
      </c>
      <c r="D141" s="18">
        <v>21.29</v>
      </c>
      <c r="E141" s="18">
        <v>12.51</v>
      </c>
      <c r="F141" s="18">
        <v>20.62</v>
      </c>
      <c r="G141" s="18">
        <v>22.980799999999999</v>
      </c>
      <c r="H141" s="18">
        <v>19.85735</v>
      </c>
      <c r="I141" s="8">
        <v>9.2127303182579556E-2</v>
      </c>
      <c r="J141" s="8">
        <v>0.2249882573978392</v>
      </c>
      <c r="K141" s="8">
        <v>1.0847322142286171</v>
      </c>
      <c r="L141" s="8">
        <v>0.26479146459747799</v>
      </c>
      <c r="M141" s="18">
        <v>1.6666392394065139</v>
      </c>
    </row>
    <row r="142" spans="1:13" x14ac:dyDescent="0.45">
      <c r="A142" t="s">
        <v>1917</v>
      </c>
      <c r="B142" s="18">
        <v>29.78</v>
      </c>
      <c r="C142" s="18">
        <v>29.98</v>
      </c>
      <c r="D142" s="18">
        <v>27.9</v>
      </c>
      <c r="E142" s="18">
        <v>14.37</v>
      </c>
      <c r="F142" s="18">
        <v>32.99</v>
      </c>
      <c r="G142" s="18">
        <v>27.056799999999999</v>
      </c>
      <c r="H142" s="18">
        <v>23.6553</v>
      </c>
      <c r="I142" s="8">
        <v>-6.6711140760506993E-3</v>
      </c>
      <c r="J142" s="8">
        <v>6.7383512544803015E-2</v>
      </c>
      <c r="K142" s="8">
        <v>1.072372999304106</v>
      </c>
      <c r="L142" s="8">
        <v>-9.7302212791755105E-2</v>
      </c>
      <c r="M142" s="18">
        <v>1.035783184981103</v>
      </c>
    </row>
    <row r="143" spans="1:13" x14ac:dyDescent="0.45">
      <c r="A143" t="s">
        <v>919</v>
      </c>
      <c r="B143" s="18">
        <v>9.5500000000000007</v>
      </c>
      <c r="C143" s="18">
        <v>7.63</v>
      </c>
      <c r="D143" s="18">
        <v>6.98</v>
      </c>
      <c r="E143" s="18">
        <v>4.62</v>
      </c>
      <c r="F143" s="18">
        <v>11.4</v>
      </c>
      <c r="G143" s="18">
        <v>8.0464000000000002</v>
      </c>
      <c r="H143" s="18">
        <v>7.0487000000000002</v>
      </c>
      <c r="I143" s="8">
        <v>0.25163826998689398</v>
      </c>
      <c r="J143" s="8">
        <v>0.36819484240687678</v>
      </c>
      <c r="K143" s="8">
        <v>1.0670995670995671</v>
      </c>
      <c r="L143" s="8">
        <v>-0.16228070175438589</v>
      </c>
      <c r="M143" s="18">
        <v>1.524651977738952</v>
      </c>
    </row>
    <row r="144" spans="1:13" x14ac:dyDescent="0.45">
      <c r="A144" t="s">
        <v>1038</v>
      </c>
      <c r="B144" s="18">
        <v>609.22</v>
      </c>
      <c r="C144" s="18">
        <v>568.23</v>
      </c>
      <c r="D144" s="18">
        <v>437.07</v>
      </c>
      <c r="E144" s="18">
        <v>294.77</v>
      </c>
      <c r="F144" s="18">
        <v>366.78</v>
      </c>
      <c r="G144" s="18">
        <v>551.16980000000001</v>
      </c>
      <c r="H144" s="18">
        <v>446.42245000000003</v>
      </c>
      <c r="I144" s="8">
        <v>7.2136282843214827E-2</v>
      </c>
      <c r="J144" s="8">
        <v>0.39387283501498632</v>
      </c>
      <c r="K144" s="8">
        <v>1.0667639176306949</v>
      </c>
      <c r="L144" s="8">
        <v>0.66099569224058041</v>
      </c>
      <c r="M144" s="18">
        <v>2.1937687277294771</v>
      </c>
    </row>
    <row r="145" spans="1:13" x14ac:dyDescent="0.45">
      <c r="A145" t="s">
        <v>50</v>
      </c>
      <c r="B145" s="18">
        <v>37.43</v>
      </c>
      <c r="C145" s="18">
        <v>24.44</v>
      </c>
      <c r="D145" s="18">
        <v>23.82</v>
      </c>
      <c r="E145" s="18">
        <v>18.13</v>
      </c>
      <c r="F145" s="18">
        <v>22.59</v>
      </c>
      <c r="G145" s="18">
        <v>26.381799999999998</v>
      </c>
      <c r="H145" s="18">
        <v>22.6462</v>
      </c>
      <c r="I145" s="8">
        <v>0.53150572831423881</v>
      </c>
      <c r="J145" s="8">
        <v>0.57136859781696048</v>
      </c>
      <c r="K145" s="8">
        <v>1.0645339216767791</v>
      </c>
      <c r="L145" s="8">
        <v>0.6569278441788402</v>
      </c>
      <c r="M145" s="18">
        <v>2.8243360919868179</v>
      </c>
    </row>
    <row r="146" spans="1:13" x14ac:dyDescent="0.45">
      <c r="A146" t="s">
        <v>933</v>
      </c>
      <c r="B146" s="18">
        <v>19.37</v>
      </c>
      <c r="C146" s="18">
        <v>18.399999999999999</v>
      </c>
      <c r="D146" s="18">
        <v>22.44</v>
      </c>
      <c r="E146" s="18">
        <v>9.39</v>
      </c>
      <c r="F146" s="18">
        <v>12.06</v>
      </c>
      <c r="G146" s="18">
        <v>19.1614</v>
      </c>
      <c r="H146" s="18">
        <v>15.80495</v>
      </c>
      <c r="I146" s="8">
        <v>5.2717391304347938E-2</v>
      </c>
      <c r="J146" s="8">
        <v>-0.1368092691622104</v>
      </c>
      <c r="K146" s="8">
        <v>1.0628328008519701</v>
      </c>
      <c r="L146" s="8">
        <v>0.60613598673300162</v>
      </c>
      <c r="M146" s="18">
        <v>1.58487690972711</v>
      </c>
    </row>
    <row r="147" spans="1:13" x14ac:dyDescent="0.45">
      <c r="A147" t="s">
        <v>2157</v>
      </c>
      <c r="B147" s="18">
        <v>13.35</v>
      </c>
      <c r="C147" s="18">
        <v>13.15</v>
      </c>
      <c r="D147" s="18">
        <v>11.79</v>
      </c>
      <c r="E147" s="18">
        <v>6.48</v>
      </c>
      <c r="F147" s="18">
        <v>3.87</v>
      </c>
      <c r="G147" s="18">
        <v>12.1488</v>
      </c>
      <c r="H147" s="18">
        <v>9.2060999999999993</v>
      </c>
      <c r="I147" s="8">
        <v>1.5209125475285081E-2</v>
      </c>
      <c r="J147" s="8">
        <v>0.1323155216284988</v>
      </c>
      <c r="K147" s="8">
        <v>1.0601851851851849</v>
      </c>
      <c r="L147" s="8">
        <v>2.4496124031007751</v>
      </c>
      <c r="M147" s="18">
        <v>3.6573222353897439</v>
      </c>
    </row>
    <row r="148" spans="1:13" x14ac:dyDescent="0.45">
      <c r="A148" t="s">
        <v>1169</v>
      </c>
      <c r="B148" s="18">
        <v>2.15</v>
      </c>
      <c r="C148" s="18">
        <v>2.48</v>
      </c>
      <c r="D148" s="18">
        <v>1.39</v>
      </c>
      <c r="E148" s="18">
        <v>1.0449999999999999</v>
      </c>
      <c r="F148" s="18">
        <v>1.47</v>
      </c>
      <c r="G148" s="18">
        <v>2.077264</v>
      </c>
      <c r="H148" s="18">
        <v>1.4052775049999999</v>
      </c>
      <c r="I148" s="8">
        <v>-0.13306451612903231</v>
      </c>
      <c r="J148" s="8">
        <v>0.54676258992805771</v>
      </c>
      <c r="K148" s="8">
        <v>1.057416267942584</v>
      </c>
      <c r="L148" s="8">
        <v>0.46258503401360551</v>
      </c>
      <c r="M148" s="18">
        <v>1.933699375755215</v>
      </c>
    </row>
    <row r="149" spans="1:13" x14ac:dyDescent="0.45">
      <c r="A149" t="s">
        <v>2175</v>
      </c>
      <c r="B149" s="18">
        <v>7.87</v>
      </c>
      <c r="C149" s="18">
        <v>7.49</v>
      </c>
      <c r="D149" s="18">
        <v>7.09</v>
      </c>
      <c r="E149" s="18">
        <v>3.83</v>
      </c>
      <c r="F149" s="18">
        <v>5.53</v>
      </c>
      <c r="G149" s="18">
        <v>7.8308</v>
      </c>
      <c r="H149" s="18">
        <v>6.3246500000000001</v>
      </c>
      <c r="I149" s="8">
        <v>5.0734312416555349E-2</v>
      </c>
      <c r="J149" s="8">
        <v>0.1100141043723555</v>
      </c>
      <c r="K149" s="8">
        <v>1.054830287206266</v>
      </c>
      <c r="L149" s="8">
        <v>0.42314647377938508</v>
      </c>
      <c r="M149" s="18">
        <v>1.6387251777745619</v>
      </c>
    </row>
    <row r="150" spans="1:13" x14ac:dyDescent="0.45">
      <c r="A150" t="s">
        <v>1072</v>
      </c>
      <c r="B150" s="18">
        <v>28.2</v>
      </c>
      <c r="C150" s="18">
        <v>27.74</v>
      </c>
      <c r="D150" s="18">
        <v>20.100000000000001</v>
      </c>
      <c r="E150" s="18">
        <v>13.73</v>
      </c>
      <c r="F150" s="18">
        <v>24.48</v>
      </c>
      <c r="G150" s="18">
        <v>25.1968</v>
      </c>
      <c r="H150" s="18">
        <v>19.38475</v>
      </c>
      <c r="I150" s="8">
        <v>1.6582552271088739E-2</v>
      </c>
      <c r="J150" s="8">
        <v>0.4029850746268655</v>
      </c>
      <c r="K150" s="8">
        <v>1.0538965768390389</v>
      </c>
      <c r="L150" s="8">
        <v>0.15196078431372539</v>
      </c>
      <c r="M150" s="18">
        <v>1.6254249880507179</v>
      </c>
    </row>
    <row r="151" spans="1:13" x14ac:dyDescent="0.45">
      <c r="A151" t="s">
        <v>640</v>
      </c>
      <c r="B151" s="18">
        <v>17.260000000000002</v>
      </c>
      <c r="C151" s="18">
        <v>17.510000000000002</v>
      </c>
      <c r="D151" s="18">
        <v>16.29</v>
      </c>
      <c r="E151" s="18">
        <v>8.41</v>
      </c>
      <c r="F151" s="18">
        <v>11.47</v>
      </c>
      <c r="G151" s="18">
        <v>17.227399999999999</v>
      </c>
      <c r="H151" s="18">
        <v>13.79645</v>
      </c>
      <c r="I151" s="8">
        <v>-1.4277555682467139E-2</v>
      </c>
      <c r="J151" s="8">
        <v>5.9545733578882931E-2</v>
      </c>
      <c r="K151" s="8">
        <v>1.0523186682520811</v>
      </c>
      <c r="L151" s="8">
        <v>0.50479511769834362</v>
      </c>
      <c r="M151" s="18">
        <v>1.60238196384684</v>
      </c>
    </row>
    <row r="152" spans="1:13" x14ac:dyDescent="0.45">
      <c r="A152" t="s">
        <v>1725</v>
      </c>
      <c r="B152" s="18">
        <v>218.92</v>
      </c>
      <c r="C152" s="18">
        <v>174.99</v>
      </c>
      <c r="D152" s="18">
        <v>168.77</v>
      </c>
      <c r="E152" s="18">
        <v>106.82</v>
      </c>
      <c r="F152" s="18">
        <v>127.13</v>
      </c>
      <c r="G152" s="18">
        <v>190.1696</v>
      </c>
      <c r="H152" s="18">
        <v>155.6558</v>
      </c>
      <c r="I152" s="8">
        <v>0.2510429167380992</v>
      </c>
      <c r="J152" s="8">
        <v>0.29714996741126959</v>
      </c>
      <c r="K152" s="8">
        <v>1.049428945890283</v>
      </c>
      <c r="L152" s="8">
        <v>0.72201683316290399</v>
      </c>
      <c r="M152" s="18">
        <v>2.319638663202555</v>
      </c>
    </row>
    <row r="153" spans="1:13" x14ac:dyDescent="0.45">
      <c r="A153" t="s">
        <v>1009</v>
      </c>
      <c r="B153" s="18">
        <v>360.91</v>
      </c>
      <c r="C153" s="18">
        <v>375</v>
      </c>
      <c r="D153" s="18">
        <v>345.55</v>
      </c>
      <c r="E153" s="18">
        <v>176.32</v>
      </c>
      <c r="F153" s="18">
        <v>180.17</v>
      </c>
      <c r="G153" s="18">
        <v>365.62599999999998</v>
      </c>
      <c r="H153" s="18">
        <v>285.87139999999999</v>
      </c>
      <c r="I153" s="8">
        <v>-3.7573333333333243E-2</v>
      </c>
      <c r="J153" s="8">
        <v>4.4450875416003573E-2</v>
      </c>
      <c r="K153" s="8">
        <v>1.046903357531761</v>
      </c>
      <c r="L153" s="8">
        <v>1.00316367874785</v>
      </c>
      <c r="M153" s="18">
        <v>2.05694457836228</v>
      </c>
    </row>
    <row r="154" spans="1:13" x14ac:dyDescent="0.45">
      <c r="A154" t="s">
        <v>2242</v>
      </c>
      <c r="B154" s="18">
        <v>5.98</v>
      </c>
      <c r="C154" s="18">
        <v>6.89</v>
      </c>
      <c r="D154" s="18">
        <v>5.25</v>
      </c>
      <c r="E154" s="18">
        <v>2.93</v>
      </c>
      <c r="F154" s="18">
        <v>7.28</v>
      </c>
      <c r="G154" s="18">
        <v>6.1720000000000006</v>
      </c>
      <c r="H154" s="18">
        <v>4.8685</v>
      </c>
      <c r="I154" s="8">
        <v>-0.13207547169811309</v>
      </c>
      <c r="J154" s="8">
        <v>0.13904761904761909</v>
      </c>
      <c r="K154" s="8">
        <v>1.040955631399318</v>
      </c>
      <c r="L154" s="8">
        <v>-0.17857142857142849</v>
      </c>
      <c r="M154" s="18">
        <v>0.86935635017739521</v>
      </c>
    </row>
    <row r="155" spans="1:13" x14ac:dyDescent="0.45">
      <c r="A155" t="s">
        <v>1198</v>
      </c>
      <c r="B155" s="18">
        <v>5.87</v>
      </c>
      <c r="C155" s="18">
        <v>4.93</v>
      </c>
      <c r="D155" s="18">
        <v>4.99</v>
      </c>
      <c r="E155" s="18">
        <v>2.88</v>
      </c>
      <c r="F155" s="18">
        <v>6.2</v>
      </c>
      <c r="G155" s="18">
        <v>5.3409999999999993</v>
      </c>
      <c r="H155" s="18">
        <v>5.5119999999999996</v>
      </c>
      <c r="I155" s="8">
        <v>0.19066937119675459</v>
      </c>
      <c r="J155" s="8">
        <v>0.1763527054108216</v>
      </c>
      <c r="K155" s="8">
        <v>1.0381944444444451</v>
      </c>
      <c r="L155" s="8">
        <v>-5.32258064516129E-2</v>
      </c>
      <c r="M155" s="18">
        <v>1.351990714600408</v>
      </c>
    </row>
    <row r="156" spans="1:13" x14ac:dyDescent="0.45">
      <c r="A156" t="s">
        <v>2314</v>
      </c>
      <c r="B156" s="18">
        <v>4.4800000000000004</v>
      </c>
      <c r="C156" s="18">
        <v>4.53</v>
      </c>
      <c r="D156" s="18">
        <v>3.89</v>
      </c>
      <c r="E156" s="18">
        <v>2.2000000000000002</v>
      </c>
      <c r="F156" s="18">
        <v>3.75</v>
      </c>
      <c r="G156" s="18">
        <v>4.1726000000000001</v>
      </c>
      <c r="H156" s="18">
        <v>3.4634</v>
      </c>
      <c r="I156" s="8">
        <v>-1.103752759381893E-2</v>
      </c>
      <c r="J156" s="8">
        <v>0.15167095115681239</v>
      </c>
      <c r="K156" s="8">
        <v>1.036363636363637</v>
      </c>
      <c r="L156" s="8">
        <v>0.19466666666666679</v>
      </c>
      <c r="M156" s="18">
        <v>1.3716637265932969</v>
      </c>
    </row>
    <row r="157" spans="1:13" x14ac:dyDescent="0.45">
      <c r="A157" t="s">
        <v>837</v>
      </c>
      <c r="B157" s="18">
        <v>26.26</v>
      </c>
      <c r="C157" s="18">
        <v>19.600000000000001</v>
      </c>
      <c r="D157" s="18">
        <v>16.5</v>
      </c>
      <c r="E157" s="18">
        <v>12.94</v>
      </c>
      <c r="F157" s="18">
        <v>14.07</v>
      </c>
      <c r="G157" s="18">
        <v>20.222799999999999</v>
      </c>
      <c r="H157" s="18">
        <v>15.972799999999999</v>
      </c>
      <c r="I157" s="8">
        <v>0.33979591836734691</v>
      </c>
      <c r="J157" s="8">
        <v>0.59151515151515155</v>
      </c>
      <c r="K157" s="8">
        <v>1.0293663060278211</v>
      </c>
      <c r="L157" s="8">
        <v>0.86638237384506045</v>
      </c>
      <c r="M157" s="18">
        <v>2.8270597497553802</v>
      </c>
    </row>
    <row r="158" spans="1:13" x14ac:dyDescent="0.45">
      <c r="A158" t="s">
        <v>921</v>
      </c>
      <c r="B158" s="18">
        <v>13.9</v>
      </c>
      <c r="C158" s="18">
        <v>10.81</v>
      </c>
      <c r="D158" s="18">
        <v>9.77</v>
      </c>
      <c r="E158" s="18">
        <v>6.86</v>
      </c>
      <c r="F158" s="18">
        <v>13</v>
      </c>
      <c r="G158" s="18">
        <v>11.087</v>
      </c>
      <c r="H158" s="18">
        <v>9.4780500000000014</v>
      </c>
      <c r="I158" s="8">
        <v>0.28584643848288632</v>
      </c>
      <c r="J158" s="8">
        <v>0.42272262026612101</v>
      </c>
      <c r="K158" s="8">
        <v>1.026239067055394</v>
      </c>
      <c r="L158" s="8">
        <v>6.9230769230769207E-2</v>
      </c>
      <c r="M158" s="18">
        <v>1.80403889503517</v>
      </c>
    </row>
    <row r="159" spans="1:13" x14ac:dyDescent="0.45">
      <c r="A159" t="s">
        <v>493</v>
      </c>
      <c r="B159" s="18">
        <v>206.55</v>
      </c>
      <c r="C159" s="18">
        <v>193.78</v>
      </c>
      <c r="D159" s="18">
        <v>195.78</v>
      </c>
      <c r="E159" s="18">
        <v>102.19</v>
      </c>
      <c r="F159" s="18">
        <v>138.41</v>
      </c>
      <c r="G159" s="18">
        <v>201.01920000000001</v>
      </c>
      <c r="H159" s="18">
        <v>165.77654999999999</v>
      </c>
      <c r="I159" s="8">
        <v>6.5899473629889682E-2</v>
      </c>
      <c r="J159" s="8">
        <v>5.501072632546733E-2</v>
      </c>
      <c r="K159" s="8">
        <v>1.021234954496526</v>
      </c>
      <c r="L159" s="8">
        <v>0.49230546925800178</v>
      </c>
      <c r="M159" s="18">
        <v>1.634450623709885</v>
      </c>
    </row>
    <row r="160" spans="1:13" x14ac:dyDescent="0.45">
      <c r="A160" t="s">
        <v>1052</v>
      </c>
      <c r="B160" s="18">
        <v>52.35</v>
      </c>
      <c r="C160" s="18">
        <v>52.43</v>
      </c>
      <c r="D160" s="18">
        <v>46.02</v>
      </c>
      <c r="E160" s="18">
        <v>25.91</v>
      </c>
      <c r="F160" s="18">
        <v>46.74</v>
      </c>
      <c r="G160" s="18">
        <v>49.196599999999997</v>
      </c>
      <c r="H160" s="18">
        <v>39.286000000000001</v>
      </c>
      <c r="I160" s="8">
        <v>-1.5258439824528121E-3</v>
      </c>
      <c r="J160" s="8">
        <v>0.13754889178617979</v>
      </c>
      <c r="K160" s="8">
        <v>1.0204554226167499</v>
      </c>
      <c r="L160" s="8">
        <v>0.12002567394095</v>
      </c>
      <c r="M160" s="18">
        <v>1.2765041443614269</v>
      </c>
    </row>
    <row r="161" spans="1:13" x14ac:dyDescent="0.45">
      <c r="A161" t="s">
        <v>2361</v>
      </c>
      <c r="B161" s="18">
        <v>55.779699999999998</v>
      </c>
      <c r="C161" s="18">
        <v>52.35</v>
      </c>
      <c r="D161" s="18">
        <v>45.42</v>
      </c>
      <c r="E161" s="18">
        <v>27.66</v>
      </c>
      <c r="F161" s="18">
        <v>43.53</v>
      </c>
      <c r="G161" s="18">
        <v>51.089085999999988</v>
      </c>
      <c r="H161" s="18">
        <v>41.360100000000003</v>
      </c>
      <c r="I161" s="8">
        <v>6.5514804202483123E-2</v>
      </c>
      <c r="J161" s="8">
        <v>0.22808674592690431</v>
      </c>
      <c r="K161" s="8">
        <v>1.0166196673897321</v>
      </c>
      <c r="L161" s="8">
        <v>0.28140822421318629</v>
      </c>
      <c r="M161" s="18">
        <v>1.591629441732306</v>
      </c>
    </row>
    <row r="162" spans="1:13" x14ac:dyDescent="0.45">
      <c r="A162" t="s">
        <v>1960</v>
      </c>
      <c r="B162" s="18">
        <v>64.36</v>
      </c>
      <c r="C162" s="18">
        <v>59.13</v>
      </c>
      <c r="D162" s="18">
        <v>50.07</v>
      </c>
      <c r="E162" s="18">
        <v>31.97</v>
      </c>
      <c r="F162" s="18">
        <v>82.25</v>
      </c>
      <c r="G162" s="18">
        <v>57.143599999999999</v>
      </c>
      <c r="H162" s="18">
        <v>47.418300000000002</v>
      </c>
      <c r="I162" s="8">
        <v>8.8449179773380626E-2</v>
      </c>
      <c r="J162" s="8">
        <v>0.28540043938486132</v>
      </c>
      <c r="K162" s="8">
        <v>1.013137316233969</v>
      </c>
      <c r="L162" s="8">
        <v>-0.21750759878419459</v>
      </c>
      <c r="M162" s="18">
        <v>1.169479336608017</v>
      </c>
    </row>
    <row r="163" spans="1:13" x14ac:dyDescent="0.45">
      <c r="A163" t="s">
        <v>24</v>
      </c>
      <c r="B163" s="18">
        <v>371</v>
      </c>
      <c r="C163" s="18">
        <v>300.82</v>
      </c>
      <c r="D163" s="18">
        <v>313.62</v>
      </c>
      <c r="E163" s="18">
        <v>184.94</v>
      </c>
      <c r="F163" s="18">
        <v>285.52</v>
      </c>
      <c r="G163" s="18">
        <v>329.15640000000002</v>
      </c>
      <c r="H163" s="18">
        <v>285.60457500000001</v>
      </c>
      <c r="I163" s="8">
        <v>0.2332956585333423</v>
      </c>
      <c r="J163" s="8">
        <v>0.182960270390919</v>
      </c>
      <c r="K163" s="8">
        <v>1.0060560181680549</v>
      </c>
      <c r="L163" s="8">
        <v>0.29938358083496791</v>
      </c>
      <c r="M163" s="18">
        <v>1.7216955279272841</v>
      </c>
    </row>
    <row r="164" spans="1:13" x14ac:dyDescent="0.45">
      <c r="A164" t="s">
        <v>647</v>
      </c>
      <c r="B164" s="18">
        <v>48.6</v>
      </c>
      <c r="C164" s="18">
        <v>39.96</v>
      </c>
      <c r="D164" s="18">
        <v>31.99</v>
      </c>
      <c r="E164" s="18">
        <v>24.28</v>
      </c>
      <c r="F164" s="18">
        <v>20.88</v>
      </c>
      <c r="G164" s="18">
        <v>38.965200000000003</v>
      </c>
      <c r="H164" s="18">
        <v>30.714400000000001</v>
      </c>
      <c r="I164" s="8">
        <v>0.2162162162162162</v>
      </c>
      <c r="J164" s="8">
        <v>0.51922475773679277</v>
      </c>
      <c r="K164" s="8">
        <v>1.0016474464579901</v>
      </c>
      <c r="L164" s="8">
        <v>1.327586206896552</v>
      </c>
      <c r="M164" s="18">
        <v>3.0646746273075509</v>
      </c>
    </row>
    <row r="165" spans="1:13" x14ac:dyDescent="0.45">
      <c r="A165" t="s">
        <v>665</v>
      </c>
      <c r="B165" s="18">
        <v>83.93</v>
      </c>
      <c r="C165" s="18">
        <v>74.88</v>
      </c>
      <c r="D165" s="18">
        <v>88.05</v>
      </c>
      <c r="E165" s="18">
        <v>41.97</v>
      </c>
      <c r="F165" s="18">
        <v>65.09</v>
      </c>
      <c r="G165" s="18">
        <v>77.483400000000003</v>
      </c>
      <c r="H165" s="18">
        <v>68.877800000000008</v>
      </c>
      <c r="I165" s="8">
        <v>0.12086004273504281</v>
      </c>
      <c r="J165" s="8">
        <v>-4.679159568427016E-2</v>
      </c>
      <c r="K165" s="8">
        <v>0.99976173457231376</v>
      </c>
      <c r="L165" s="8">
        <v>0.28944538331540942</v>
      </c>
      <c r="M165" s="18">
        <v>1.363275564938496</v>
      </c>
    </row>
    <row r="166" spans="1:13" x14ac:dyDescent="0.45">
      <c r="A166" t="s">
        <v>1340</v>
      </c>
      <c r="B166" s="18">
        <v>13.72</v>
      </c>
      <c r="C166" s="18">
        <v>14.89</v>
      </c>
      <c r="D166" s="18">
        <v>13.46</v>
      </c>
      <c r="E166" s="18">
        <v>6.88</v>
      </c>
      <c r="F166" s="18">
        <v>12.04</v>
      </c>
      <c r="G166" s="18">
        <v>12.8992</v>
      </c>
      <c r="H166" s="18">
        <v>10.939299999999999</v>
      </c>
      <c r="I166" s="8">
        <v>-7.8576225654801823E-2</v>
      </c>
      <c r="J166" s="8">
        <v>1.931649331352148E-2</v>
      </c>
      <c r="K166" s="8">
        <v>0.99418604651162812</v>
      </c>
      <c r="L166" s="8">
        <v>0.13953488372093029</v>
      </c>
      <c r="M166" s="18">
        <v>1.0744611978912779</v>
      </c>
    </row>
    <row r="167" spans="1:13" x14ac:dyDescent="0.45">
      <c r="A167" t="s">
        <v>1589</v>
      </c>
      <c r="B167" s="18">
        <v>24.66</v>
      </c>
      <c r="C167" s="18">
        <v>21.7</v>
      </c>
      <c r="D167" s="18">
        <v>19.73</v>
      </c>
      <c r="E167" s="18">
        <v>12.42</v>
      </c>
      <c r="F167" s="18">
        <v>19.82</v>
      </c>
      <c r="G167" s="18">
        <v>21.9786</v>
      </c>
      <c r="H167" s="18">
        <v>18.603149999999999</v>
      </c>
      <c r="I167" s="8">
        <v>0.13640552995391711</v>
      </c>
      <c r="J167" s="8">
        <v>0.24987328940699441</v>
      </c>
      <c r="K167" s="8">
        <v>0.98550724637681153</v>
      </c>
      <c r="L167" s="8">
        <v>0.24419778002018161</v>
      </c>
      <c r="M167" s="18">
        <v>1.615983845757905</v>
      </c>
    </row>
    <row r="168" spans="1:13" x14ac:dyDescent="0.45">
      <c r="A168" t="s">
        <v>92</v>
      </c>
      <c r="B168" s="18">
        <v>438.69</v>
      </c>
      <c r="C168" s="18">
        <v>346.97</v>
      </c>
      <c r="D168" s="18">
        <v>309.87</v>
      </c>
      <c r="E168" s="18">
        <v>221.86</v>
      </c>
      <c r="F168" s="18">
        <v>250.08</v>
      </c>
      <c r="G168" s="18">
        <v>370.90820000000002</v>
      </c>
      <c r="H168" s="18">
        <v>334.89949999999999</v>
      </c>
      <c r="I168" s="8">
        <v>0.26434562065884643</v>
      </c>
      <c r="J168" s="8">
        <v>0.41572272243198749</v>
      </c>
      <c r="K168" s="8">
        <v>0.97732804471288182</v>
      </c>
      <c r="L168" s="8">
        <v>0.75419865642994233</v>
      </c>
      <c r="M168" s="18">
        <v>2.4115950442336578</v>
      </c>
    </row>
    <row r="169" spans="1:13" x14ac:dyDescent="0.45">
      <c r="A169" t="s">
        <v>312</v>
      </c>
      <c r="B169" s="18">
        <v>24</v>
      </c>
      <c r="C169" s="18">
        <v>22.23</v>
      </c>
      <c r="D169" s="18">
        <v>17.399999999999999</v>
      </c>
      <c r="E169" s="18">
        <v>12.14</v>
      </c>
      <c r="F169" s="18">
        <v>17.739999999999998</v>
      </c>
      <c r="G169" s="18">
        <v>21.981999999999999</v>
      </c>
      <c r="H169" s="18">
        <v>17.628</v>
      </c>
      <c r="I169" s="8">
        <v>7.9622132253711175E-2</v>
      </c>
      <c r="J169" s="8">
        <v>0.3793103448275863</v>
      </c>
      <c r="K169" s="8">
        <v>0.97693574958813834</v>
      </c>
      <c r="L169" s="8">
        <v>0.35287485907553567</v>
      </c>
      <c r="M169" s="18">
        <v>1.788743085744972</v>
      </c>
    </row>
    <row r="170" spans="1:13" x14ac:dyDescent="0.45">
      <c r="A170" t="s">
        <v>375</v>
      </c>
      <c r="B170" s="18">
        <v>88.4</v>
      </c>
      <c r="C170" s="18">
        <v>75.92</v>
      </c>
      <c r="D170" s="18">
        <v>59.78</v>
      </c>
      <c r="E170" s="18">
        <v>44.96</v>
      </c>
      <c r="F170" s="18">
        <v>53.34</v>
      </c>
      <c r="G170" s="18">
        <v>75.61</v>
      </c>
      <c r="H170" s="18">
        <v>56.158550000000012</v>
      </c>
      <c r="I170" s="8">
        <v>0.16438356164383561</v>
      </c>
      <c r="J170" s="8">
        <v>0.47875543660086989</v>
      </c>
      <c r="K170" s="8">
        <v>0.9661921708185055</v>
      </c>
      <c r="L170" s="8">
        <v>0.65729283839520058</v>
      </c>
      <c r="M170" s="18">
        <v>2.2666240074584119</v>
      </c>
    </row>
    <row r="171" spans="1:13" x14ac:dyDescent="0.45">
      <c r="A171" t="s">
        <v>606</v>
      </c>
      <c r="B171" s="18">
        <v>5.17</v>
      </c>
      <c r="C171" s="18">
        <v>3.83</v>
      </c>
      <c r="D171" s="18">
        <v>3.38</v>
      </c>
      <c r="E171" s="18">
        <v>2.63</v>
      </c>
      <c r="F171" s="18">
        <v>7.09</v>
      </c>
      <c r="G171" s="18">
        <v>4.2561999999999998</v>
      </c>
      <c r="H171" s="18">
        <v>4.0601500000000001</v>
      </c>
      <c r="I171" s="8">
        <v>0.34986945169712791</v>
      </c>
      <c r="J171" s="8">
        <v>0.52958579881656798</v>
      </c>
      <c r="K171" s="8">
        <v>0.96577946768060841</v>
      </c>
      <c r="L171" s="8">
        <v>-0.27080394922425949</v>
      </c>
      <c r="M171" s="18">
        <v>1.574430768970045</v>
      </c>
    </row>
    <row r="172" spans="1:13" x14ac:dyDescent="0.45">
      <c r="A172" t="s">
        <v>2502</v>
      </c>
      <c r="B172" s="18">
        <v>2.2400000000000002</v>
      </c>
      <c r="C172" s="18">
        <v>1.73</v>
      </c>
      <c r="D172" s="18">
        <v>1.78</v>
      </c>
      <c r="E172" s="18">
        <v>1.1399999999999999</v>
      </c>
      <c r="F172" s="18">
        <v>2.68</v>
      </c>
      <c r="G172" s="18">
        <v>1.8149999999999999</v>
      </c>
      <c r="H172" s="18">
        <v>1.643</v>
      </c>
      <c r="I172" s="8">
        <v>0.29479768786127192</v>
      </c>
      <c r="J172" s="8">
        <v>0.25842696629213502</v>
      </c>
      <c r="K172" s="8">
        <v>0.96491228070175472</v>
      </c>
      <c r="L172" s="8">
        <v>-0.16417910447761189</v>
      </c>
      <c r="M172" s="18">
        <v>1.3539578303775499</v>
      </c>
    </row>
    <row r="173" spans="1:13" x14ac:dyDescent="0.45">
      <c r="A173" t="s">
        <v>70</v>
      </c>
      <c r="B173" s="18">
        <v>189.11</v>
      </c>
      <c r="C173" s="18">
        <v>170.76</v>
      </c>
      <c r="D173" s="18">
        <v>164.1</v>
      </c>
      <c r="E173" s="18">
        <v>96.3</v>
      </c>
      <c r="F173" s="18">
        <v>124.92</v>
      </c>
      <c r="G173" s="18">
        <v>178.77799999999999</v>
      </c>
      <c r="H173" s="18">
        <v>143.90074999999999</v>
      </c>
      <c r="I173" s="8">
        <v>0.1074607636448819</v>
      </c>
      <c r="J173" s="8">
        <v>0.15240706886045111</v>
      </c>
      <c r="K173" s="8">
        <v>0.96375908618899286</v>
      </c>
      <c r="L173" s="8">
        <v>0.51384886327249446</v>
      </c>
      <c r="M173" s="18">
        <v>1.7374757819668201</v>
      </c>
    </row>
    <row r="174" spans="1:13" x14ac:dyDescent="0.45">
      <c r="A174" t="s">
        <v>986</v>
      </c>
      <c r="B174" s="18">
        <v>15.11</v>
      </c>
      <c r="C174" s="18">
        <v>13.73</v>
      </c>
      <c r="D174" s="18">
        <v>14.45</v>
      </c>
      <c r="E174" s="18">
        <v>7.7</v>
      </c>
      <c r="F174" s="18">
        <v>15.07</v>
      </c>
      <c r="G174" s="18">
        <v>14.522600000000001</v>
      </c>
      <c r="H174" s="18">
        <v>12.114649999999999</v>
      </c>
      <c r="I174" s="8">
        <v>0.10050983248361239</v>
      </c>
      <c r="J174" s="8">
        <v>4.5674740484429099E-2</v>
      </c>
      <c r="K174" s="8">
        <v>0.96233766233766227</v>
      </c>
      <c r="L174" s="8">
        <v>2.6542800265427768E-3</v>
      </c>
      <c r="M174" s="18">
        <v>1.111176515332247</v>
      </c>
    </row>
    <row r="175" spans="1:13" x14ac:dyDescent="0.45">
      <c r="A175" t="s">
        <v>2052</v>
      </c>
      <c r="B175" s="18">
        <v>56.63</v>
      </c>
      <c r="C175" s="18">
        <v>62.16</v>
      </c>
      <c r="D175" s="18">
        <v>49.22</v>
      </c>
      <c r="E175" s="18">
        <v>28.86</v>
      </c>
      <c r="F175" s="18">
        <v>27.56</v>
      </c>
      <c r="G175" s="18">
        <v>55.214399999999998</v>
      </c>
      <c r="H175" s="18">
        <v>41.138800000000003</v>
      </c>
      <c r="I175" s="8">
        <v>-8.8963963963963888E-2</v>
      </c>
      <c r="J175" s="8">
        <v>0.15054855749695251</v>
      </c>
      <c r="K175" s="8">
        <v>0.96223146223146228</v>
      </c>
      <c r="L175" s="8">
        <v>1.054789550072569</v>
      </c>
      <c r="M175" s="18">
        <v>2.0786056058370201</v>
      </c>
    </row>
    <row r="176" spans="1:13" x14ac:dyDescent="0.45">
      <c r="A176" t="s">
        <v>1144</v>
      </c>
      <c r="B176" s="18">
        <v>695.03</v>
      </c>
      <c r="C176" s="18">
        <v>623.03</v>
      </c>
      <c r="D176" s="18">
        <v>547.59</v>
      </c>
      <c r="E176" s="18">
        <v>354.26</v>
      </c>
      <c r="F176" s="18">
        <v>435</v>
      </c>
      <c r="G176" s="18">
        <v>630.245</v>
      </c>
      <c r="H176" s="18">
        <v>499.17009999999999</v>
      </c>
      <c r="I176" s="8">
        <v>0.1155642585429273</v>
      </c>
      <c r="J176" s="8">
        <v>0.26925254296097417</v>
      </c>
      <c r="K176" s="8">
        <v>0.96192062327104377</v>
      </c>
      <c r="L176" s="8">
        <v>0.59777011494252874</v>
      </c>
      <c r="M176" s="18">
        <v>1.944507539717474</v>
      </c>
    </row>
    <row r="177" spans="1:13" x14ac:dyDescent="0.45">
      <c r="A177" t="s">
        <v>2128</v>
      </c>
      <c r="B177" s="18">
        <v>15.56</v>
      </c>
      <c r="C177" s="18">
        <v>14.64</v>
      </c>
      <c r="D177" s="18">
        <v>10</v>
      </c>
      <c r="E177" s="18">
        <v>7.95</v>
      </c>
      <c r="F177" s="18">
        <v>13.58</v>
      </c>
      <c r="G177" s="18">
        <v>14.041399999999999</v>
      </c>
      <c r="H177" s="18">
        <v>10.577199999999999</v>
      </c>
      <c r="I177" s="8">
        <v>6.2841530054644767E-2</v>
      </c>
      <c r="J177" s="8">
        <v>0.55600000000000005</v>
      </c>
      <c r="K177" s="8">
        <v>0.95723270440251573</v>
      </c>
      <c r="L177" s="8">
        <v>0.14580265095729009</v>
      </c>
      <c r="M177" s="18">
        <v>1.7218768854144511</v>
      </c>
    </row>
    <row r="178" spans="1:13" x14ac:dyDescent="0.45">
      <c r="A178" t="s">
        <v>1400</v>
      </c>
      <c r="B178" s="18">
        <v>50.41</v>
      </c>
      <c r="C178" s="18">
        <v>53.86</v>
      </c>
      <c r="D178" s="18">
        <v>36.659999999999997</v>
      </c>
      <c r="E178" s="18">
        <v>25.8</v>
      </c>
      <c r="F178" s="18">
        <v>47.89</v>
      </c>
      <c r="G178" s="18">
        <v>51.483400000000003</v>
      </c>
      <c r="H178" s="18">
        <v>39.744900000000001</v>
      </c>
      <c r="I178" s="8">
        <v>-6.4054957296695192E-2</v>
      </c>
      <c r="J178" s="8">
        <v>0.37506819421713028</v>
      </c>
      <c r="K178" s="8">
        <v>0.9538759689922478</v>
      </c>
      <c r="L178" s="8">
        <v>5.2620588849446648E-2</v>
      </c>
      <c r="M178" s="18">
        <v>1.3175097947621299</v>
      </c>
    </row>
    <row r="179" spans="1:13" x14ac:dyDescent="0.45">
      <c r="A179" t="s">
        <v>1533</v>
      </c>
      <c r="B179" s="18">
        <v>15.07</v>
      </c>
      <c r="C179" s="18">
        <v>14.34</v>
      </c>
      <c r="D179" s="18">
        <v>14.54</v>
      </c>
      <c r="E179" s="18">
        <v>7.72</v>
      </c>
      <c r="F179" s="18">
        <v>8.2200000000000006</v>
      </c>
      <c r="G179" s="18">
        <v>14.2066</v>
      </c>
      <c r="H179" s="18">
        <v>11.013949999999999</v>
      </c>
      <c r="I179" s="8">
        <v>5.0906555090655559E-2</v>
      </c>
      <c r="J179" s="8">
        <v>3.6451169188445709E-2</v>
      </c>
      <c r="K179" s="8">
        <v>0.95207253886010368</v>
      </c>
      <c r="L179" s="8">
        <v>0.83333333333333326</v>
      </c>
      <c r="M179" s="18">
        <v>1.872763596472538</v>
      </c>
    </row>
    <row r="180" spans="1:13" x14ac:dyDescent="0.45">
      <c r="A180" t="s">
        <v>386</v>
      </c>
      <c r="B180" s="18">
        <v>167.52</v>
      </c>
      <c r="C180" s="18">
        <v>152.26</v>
      </c>
      <c r="D180" s="18">
        <v>151.36000000000001</v>
      </c>
      <c r="E180" s="18">
        <v>85.9</v>
      </c>
      <c r="F180" s="18">
        <v>95.35</v>
      </c>
      <c r="G180" s="18">
        <v>157.7296</v>
      </c>
      <c r="H180" s="18">
        <v>129.65479999999999</v>
      </c>
      <c r="I180" s="8">
        <v>0.10022330224615809</v>
      </c>
      <c r="J180" s="8">
        <v>0.1067653276955602</v>
      </c>
      <c r="K180" s="8">
        <v>0.95017462165308508</v>
      </c>
      <c r="L180" s="8">
        <v>0.75689564761405359</v>
      </c>
      <c r="M180" s="18">
        <v>1.914058899208857</v>
      </c>
    </row>
    <row r="181" spans="1:13" x14ac:dyDescent="0.45">
      <c r="A181" t="s">
        <v>1217</v>
      </c>
      <c r="B181" s="18">
        <v>26.46</v>
      </c>
      <c r="C181" s="18">
        <v>26.29</v>
      </c>
      <c r="D181" s="18">
        <v>20.69</v>
      </c>
      <c r="E181" s="18">
        <v>13.58</v>
      </c>
      <c r="F181" s="18">
        <v>16.16</v>
      </c>
      <c r="G181" s="18">
        <v>24.7302</v>
      </c>
      <c r="H181" s="18">
        <v>19.32085</v>
      </c>
      <c r="I181" s="8">
        <v>6.4663370102702178E-3</v>
      </c>
      <c r="J181" s="8">
        <v>0.27887868535524413</v>
      </c>
      <c r="K181" s="8">
        <v>0.94845360824742264</v>
      </c>
      <c r="L181" s="8">
        <v>0.63737623762376239</v>
      </c>
      <c r="M181" s="18">
        <v>1.8711748682366991</v>
      </c>
    </row>
    <row r="182" spans="1:13" x14ac:dyDescent="0.45">
      <c r="A182" t="s">
        <v>535</v>
      </c>
      <c r="B182" s="18">
        <v>12.46</v>
      </c>
      <c r="C182" s="18">
        <v>8.43</v>
      </c>
      <c r="D182" s="18">
        <v>10.78</v>
      </c>
      <c r="E182" s="18">
        <v>6.4</v>
      </c>
      <c r="F182" s="18">
        <v>2.98</v>
      </c>
      <c r="G182" s="18">
        <v>9.6612000000000009</v>
      </c>
      <c r="H182" s="18">
        <v>9.4822500000000005</v>
      </c>
      <c r="I182" s="8">
        <v>0.47805456702253868</v>
      </c>
      <c r="J182" s="8">
        <v>0.1558441558441559</v>
      </c>
      <c r="K182" s="8">
        <v>0.94687500000000013</v>
      </c>
      <c r="L182" s="8">
        <v>3.1812080536912748</v>
      </c>
      <c r="M182" s="18">
        <v>4.7619817765579704</v>
      </c>
    </row>
    <row r="183" spans="1:13" x14ac:dyDescent="0.45">
      <c r="A183" t="s">
        <v>13</v>
      </c>
      <c r="B183" s="18">
        <v>166.77</v>
      </c>
      <c r="C183" s="18">
        <v>140.80000000000001</v>
      </c>
      <c r="D183" s="18">
        <v>148.55000000000001</v>
      </c>
      <c r="E183" s="18">
        <v>85.82</v>
      </c>
      <c r="F183" s="18">
        <v>140.55000000000001</v>
      </c>
      <c r="G183" s="18">
        <v>143.3486</v>
      </c>
      <c r="H183" s="18">
        <v>136.76287500000001</v>
      </c>
      <c r="I183" s="8">
        <v>0.18444602272727259</v>
      </c>
      <c r="J183" s="8">
        <v>0.12265230562100291</v>
      </c>
      <c r="K183" s="8">
        <v>0.94325332090421843</v>
      </c>
      <c r="L183" s="8">
        <v>0.18655282817502661</v>
      </c>
      <c r="M183" s="18">
        <v>1.436904477427521</v>
      </c>
    </row>
    <row r="184" spans="1:13" x14ac:dyDescent="0.45">
      <c r="A184" t="s">
        <v>1195</v>
      </c>
      <c r="B184" s="18">
        <v>318</v>
      </c>
      <c r="C184" s="18">
        <v>325.3</v>
      </c>
      <c r="D184" s="18">
        <v>298.97000000000003</v>
      </c>
      <c r="E184" s="18">
        <v>163.77000000000001</v>
      </c>
      <c r="F184" s="18">
        <v>251.74</v>
      </c>
      <c r="G184" s="18">
        <v>322.9776</v>
      </c>
      <c r="H184" s="18">
        <v>264.09199999999998</v>
      </c>
      <c r="I184" s="8">
        <v>-2.2440823854903199E-2</v>
      </c>
      <c r="J184" s="8">
        <v>6.3651871425226547E-2</v>
      </c>
      <c r="K184" s="8">
        <v>0.94174757281553378</v>
      </c>
      <c r="L184" s="8">
        <v>0.26320807182013167</v>
      </c>
      <c r="M184" s="18">
        <v>1.2461666922059891</v>
      </c>
    </row>
    <row r="185" spans="1:13" x14ac:dyDescent="0.45">
      <c r="A185" t="s">
        <v>1300</v>
      </c>
      <c r="B185" s="18">
        <v>16.809999999999999</v>
      </c>
      <c r="C185" s="18">
        <v>16.899999999999999</v>
      </c>
      <c r="D185" s="18">
        <v>13.22</v>
      </c>
      <c r="E185" s="18">
        <v>8.66</v>
      </c>
      <c r="F185" s="18">
        <v>19.86</v>
      </c>
      <c r="G185" s="18">
        <v>15.741199999999999</v>
      </c>
      <c r="H185" s="18">
        <v>12.894600000000001</v>
      </c>
      <c r="I185" s="8">
        <v>-5.3254437869821869E-3</v>
      </c>
      <c r="J185" s="8">
        <v>0.27155824508320697</v>
      </c>
      <c r="K185" s="8">
        <v>0.94110854503464192</v>
      </c>
      <c r="L185" s="8">
        <v>-0.1535750251762337</v>
      </c>
      <c r="M185" s="18">
        <v>1.0537663211546331</v>
      </c>
    </row>
    <row r="186" spans="1:13" x14ac:dyDescent="0.45">
      <c r="A186" t="s">
        <v>2321</v>
      </c>
      <c r="B186" s="18">
        <v>23.24</v>
      </c>
      <c r="C186" s="18">
        <v>25.26</v>
      </c>
      <c r="D186" s="18">
        <v>20</v>
      </c>
      <c r="E186" s="18">
        <v>11.98</v>
      </c>
      <c r="F186" s="18">
        <v>13.48</v>
      </c>
      <c r="G186" s="18">
        <v>24.1144</v>
      </c>
      <c r="H186" s="18">
        <v>17.192</v>
      </c>
      <c r="I186" s="8">
        <v>-7.9968329374505265E-2</v>
      </c>
      <c r="J186" s="8">
        <v>0.16199999999999989</v>
      </c>
      <c r="K186" s="8">
        <v>0.93989983305509162</v>
      </c>
      <c r="L186" s="8">
        <v>0.72403560830860525</v>
      </c>
      <c r="M186" s="18">
        <v>1.745967111989192</v>
      </c>
    </row>
    <row r="187" spans="1:13" x14ac:dyDescent="0.45">
      <c r="A187" t="s">
        <v>456</v>
      </c>
      <c r="B187" s="18">
        <v>116.81</v>
      </c>
      <c r="C187" s="18">
        <v>105.18</v>
      </c>
      <c r="D187" s="18">
        <v>97.64</v>
      </c>
      <c r="E187" s="18">
        <v>60.6</v>
      </c>
      <c r="F187" s="18">
        <v>46.5</v>
      </c>
      <c r="G187" s="18">
        <v>107.6698</v>
      </c>
      <c r="H187" s="18">
        <v>85.725750000000005</v>
      </c>
      <c r="I187" s="8">
        <v>0.11057235215820491</v>
      </c>
      <c r="J187" s="8">
        <v>0.19633346988938971</v>
      </c>
      <c r="K187" s="8">
        <v>0.92755775577557764</v>
      </c>
      <c r="L187" s="8">
        <v>1.5120430107526881</v>
      </c>
      <c r="M187" s="18">
        <v>2.7465065885758611</v>
      </c>
    </row>
    <row r="188" spans="1:13" x14ac:dyDescent="0.45">
      <c r="A188" t="s">
        <v>2237</v>
      </c>
      <c r="B188" s="18">
        <v>6.95</v>
      </c>
      <c r="C188" s="18">
        <v>8.1999999999999993</v>
      </c>
      <c r="D188" s="18">
        <v>7.66</v>
      </c>
      <c r="E188" s="18">
        <v>3.61</v>
      </c>
      <c r="F188" s="18">
        <v>9.81</v>
      </c>
      <c r="G188" s="18">
        <v>7.9560000000000004</v>
      </c>
      <c r="H188" s="18">
        <v>6.0421500000000004</v>
      </c>
      <c r="I188" s="8">
        <v>-0.15243902439024379</v>
      </c>
      <c r="J188" s="8">
        <v>-9.2689295039164454E-2</v>
      </c>
      <c r="K188" s="8">
        <v>0.92520775623268703</v>
      </c>
      <c r="L188" s="8">
        <v>-0.29153924566768608</v>
      </c>
      <c r="M188" s="18">
        <v>0.38854019113559268</v>
      </c>
    </row>
    <row r="189" spans="1:13" x14ac:dyDescent="0.45">
      <c r="A189" t="s">
        <v>1872</v>
      </c>
      <c r="B189" s="18">
        <v>6.25</v>
      </c>
      <c r="C189" s="18">
        <v>5.52</v>
      </c>
      <c r="D189" s="18">
        <v>5.64</v>
      </c>
      <c r="E189" s="18">
        <v>3.25</v>
      </c>
      <c r="F189" s="18">
        <v>5.1100000000000003</v>
      </c>
      <c r="G189" s="18">
        <v>5.5559999999999992</v>
      </c>
      <c r="H189" s="18">
        <v>5.0799000000000003</v>
      </c>
      <c r="I189" s="8">
        <v>0.13224637681159421</v>
      </c>
      <c r="J189" s="8">
        <v>0.1081560283687943</v>
      </c>
      <c r="K189" s="8">
        <v>0.92307692307692313</v>
      </c>
      <c r="L189" s="8">
        <v>0.2230919765166339</v>
      </c>
      <c r="M189" s="18">
        <v>1.3865713047739461</v>
      </c>
    </row>
    <row r="190" spans="1:13" x14ac:dyDescent="0.45">
      <c r="A190" t="s">
        <v>260</v>
      </c>
      <c r="B190" s="18">
        <v>231.37</v>
      </c>
      <c r="C190" s="18">
        <v>203.06</v>
      </c>
      <c r="D190" s="18">
        <v>165.09</v>
      </c>
      <c r="E190" s="18">
        <v>120.38</v>
      </c>
      <c r="F190" s="18">
        <v>231.13</v>
      </c>
      <c r="G190" s="18">
        <v>203.74459999999999</v>
      </c>
      <c r="H190" s="18">
        <v>168.17400000000001</v>
      </c>
      <c r="I190" s="8">
        <v>0.13941692110706189</v>
      </c>
      <c r="J190" s="8">
        <v>0.40147798170694782</v>
      </c>
      <c r="K190" s="8">
        <v>0.92199700947001184</v>
      </c>
      <c r="L190" s="8">
        <v>1.038376671137486E-3</v>
      </c>
      <c r="M190" s="18">
        <v>1.4639302889551591</v>
      </c>
    </row>
    <row r="191" spans="1:13" x14ac:dyDescent="0.45">
      <c r="A191" t="s">
        <v>862</v>
      </c>
      <c r="B191" s="18">
        <v>59.95</v>
      </c>
      <c r="C191" s="18">
        <v>61.67</v>
      </c>
      <c r="D191" s="18">
        <v>51.05</v>
      </c>
      <c r="E191" s="18">
        <v>31.25</v>
      </c>
      <c r="F191" s="18">
        <v>37.729999999999997</v>
      </c>
      <c r="G191" s="18">
        <v>59.617600000000003</v>
      </c>
      <c r="H191" s="18">
        <v>46.027450000000002</v>
      </c>
      <c r="I191" s="8">
        <v>-2.7890384303551171E-2</v>
      </c>
      <c r="J191" s="8">
        <v>0.17433888344760051</v>
      </c>
      <c r="K191" s="8">
        <v>0.91840000000000011</v>
      </c>
      <c r="L191" s="8">
        <v>0.58892128279883393</v>
      </c>
      <c r="M191" s="18">
        <v>1.6537697819428829</v>
      </c>
    </row>
    <row r="192" spans="1:13" x14ac:dyDescent="0.45">
      <c r="A192" t="s">
        <v>2270</v>
      </c>
      <c r="B192" s="18">
        <v>15.61</v>
      </c>
      <c r="C192" s="18">
        <v>12.35</v>
      </c>
      <c r="D192" s="18">
        <v>11.2</v>
      </c>
      <c r="E192" s="18">
        <v>8.16</v>
      </c>
      <c r="F192" s="18">
        <v>10.67</v>
      </c>
      <c r="G192" s="18">
        <v>12.842000000000001</v>
      </c>
      <c r="H192" s="18">
        <v>11.21055</v>
      </c>
      <c r="I192" s="8">
        <v>0.2639676113360323</v>
      </c>
      <c r="J192" s="8">
        <v>0.39374999999999999</v>
      </c>
      <c r="K192" s="8">
        <v>0.91299019607843124</v>
      </c>
      <c r="L192" s="8">
        <v>0.46298031865042177</v>
      </c>
      <c r="M192" s="18">
        <v>2.0336881260648849</v>
      </c>
    </row>
    <row r="193" spans="1:13" x14ac:dyDescent="0.45">
      <c r="A193" t="s">
        <v>244</v>
      </c>
      <c r="B193" s="18">
        <v>95.76</v>
      </c>
      <c r="C193" s="18">
        <v>88.7</v>
      </c>
      <c r="D193" s="18">
        <v>92.1</v>
      </c>
      <c r="E193" s="18">
        <v>50.06</v>
      </c>
      <c r="F193" s="18">
        <v>95.86</v>
      </c>
      <c r="G193" s="18">
        <v>89.477000000000004</v>
      </c>
      <c r="H193" s="18">
        <v>75.825699999999998</v>
      </c>
      <c r="I193" s="8">
        <v>7.9594137542277288E-2</v>
      </c>
      <c r="J193" s="8">
        <v>3.9739413680781821E-2</v>
      </c>
      <c r="K193" s="8">
        <v>0.91290451458250099</v>
      </c>
      <c r="L193" s="8">
        <v>-1.043187982474381E-3</v>
      </c>
      <c r="M193" s="18">
        <v>1.0311948778230859</v>
      </c>
    </row>
    <row r="194" spans="1:13" x14ac:dyDescent="0.45">
      <c r="A194" t="s">
        <v>1771</v>
      </c>
      <c r="B194" s="18">
        <v>6.13</v>
      </c>
      <c r="C194" s="18">
        <v>5.87</v>
      </c>
      <c r="D194" s="18">
        <v>4.24</v>
      </c>
      <c r="E194" s="18">
        <v>3.21</v>
      </c>
      <c r="F194" s="18">
        <v>4.41</v>
      </c>
      <c r="G194" s="18">
        <v>5.4501999999999997</v>
      </c>
      <c r="H194" s="18">
        <v>4.5838500000000009</v>
      </c>
      <c r="I194" s="8">
        <v>4.4293015332197649E-2</v>
      </c>
      <c r="J194" s="8">
        <v>0.445754716981132</v>
      </c>
      <c r="K194" s="8">
        <v>0.90965732087227402</v>
      </c>
      <c r="L194" s="8">
        <v>0.39002267573696142</v>
      </c>
      <c r="M194" s="18">
        <v>1.789727728922565</v>
      </c>
    </row>
    <row r="195" spans="1:13" x14ac:dyDescent="0.45">
      <c r="A195" t="s">
        <v>1228</v>
      </c>
      <c r="B195" s="18">
        <v>6.9</v>
      </c>
      <c r="C195" s="18">
        <v>6.65</v>
      </c>
      <c r="D195" s="18">
        <v>6.16</v>
      </c>
      <c r="E195" s="18">
        <v>3.62</v>
      </c>
      <c r="F195" s="18">
        <v>6.7</v>
      </c>
      <c r="G195" s="18">
        <v>6.8505999999999991</v>
      </c>
      <c r="H195" s="18">
        <v>5.5817999999999994</v>
      </c>
      <c r="I195" s="8">
        <v>3.7593984962406068E-2</v>
      </c>
      <c r="J195" s="8">
        <v>0.1201298701298701</v>
      </c>
      <c r="K195" s="8">
        <v>0.90607734806629847</v>
      </c>
      <c r="L195" s="8">
        <v>2.9850746268656799E-2</v>
      </c>
      <c r="M195" s="18">
        <v>1.093651949427231</v>
      </c>
    </row>
    <row r="196" spans="1:13" x14ac:dyDescent="0.45">
      <c r="A196" t="s">
        <v>2517</v>
      </c>
      <c r="B196" s="18">
        <v>13.15</v>
      </c>
      <c r="C196" s="18">
        <v>12.09</v>
      </c>
      <c r="D196" s="18">
        <v>9.57</v>
      </c>
      <c r="E196" s="18">
        <v>6.91</v>
      </c>
      <c r="F196" s="18">
        <v>17.8</v>
      </c>
      <c r="G196" s="18">
        <v>11.788600000000001</v>
      </c>
      <c r="H196" s="18">
        <v>10.655849999999999</v>
      </c>
      <c r="I196" s="8">
        <v>8.7675765095119873E-2</v>
      </c>
      <c r="J196" s="8">
        <v>0.37408568443051199</v>
      </c>
      <c r="K196" s="8">
        <v>0.90303907380607806</v>
      </c>
      <c r="L196" s="8">
        <v>-0.2612359550561798</v>
      </c>
      <c r="M196" s="18">
        <v>1.10356456827553</v>
      </c>
    </row>
    <row r="197" spans="1:13" x14ac:dyDescent="0.45">
      <c r="A197" t="s">
        <v>1010</v>
      </c>
      <c r="B197" s="18">
        <v>556.99</v>
      </c>
      <c r="C197" s="18">
        <v>481.72</v>
      </c>
      <c r="D197" s="18">
        <v>474.49</v>
      </c>
      <c r="E197" s="18">
        <v>292.74</v>
      </c>
      <c r="F197" s="18">
        <v>337.5</v>
      </c>
      <c r="G197" s="18">
        <v>502.93900000000002</v>
      </c>
      <c r="H197" s="18">
        <v>411.8707</v>
      </c>
      <c r="I197" s="8">
        <v>0.15625259486838819</v>
      </c>
      <c r="J197" s="8">
        <v>0.1738708929587558</v>
      </c>
      <c r="K197" s="8">
        <v>0.90267814442850303</v>
      </c>
      <c r="L197" s="8">
        <v>0.65034074074074066</v>
      </c>
      <c r="M197" s="18">
        <v>1.8831423729963881</v>
      </c>
    </row>
    <row r="198" spans="1:13" x14ac:dyDescent="0.45">
      <c r="A198" t="s">
        <v>60</v>
      </c>
      <c r="B198" s="18">
        <v>66.92</v>
      </c>
      <c r="C198" s="18">
        <v>64.760000000000005</v>
      </c>
      <c r="D198" s="18">
        <v>75.08</v>
      </c>
      <c r="E198" s="18">
        <v>35.340000000000003</v>
      </c>
      <c r="F198" s="18">
        <v>77.680000000000007</v>
      </c>
      <c r="G198" s="18">
        <v>65.515600000000006</v>
      </c>
      <c r="H198" s="18">
        <v>59.711049999999993</v>
      </c>
      <c r="I198" s="8">
        <v>3.3353922174181427E-2</v>
      </c>
      <c r="J198" s="8">
        <v>-0.1086840703249866</v>
      </c>
      <c r="K198" s="8">
        <v>0.89360498019241641</v>
      </c>
      <c r="L198" s="8">
        <v>-0.13851699279093721</v>
      </c>
      <c r="M198" s="18">
        <v>0.67975783925067401</v>
      </c>
    </row>
    <row r="199" spans="1:13" x14ac:dyDescent="0.45">
      <c r="A199" t="s">
        <v>521</v>
      </c>
      <c r="B199" s="18">
        <v>44.17</v>
      </c>
      <c r="C199" s="18">
        <v>46.54</v>
      </c>
      <c r="D199" s="18">
        <v>39.11</v>
      </c>
      <c r="E199" s="18">
        <v>23.34</v>
      </c>
      <c r="F199" s="18"/>
      <c r="G199" s="18">
        <v>46.927600000000012</v>
      </c>
      <c r="H199" s="18"/>
      <c r="I199" s="8">
        <v>-5.0923936398796672E-2</v>
      </c>
      <c r="J199" s="8">
        <v>0.12937867553055479</v>
      </c>
      <c r="K199" s="8">
        <v>0.89245929734361629</v>
      </c>
      <c r="L199" s="8"/>
      <c r="M199" s="18">
        <v>0.97091403647537444</v>
      </c>
    </row>
    <row r="200" spans="1:13" x14ac:dyDescent="0.45">
      <c r="A200" t="s">
        <v>687</v>
      </c>
      <c r="B200" s="18">
        <v>5.88</v>
      </c>
      <c r="C200" s="18">
        <v>5.99</v>
      </c>
      <c r="D200" s="18">
        <v>4.46</v>
      </c>
      <c r="E200" s="18">
        <v>3.11</v>
      </c>
      <c r="F200" s="18">
        <v>6.26</v>
      </c>
      <c r="G200" s="18">
        <v>5.7271999999999998</v>
      </c>
      <c r="H200" s="18">
        <v>4.9149000000000003</v>
      </c>
      <c r="I200" s="8">
        <v>-1.8363939899833089E-2</v>
      </c>
      <c r="J200" s="8">
        <v>0.31838565022421528</v>
      </c>
      <c r="K200" s="8">
        <v>0.89067524115755625</v>
      </c>
      <c r="L200" s="8">
        <v>-6.0702875399361027E-2</v>
      </c>
      <c r="M200" s="18">
        <v>1.129994076082578</v>
      </c>
    </row>
    <row r="201" spans="1:13" x14ac:dyDescent="0.45">
      <c r="A201" t="s">
        <v>1921</v>
      </c>
      <c r="B201" s="18">
        <v>16.98</v>
      </c>
      <c r="C201" s="18">
        <v>18.16</v>
      </c>
      <c r="D201" s="18">
        <v>12.81</v>
      </c>
      <c r="E201" s="18">
        <v>8.99</v>
      </c>
      <c r="F201" s="18">
        <v>11.83</v>
      </c>
      <c r="G201" s="18">
        <v>16.897400000000001</v>
      </c>
      <c r="H201" s="18">
        <v>12.50285</v>
      </c>
      <c r="I201" s="8">
        <v>-6.4977973568281944E-2</v>
      </c>
      <c r="J201" s="8">
        <v>0.32552693208430911</v>
      </c>
      <c r="K201" s="8">
        <v>0.88876529477196886</v>
      </c>
      <c r="L201" s="8">
        <v>0.43533389687235841</v>
      </c>
      <c r="M201" s="18">
        <v>1.584648150160354</v>
      </c>
    </row>
    <row r="202" spans="1:13" x14ac:dyDescent="0.45">
      <c r="A202" t="s">
        <v>36</v>
      </c>
      <c r="B202" s="18">
        <v>164.12</v>
      </c>
      <c r="C202" s="18">
        <v>140.46</v>
      </c>
      <c r="D202" s="18">
        <v>137.49</v>
      </c>
      <c r="E202" s="18">
        <v>87</v>
      </c>
      <c r="F202" s="18">
        <v>122.69</v>
      </c>
      <c r="G202" s="18">
        <v>137.3552</v>
      </c>
      <c r="H202" s="18">
        <v>126.762775</v>
      </c>
      <c r="I202" s="8">
        <v>0.16844653282073191</v>
      </c>
      <c r="J202" s="8">
        <v>0.19368681358644271</v>
      </c>
      <c r="K202" s="8">
        <v>0.88643678160919537</v>
      </c>
      <c r="L202" s="8">
        <v>0.33768033254543978</v>
      </c>
      <c r="M202" s="18">
        <v>1.58625046056181</v>
      </c>
    </row>
    <row r="203" spans="1:13" x14ac:dyDescent="0.45">
      <c r="A203" t="s">
        <v>2119</v>
      </c>
      <c r="B203" s="18">
        <v>12.8</v>
      </c>
      <c r="C203" s="18">
        <v>11.49</v>
      </c>
      <c r="D203" s="18">
        <v>9.84</v>
      </c>
      <c r="E203" s="18">
        <v>6.82</v>
      </c>
      <c r="F203" s="18">
        <v>5.89</v>
      </c>
      <c r="G203" s="18">
        <v>11.250400000000001</v>
      </c>
      <c r="H203" s="18">
        <v>8.5251000000000001</v>
      </c>
      <c r="I203" s="8">
        <v>0.114012184508268</v>
      </c>
      <c r="J203" s="8">
        <v>0.30081300813008149</v>
      </c>
      <c r="K203" s="8">
        <v>0.87683284457478017</v>
      </c>
      <c r="L203" s="8">
        <v>1.1731748726655351</v>
      </c>
      <c r="M203" s="18">
        <v>2.4648329098786639</v>
      </c>
    </row>
    <row r="204" spans="1:13" x14ac:dyDescent="0.45">
      <c r="A204" t="s">
        <v>2201</v>
      </c>
      <c r="B204" s="18">
        <v>250.21</v>
      </c>
      <c r="C204" s="18">
        <v>225.56</v>
      </c>
      <c r="D204" s="18">
        <v>214.42</v>
      </c>
      <c r="E204" s="18">
        <v>133.51</v>
      </c>
      <c r="F204" s="18">
        <v>114.72</v>
      </c>
      <c r="G204" s="18">
        <v>216.92779999999999</v>
      </c>
      <c r="H204" s="18">
        <v>189.27455</v>
      </c>
      <c r="I204" s="8">
        <v>0.10928356091505601</v>
      </c>
      <c r="J204" s="8">
        <v>0.16691539968286559</v>
      </c>
      <c r="K204" s="8">
        <v>0.87409182832746635</v>
      </c>
      <c r="L204" s="8">
        <v>1.1810495118549511</v>
      </c>
      <c r="M204" s="18">
        <v>2.3313403007803388</v>
      </c>
    </row>
    <row r="205" spans="1:13" x14ac:dyDescent="0.45">
      <c r="A205" t="s">
        <v>2167</v>
      </c>
      <c r="B205" s="18">
        <v>95.06</v>
      </c>
      <c r="C205" s="18">
        <v>90.93</v>
      </c>
      <c r="D205" s="18">
        <v>80.73</v>
      </c>
      <c r="E205" s="18">
        <v>50.77</v>
      </c>
      <c r="F205" s="18">
        <v>98.07</v>
      </c>
      <c r="G205" s="18">
        <v>88.228200000000001</v>
      </c>
      <c r="H205" s="18">
        <v>71.311899999999994</v>
      </c>
      <c r="I205" s="8">
        <v>4.5419553502694221E-2</v>
      </c>
      <c r="J205" s="8">
        <v>0.1775052644617863</v>
      </c>
      <c r="K205" s="8">
        <v>0.87236557021863304</v>
      </c>
      <c r="L205" s="8">
        <v>-3.0692362598144118E-2</v>
      </c>
      <c r="M205" s="18">
        <v>1.064598025584969</v>
      </c>
    </row>
    <row r="206" spans="1:13" x14ac:dyDescent="0.45">
      <c r="A206" t="s">
        <v>1831</v>
      </c>
      <c r="B206" s="18">
        <v>11.26</v>
      </c>
      <c r="C206" s="18">
        <v>11.6</v>
      </c>
      <c r="D206" s="18">
        <v>9.33</v>
      </c>
      <c r="E206" s="18">
        <v>6.02</v>
      </c>
      <c r="F206" s="18">
        <v>6.35</v>
      </c>
      <c r="G206" s="18">
        <v>11.276</v>
      </c>
      <c r="H206" s="18">
        <v>8.3328500000000005</v>
      </c>
      <c r="I206" s="8">
        <v>-2.931034482758621E-2</v>
      </c>
      <c r="J206" s="8">
        <v>0.20685959271168269</v>
      </c>
      <c r="K206" s="8">
        <v>0.87043189368770779</v>
      </c>
      <c r="L206" s="8">
        <v>0.77322834645669292</v>
      </c>
      <c r="M206" s="18">
        <v>1.821209488028497</v>
      </c>
    </row>
    <row r="207" spans="1:13" x14ac:dyDescent="0.45">
      <c r="A207" t="s">
        <v>2050</v>
      </c>
      <c r="B207" s="18">
        <v>4.26</v>
      </c>
      <c r="C207" s="18">
        <v>4.3499999999999996</v>
      </c>
      <c r="D207" s="18">
        <v>3.68</v>
      </c>
      <c r="E207" s="18">
        <v>2.2799999999999998</v>
      </c>
      <c r="F207" s="18">
        <v>2.99</v>
      </c>
      <c r="G207" s="18">
        <v>4.2577999999999996</v>
      </c>
      <c r="H207" s="18">
        <v>3.2214499999999999</v>
      </c>
      <c r="I207" s="8">
        <v>-2.068965517241372E-2</v>
      </c>
      <c r="J207" s="8">
        <v>0.15760869565217381</v>
      </c>
      <c r="K207" s="8">
        <v>0.86842105263157898</v>
      </c>
      <c r="L207" s="8">
        <v>0.42474916387959838</v>
      </c>
      <c r="M207" s="18">
        <v>1.4300892569909369</v>
      </c>
    </row>
    <row r="208" spans="1:13" x14ac:dyDescent="0.45">
      <c r="A208" t="s">
        <v>2420</v>
      </c>
      <c r="B208" s="18">
        <v>16.540500000000002</v>
      </c>
      <c r="C208" s="18">
        <v>19.27</v>
      </c>
      <c r="D208" s="18">
        <v>14.67</v>
      </c>
      <c r="E208" s="18">
        <v>8.86</v>
      </c>
      <c r="F208" s="18">
        <v>7</v>
      </c>
      <c r="G208" s="18">
        <v>15.814019999999999</v>
      </c>
      <c r="H208" s="18">
        <v>10.998289075000001</v>
      </c>
      <c r="I208" s="8">
        <v>-0.14164504411001541</v>
      </c>
      <c r="J208" s="8">
        <v>0.12750511247443769</v>
      </c>
      <c r="K208" s="8">
        <v>0.86687358916478585</v>
      </c>
      <c r="L208" s="8">
        <v>1.3629285714285719</v>
      </c>
      <c r="M208" s="18">
        <v>2.2156622289577799</v>
      </c>
    </row>
    <row r="209" spans="1:13" x14ac:dyDescent="0.45">
      <c r="A209" t="s">
        <v>1070</v>
      </c>
      <c r="B209" s="18">
        <v>2.85</v>
      </c>
      <c r="C209" s="18">
        <v>2.7</v>
      </c>
      <c r="D209" s="18">
        <v>2.5099999999999998</v>
      </c>
      <c r="E209" s="18">
        <v>1.53</v>
      </c>
      <c r="F209" s="18">
        <v>1.66</v>
      </c>
      <c r="G209" s="18">
        <v>2.6692</v>
      </c>
      <c r="H209" s="18">
        <v>2.1947999999999999</v>
      </c>
      <c r="I209" s="8">
        <v>5.555555555555558E-2</v>
      </c>
      <c r="J209" s="8">
        <v>0.13545816733067739</v>
      </c>
      <c r="K209" s="8">
        <v>0.86274509803921573</v>
      </c>
      <c r="L209" s="8">
        <v>0.7168674698795181</v>
      </c>
      <c r="M209" s="18">
        <v>1.770626290804967</v>
      </c>
    </row>
    <row r="210" spans="1:13" x14ac:dyDescent="0.45">
      <c r="A210" t="s">
        <v>1294</v>
      </c>
      <c r="B210" s="18">
        <v>12.47</v>
      </c>
      <c r="C210" s="18">
        <v>14.58</v>
      </c>
      <c r="D210" s="18">
        <v>10.73</v>
      </c>
      <c r="E210" s="18">
        <v>6.7</v>
      </c>
      <c r="F210" s="18">
        <v>11.02</v>
      </c>
      <c r="G210" s="18">
        <v>13.065</v>
      </c>
      <c r="H210" s="18">
        <v>10.1027</v>
      </c>
      <c r="I210" s="8">
        <v>-0.144718792866941</v>
      </c>
      <c r="J210" s="8">
        <v>0.16216216216216231</v>
      </c>
      <c r="K210" s="8">
        <v>0.86119402985074633</v>
      </c>
      <c r="L210" s="8">
        <v>0.13157894736842121</v>
      </c>
      <c r="M210" s="18">
        <v>1.010216346514389</v>
      </c>
    </row>
    <row r="211" spans="1:13" x14ac:dyDescent="0.45">
      <c r="A211" t="s">
        <v>618</v>
      </c>
      <c r="B211" s="18">
        <v>2.27</v>
      </c>
      <c r="C211" s="18">
        <v>2.36</v>
      </c>
      <c r="D211" s="18">
        <v>2.85</v>
      </c>
      <c r="E211" s="18">
        <v>1.22</v>
      </c>
      <c r="F211" s="18">
        <v>8.41</v>
      </c>
      <c r="G211" s="18">
        <v>2.4054000000000002</v>
      </c>
      <c r="H211" s="18">
        <v>2.590349999999999</v>
      </c>
      <c r="I211" s="8">
        <v>-3.8135593220338881E-2</v>
      </c>
      <c r="J211" s="8">
        <v>-0.2035087719298245</v>
      </c>
      <c r="K211" s="8">
        <v>0.86065573770491799</v>
      </c>
      <c r="L211" s="8">
        <v>-0.73008323424494648</v>
      </c>
      <c r="M211" s="18">
        <v>-0.1110718616901919</v>
      </c>
    </row>
    <row r="212" spans="1:13" x14ac:dyDescent="0.45">
      <c r="A212" t="s">
        <v>1894</v>
      </c>
      <c r="B212" s="18">
        <v>21.8</v>
      </c>
      <c r="C212" s="18">
        <v>20.05</v>
      </c>
      <c r="D212" s="18">
        <v>15.53</v>
      </c>
      <c r="E212" s="18">
        <v>11.72</v>
      </c>
      <c r="F212" s="18">
        <v>20.14</v>
      </c>
      <c r="G212" s="18">
        <v>17.485199999999999</v>
      </c>
      <c r="H212" s="18">
        <v>15.51595</v>
      </c>
      <c r="I212" s="8">
        <v>8.7281795511221949E-2</v>
      </c>
      <c r="J212" s="8">
        <v>0.40373470701867359</v>
      </c>
      <c r="K212" s="8">
        <v>0.86006825938566545</v>
      </c>
      <c r="L212" s="8">
        <v>8.2423038728897779E-2</v>
      </c>
      <c r="M212" s="18">
        <v>1.433507800644459</v>
      </c>
    </row>
    <row r="213" spans="1:13" x14ac:dyDescent="0.45">
      <c r="A213" t="s">
        <v>1123</v>
      </c>
      <c r="B213" s="18">
        <v>29.04</v>
      </c>
      <c r="C213" s="18">
        <v>26.19</v>
      </c>
      <c r="D213" s="18">
        <v>19.940000000000001</v>
      </c>
      <c r="E213" s="18">
        <v>15.63</v>
      </c>
      <c r="F213" s="18">
        <v>17.29</v>
      </c>
      <c r="G213" s="18">
        <v>25.4742</v>
      </c>
      <c r="H213" s="18">
        <v>19.55125</v>
      </c>
      <c r="I213" s="8">
        <v>0.108820160366552</v>
      </c>
      <c r="J213" s="8">
        <v>0.45636910732196578</v>
      </c>
      <c r="K213" s="8">
        <v>0.85796545105566202</v>
      </c>
      <c r="L213" s="8">
        <v>0.67958357432041638</v>
      </c>
      <c r="M213" s="18">
        <v>2.1027382930645961</v>
      </c>
    </row>
    <row r="214" spans="1:13" x14ac:dyDescent="0.45">
      <c r="A214" t="s">
        <v>993</v>
      </c>
      <c r="B214" s="18">
        <v>6.28</v>
      </c>
      <c r="C214" s="18">
        <v>5.61</v>
      </c>
      <c r="D214" s="18">
        <v>5.2</v>
      </c>
      <c r="E214" s="18">
        <v>3.39</v>
      </c>
      <c r="F214" s="18">
        <v>3.35</v>
      </c>
      <c r="G214" s="18">
        <v>6.0002000000000004</v>
      </c>
      <c r="H214" s="18">
        <v>5.0227000000000004</v>
      </c>
      <c r="I214" s="8">
        <v>0.1194295900178253</v>
      </c>
      <c r="J214" s="8">
        <v>0.20769230769230759</v>
      </c>
      <c r="K214" s="8">
        <v>0.85250737463126836</v>
      </c>
      <c r="L214" s="8">
        <v>0.87462686567164183</v>
      </c>
      <c r="M214" s="18">
        <v>2.0542561380130429</v>
      </c>
    </row>
    <row r="215" spans="1:13" x14ac:dyDescent="0.45">
      <c r="A215" t="s">
        <v>452</v>
      </c>
      <c r="B215" s="18">
        <v>58.68</v>
      </c>
      <c r="C215" s="18">
        <v>42.92</v>
      </c>
      <c r="D215" s="18">
        <v>50.36</v>
      </c>
      <c r="E215" s="18">
        <v>31.71</v>
      </c>
      <c r="F215" s="18">
        <v>41.23</v>
      </c>
      <c r="G215" s="18">
        <v>47.028399999999998</v>
      </c>
      <c r="H215" s="18">
        <v>41.519475</v>
      </c>
      <c r="I215" s="8">
        <v>0.36719478098788438</v>
      </c>
      <c r="J215" s="8">
        <v>0.16521048451151699</v>
      </c>
      <c r="K215" s="8">
        <v>0.85052034058656578</v>
      </c>
      <c r="L215" s="8">
        <v>0.42323550812515182</v>
      </c>
      <c r="M215" s="18">
        <v>1.8061611142111189</v>
      </c>
    </row>
    <row r="216" spans="1:13" x14ac:dyDescent="0.45">
      <c r="A216" t="s">
        <v>65</v>
      </c>
      <c r="B216" s="18">
        <v>92.5</v>
      </c>
      <c r="C216" s="18">
        <v>66.84</v>
      </c>
      <c r="D216" s="18">
        <v>73.36</v>
      </c>
      <c r="E216" s="18">
        <v>50.03</v>
      </c>
      <c r="F216" s="18">
        <v>73.41</v>
      </c>
      <c r="G216" s="18">
        <v>75.331299999999999</v>
      </c>
      <c r="H216" s="18">
        <v>79.143574999999998</v>
      </c>
      <c r="I216" s="8">
        <v>0.38390185517654102</v>
      </c>
      <c r="J216" s="8">
        <v>0.26090512540894228</v>
      </c>
      <c r="K216" s="8">
        <v>0.84889066560063964</v>
      </c>
      <c r="L216" s="8">
        <v>0.26004631521591071</v>
      </c>
      <c r="M216" s="18">
        <v>1.753743961402034</v>
      </c>
    </row>
    <row r="217" spans="1:13" x14ac:dyDescent="0.45">
      <c r="A217" t="s">
        <v>623</v>
      </c>
      <c r="B217" s="18">
        <v>40.99</v>
      </c>
      <c r="C217" s="18">
        <v>42.45</v>
      </c>
      <c r="D217" s="18">
        <v>32.56</v>
      </c>
      <c r="E217" s="18">
        <v>22.19</v>
      </c>
      <c r="F217" s="18">
        <v>26.44</v>
      </c>
      <c r="G217" s="18">
        <v>40.688400000000001</v>
      </c>
      <c r="H217" s="18">
        <v>31.151</v>
      </c>
      <c r="I217" s="8">
        <v>-3.439340400471147E-2</v>
      </c>
      <c r="J217" s="8">
        <v>0.25890663390663388</v>
      </c>
      <c r="K217" s="8">
        <v>0.84722848129788186</v>
      </c>
      <c r="L217" s="8">
        <v>0.55030257186081699</v>
      </c>
      <c r="M217" s="18">
        <v>1.622044283060621</v>
      </c>
    </row>
    <row r="218" spans="1:13" x14ac:dyDescent="0.45">
      <c r="A218" t="s">
        <v>2471</v>
      </c>
      <c r="B218" s="18">
        <v>56.21</v>
      </c>
      <c r="C218" s="18">
        <v>53.85</v>
      </c>
      <c r="D218" s="18">
        <v>54.66</v>
      </c>
      <c r="E218" s="18">
        <v>30.46</v>
      </c>
      <c r="F218" s="18">
        <v>35.18</v>
      </c>
      <c r="G218" s="18">
        <v>54.982799999999997</v>
      </c>
      <c r="H218" s="18">
        <v>42.679549999999999</v>
      </c>
      <c r="I218" s="8">
        <v>4.3825441039925687E-2</v>
      </c>
      <c r="J218" s="8">
        <v>2.8357116721551501E-2</v>
      </c>
      <c r="K218" s="8">
        <v>0.84537097833223895</v>
      </c>
      <c r="L218" s="8">
        <v>0.59778283115406494</v>
      </c>
      <c r="M218" s="18">
        <v>1.5153363672477811</v>
      </c>
    </row>
    <row r="219" spans="1:13" x14ac:dyDescent="0.45">
      <c r="A219" t="s">
        <v>1582</v>
      </c>
      <c r="B219" s="18">
        <v>15.76</v>
      </c>
      <c r="C219" s="18">
        <v>16.48</v>
      </c>
      <c r="D219" s="18">
        <v>12.69</v>
      </c>
      <c r="E219" s="18">
        <v>8.56</v>
      </c>
      <c r="F219" s="18">
        <v>11.59</v>
      </c>
      <c r="G219" s="18">
        <v>16.1342</v>
      </c>
      <c r="H219" s="18">
        <v>13.21245</v>
      </c>
      <c r="I219" s="8">
        <v>-4.3689320388349613E-2</v>
      </c>
      <c r="J219" s="8">
        <v>0.2419227738376675</v>
      </c>
      <c r="K219" s="8">
        <v>0.84112149532710268</v>
      </c>
      <c r="L219" s="8">
        <v>0.35979292493528908</v>
      </c>
      <c r="M219" s="18">
        <v>1.39914787371171</v>
      </c>
    </row>
    <row r="220" spans="1:13" x14ac:dyDescent="0.45">
      <c r="A220" t="s">
        <v>512</v>
      </c>
      <c r="B220" s="18">
        <v>121.57</v>
      </c>
      <c r="C220" s="18">
        <v>121.49</v>
      </c>
      <c r="D220" s="18">
        <v>111.93</v>
      </c>
      <c r="E220" s="18">
        <v>66.099999999999994</v>
      </c>
      <c r="F220" s="18">
        <v>105.45</v>
      </c>
      <c r="G220" s="18">
        <v>119.459</v>
      </c>
      <c r="H220" s="18">
        <v>96.140025000000009</v>
      </c>
      <c r="I220" s="8">
        <v>6.5849041073340331E-4</v>
      </c>
      <c r="J220" s="8">
        <v>8.612525685696415E-2</v>
      </c>
      <c r="K220" s="8">
        <v>0.83918305597579423</v>
      </c>
      <c r="L220" s="8">
        <v>0.15286865813181591</v>
      </c>
      <c r="M220" s="18">
        <v>1.0788354613753079</v>
      </c>
    </row>
    <row r="221" spans="1:13" x14ac:dyDescent="0.45">
      <c r="A221" t="s">
        <v>1545</v>
      </c>
      <c r="B221" s="18">
        <v>23.66</v>
      </c>
      <c r="C221" s="18">
        <v>21.35</v>
      </c>
      <c r="D221" s="18">
        <v>18.41</v>
      </c>
      <c r="E221" s="18">
        <v>12.89</v>
      </c>
      <c r="F221" s="18">
        <v>17.690000000000001</v>
      </c>
      <c r="G221" s="18">
        <v>21.6876</v>
      </c>
      <c r="H221" s="18">
        <v>18.437550000000002</v>
      </c>
      <c r="I221" s="8">
        <v>0.1081967213114754</v>
      </c>
      <c r="J221" s="8">
        <v>0.28517110266159712</v>
      </c>
      <c r="K221" s="8">
        <v>0.83553141970519773</v>
      </c>
      <c r="L221" s="8">
        <v>0.33747880158281501</v>
      </c>
      <c r="M221" s="18">
        <v>1.5663780452610849</v>
      </c>
    </row>
    <row r="222" spans="1:13" x14ac:dyDescent="0.45">
      <c r="A222" t="s">
        <v>1673</v>
      </c>
      <c r="B222" s="18">
        <v>23.88</v>
      </c>
      <c r="C222" s="18">
        <v>22.1</v>
      </c>
      <c r="D222" s="18">
        <v>20.420000000000002</v>
      </c>
      <c r="E222" s="18">
        <v>13.01</v>
      </c>
      <c r="F222" s="18">
        <v>11.04</v>
      </c>
      <c r="G222" s="18">
        <v>21.979600000000001</v>
      </c>
      <c r="H222" s="18">
        <v>18.379300000000001</v>
      </c>
      <c r="I222" s="8">
        <v>8.0542986425339302E-2</v>
      </c>
      <c r="J222" s="8">
        <v>0.1694417238001957</v>
      </c>
      <c r="K222" s="8">
        <v>0.83551114527286696</v>
      </c>
      <c r="L222" s="8">
        <v>1.1630434782608701</v>
      </c>
      <c r="M222" s="18">
        <v>2.2485393337592718</v>
      </c>
    </row>
    <row r="223" spans="1:13" x14ac:dyDescent="0.45">
      <c r="A223" t="s">
        <v>459</v>
      </c>
      <c r="B223" s="18">
        <v>224.43</v>
      </c>
      <c r="C223" s="18">
        <v>208.65</v>
      </c>
      <c r="D223" s="18">
        <v>175.03</v>
      </c>
      <c r="E223" s="18">
        <v>122.32</v>
      </c>
      <c r="F223" s="18">
        <v>145.44999999999999</v>
      </c>
      <c r="G223" s="18">
        <v>209.87119999999999</v>
      </c>
      <c r="H223" s="18">
        <v>168.02775</v>
      </c>
      <c r="I223" s="8">
        <v>7.5629043853342903E-2</v>
      </c>
      <c r="J223" s="8">
        <v>0.28223733074330132</v>
      </c>
      <c r="K223" s="8">
        <v>0.83477763243950309</v>
      </c>
      <c r="L223" s="8">
        <v>0.54300446888965292</v>
      </c>
      <c r="M223" s="18">
        <v>1.7356484759258</v>
      </c>
    </row>
    <row r="224" spans="1:13" x14ac:dyDescent="0.45">
      <c r="A224" t="s">
        <v>171</v>
      </c>
      <c r="B224" s="18">
        <v>502.12</v>
      </c>
      <c r="C224" s="18">
        <v>418.09</v>
      </c>
      <c r="D224" s="18">
        <v>408.33</v>
      </c>
      <c r="E224" s="18">
        <v>273.94</v>
      </c>
      <c r="F224" s="18">
        <v>397.09</v>
      </c>
      <c r="G224" s="18">
        <v>441.00360000000001</v>
      </c>
      <c r="H224" s="18">
        <v>376.15030000000002</v>
      </c>
      <c r="I224" s="8">
        <v>0.20098543375828171</v>
      </c>
      <c r="J224" s="8">
        <v>0.22969167095241591</v>
      </c>
      <c r="K224" s="8">
        <v>0.83295612177849176</v>
      </c>
      <c r="L224" s="8">
        <v>0.26449923191216113</v>
      </c>
      <c r="M224" s="18">
        <v>1.52813245840135</v>
      </c>
    </row>
    <row r="225" spans="1:13" x14ac:dyDescent="0.45">
      <c r="A225" t="s">
        <v>1902</v>
      </c>
      <c r="B225" s="18">
        <v>39.79</v>
      </c>
      <c r="C225" s="18">
        <v>35.4</v>
      </c>
      <c r="D225" s="18">
        <v>29.34</v>
      </c>
      <c r="E225" s="18">
        <v>21.72</v>
      </c>
      <c r="F225" s="18">
        <v>21.51</v>
      </c>
      <c r="G225" s="18">
        <v>34.246600000000001</v>
      </c>
      <c r="H225" s="18">
        <v>27.4924</v>
      </c>
      <c r="I225" s="8">
        <v>0.1240112994350282</v>
      </c>
      <c r="J225" s="8">
        <v>0.35616905248807101</v>
      </c>
      <c r="K225" s="8">
        <v>0.83195211786372014</v>
      </c>
      <c r="L225" s="8">
        <v>0.84983728498372835</v>
      </c>
      <c r="M225" s="18">
        <v>2.161969754770547</v>
      </c>
    </row>
    <row r="226" spans="1:13" x14ac:dyDescent="0.45">
      <c r="A226" t="s">
        <v>801</v>
      </c>
      <c r="B226" s="18">
        <v>168.33</v>
      </c>
      <c r="C226" s="18">
        <v>184.32</v>
      </c>
      <c r="D226" s="18">
        <v>173.36</v>
      </c>
      <c r="E226" s="18">
        <v>91.92</v>
      </c>
      <c r="F226" s="18">
        <v>165.8</v>
      </c>
      <c r="G226" s="18">
        <v>173.2062</v>
      </c>
      <c r="H226" s="18">
        <v>147.50725</v>
      </c>
      <c r="I226" s="8">
        <v>-8.6751302083333259E-2</v>
      </c>
      <c r="J226" s="8">
        <v>-2.901476695892935E-2</v>
      </c>
      <c r="K226" s="8">
        <v>0.83126631853785904</v>
      </c>
      <c r="L226" s="8">
        <v>1.525934861278655E-2</v>
      </c>
      <c r="M226" s="18">
        <v>0.73075959810838298</v>
      </c>
    </row>
    <row r="227" spans="1:13" x14ac:dyDescent="0.45">
      <c r="A227" t="s">
        <v>1016</v>
      </c>
      <c r="B227" s="18">
        <v>9.2799999999999994</v>
      </c>
      <c r="C227" s="18">
        <v>9.39</v>
      </c>
      <c r="D227" s="18">
        <v>7.41</v>
      </c>
      <c r="E227" s="18">
        <v>5.08</v>
      </c>
      <c r="F227" s="18">
        <v>5.92</v>
      </c>
      <c r="G227" s="18">
        <v>8.9597999999999995</v>
      </c>
      <c r="H227" s="18">
        <v>7.0092499999999998</v>
      </c>
      <c r="I227" s="8">
        <v>-1.171458998935049E-2</v>
      </c>
      <c r="J227" s="8">
        <v>0.25236167341430482</v>
      </c>
      <c r="K227" s="8">
        <v>0.82677165354330695</v>
      </c>
      <c r="L227" s="8">
        <v>0.56756756756756754</v>
      </c>
      <c r="M227" s="18">
        <v>1.634986304535829</v>
      </c>
    </row>
    <row r="228" spans="1:13" x14ac:dyDescent="0.45">
      <c r="A228" t="s">
        <v>2145</v>
      </c>
      <c r="B228" s="18">
        <v>192.69</v>
      </c>
      <c r="C228" s="18">
        <v>192.67</v>
      </c>
      <c r="D228" s="18">
        <v>149.4</v>
      </c>
      <c r="E228" s="18">
        <v>105.57</v>
      </c>
      <c r="F228" s="18">
        <v>95.99</v>
      </c>
      <c r="G228" s="18">
        <v>179.58439999999999</v>
      </c>
      <c r="H228" s="18">
        <v>146.91555</v>
      </c>
      <c r="I228" s="8">
        <v>1.038044324492837E-4</v>
      </c>
      <c r="J228" s="8">
        <v>0.28975903614457832</v>
      </c>
      <c r="K228" s="8">
        <v>0.82523444160272819</v>
      </c>
      <c r="L228" s="8">
        <v>1.007396603812897</v>
      </c>
      <c r="M228" s="18">
        <v>2.122493885992653</v>
      </c>
    </row>
    <row r="229" spans="1:13" x14ac:dyDescent="0.45">
      <c r="A229" t="s">
        <v>1014</v>
      </c>
      <c r="B229" s="18">
        <v>14.86</v>
      </c>
      <c r="C229" s="18">
        <v>15.98</v>
      </c>
      <c r="D229" s="18">
        <v>11.83</v>
      </c>
      <c r="E229" s="18">
        <v>8.15</v>
      </c>
      <c r="F229" s="18">
        <v>12.62</v>
      </c>
      <c r="G229" s="18">
        <v>15.266400000000001</v>
      </c>
      <c r="H229" s="18">
        <v>12.187950000000001</v>
      </c>
      <c r="I229" s="8">
        <v>-7.008760951188997E-2</v>
      </c>
      <c r="J229" s="8">
        <v>0.25612848689771761</v>
      </c>
      <c r="K229" s="8">
        <v>0.82331288343558273</v>
      </c>
      <c r="L229" s="8">
        <v>0.17749603803486541</v>
      </c>
      <c r="M229" s="18">
        <v>1.1868497988562761</v>
      </c>
    </row>
    <row r="230" spans="1:13" x14ac:dyDescent="0.45">
      <c r="A230" t="s">
        <v>694</v>
      </c>
      <c r="B230" s="18">
        <v>181.12</v>
      </c>
      <c r="C230" s="18">
        <v>147.1</v>
      </c>
      <c r="D230" s="18">
        <v>106.64</v>
      </c>
      <c r="E230" s="18">
        <v>99.37</v>
      </c>
      <c r="F230" s="18">
        <v>114.53</v>
      </c>
      <c r="G230" s="18">
        <v>144.12100000000001</v>
      </c>
      <c r="H230" s="18">
        <v>122.1588</v>
      </c>
      <c r="I230" s="8">
        <v>0.23127124405166549</v>
      </c>
      <c r="J230" s="8">
        <v>0.69842460615153801</v>
      </c>
      <c r="K230" s="8">
        <v>0.82268290228439156</v>
      </c>
      <c r="L230" s="8">
        <v>0.5814197153584213</v>
      </c>
      <c r="M230" s="18">
        <v>2.333798467846016</v>
      </c>
    </row>
    <row r="231" spans="1:13" x14ac:dyDescent="0.45">
      <c r="A231" t="s">
        <v>1035</v>
      </c>
      <c r="B231" s="18">
        <v>97.46</v>
      </c>
      <c r="C231" s="18">
        <v>89.5</v>
      </c>
      <c r="D231" s="18">
        <v>83.93</v>
      </c>
      <c r="E231" s="18">
        <v>53.5</v>
      </c>
      <c r="F231" s="18">
        <v>65.34</v>
      </c>
      <c r="G231" s="18">
        <v>92.350999999999999</v>
      </c>
      <c r="H231" s="18">
        <v>73.807900000000004</v>
      </c>
      <c r="I231" s="8">
        <v>8.8938547486033359E-2</v>
      </c>
      <c r="J231" s="8">
        <v>0.16120576671035369</v>
      </c>
      <c r="K231" s="8">
        <v>0.82168224299065407</v>
      </c>
      <c r="L231" s="8">
        <v>0.49158249158249129</v>
      </c>
      <c r="M231" s="18">
        <v>1.563409048769532</v>
      </c>
    </row>
    <row r="232" spans="1:13" x14ac:dyDescent="0.45">
      <c r="A232" t="s">
        <v>709</v>
      </c>
      <c r="B232" s="18">
        <v>34.58</v>
      </c>
      <c r="C232" s="18">
        <v>26.66</v>
      </c>
      <c r="D232" s="18">
        <v>25.88</v>
      </c>
      <c r="E232" s="18">
        <v>18.989999999999998</v>
      </c>
      <c r="F232" s="18">
        <v>23.75</v>
      </c>
      <c r="G232" s="18">
        <v>27.841799999999999</v>
      </c>
      <c r="H232" s="18">
        <v>24.673349000000002</v>
      </c>
      <c r="I232" s="8">
        <v>0.2970742685671417</v>
      </c>
      <c r="J232" s="8">
        <v>0.33616692426584233</v>
      </c>
      <c r="K232" s="8">
        <v>0.82095839915745139</v>
      </c>
      <c r="L232" s="8">
        <v>0.45600000000000002</v>
      </c>
      <c r="M232" s="18">
        <v>1.9101995919904351</v>
      </c>
    </row>
    <row r="233" spans="1:13" x14ac:dyDescent="0.45">
      <c r="A233" t="s">
        <v>1774</v>
      </c>
      <c r="B233" s="18">
        <v>54.37</v>
      </c>
      <c r="C233" s="18">
        <v>58.8</v>
      </c>
      <c r="D233" s="18">
        <v>48.22</v>
      </c>
      <c r="E233" s="18">
        <v>29.88</v>
      </c>
      <c r="F233" s="18">
        <v>37.04</v>
      </c>
      <c r="G233" s="18">
        <v>54.645800000000001</v>
      </c>
      <c r="H233" s="18">
        <v>45.157049999999998</v>
      </c>
      <c r="I233" s="8">
        <v>-7.5340136054421802E-2</v>
      </c>
      <c r="J233" s="8">
        <v>0.12754043965159689</v>
      </c>
      <c r="K233" s="8">
        <v>0.81961178045515393</v>
      </c>
      <c r="L233" s="8">
        <v>0.46787257019438439</v>
      </c>
      <c r="M233" s="18">
        <v>1.3396846542467129</v>
      </c>
    </row>
    <row r="234" spans="1:13" x14ac:dyDescent="0.45">
      <c r="A234" t="s">
        <v>1620</v>
      </c>
      <c r="B234" s="18">
        <v>5.82</v>
      </c>
      <c r="C234" s="18">
        <v>4.51</v>
      </c>
      <c r="D234" s="18">
        <v>4.41</v>
      </c>
      <c r="E234" s="18">
        <v>3.21</v>
      </c>
      <c r="F234" s="18">
        <v>6.94</v>
      </c>
      <c r="G234" s="18">
        <v>4.7678000000000003</v>
      </c>
      <c r="H234" s="18">
        <v>4.7454000000000001</v>
      </c>
      <c r="I234" s="8">
        <v>0.29046563192904662</v>
      </c>
      <c r="J234" s="8">
        <v>0.31972789115646272</v>
      </c>
      <c r="K234" s="8">
        <v>0.81308411214953291</v>
      </c>
      <c r="L234" s="8">
        <v>-0.16138328530259369</v>
      </c>
      <c r="M234" s="18">
        <v>1.2618943499324491</v>
      </c>
    </row>
    <row r="235" spans="1:13" x14ac:dyDescent="0.45">
      <c r="A235" t="s">
        <v>417</v>
      </c>
      <c r="B235" s="18">
        <v>443.45</v>
      </c>
      <c r="C235" s="18">
        <v>373.47</v>
      </c>
      <c r="D235" s="18">
        <v>380.09</v>
      </c>
      <c r="E235" s="18">
        <v>245.05</v>
      </c>
      <c r="F235" s="18">
        <v>305.72000000000003</v>
      </c>
      <c r="G235" s="18">
        <v>391.51519999999999</v>
      </c>
      <c r="H235" s="18">
        <v>336.3535</v>
      </c>
      <c r="I235" s="8">
        <v>0.18737783489972409</v>
      </c>
      <c r="J235" s="8">
        <v>0.16669736115130629</v>
      </c>
      <c r="K235" s="8">
        <v>0.8096306876147723</v>
      </c>
      <c r="L235" s="8">
        <v>0.45051027083605888</v>
      </c>
      <c r="M235" s="18">
        <v>1.6142161545018621</v>
      </c>
    </row>
    <row r="236" spans="1:13" x14ac:dyDescent="0.45">
      <c r="A236" t="s">
        <v>1266</v>
      </c>
      <c r="B236" s="18">
        <v>9.3800000000000008</v>
      </c>
      <c r="C236" s="18">
        <v>7.74</v>
      </c>
      <c r="D236" s="18">
        <v>6.66</v>
      </c>
      <c r="E236" s="18">
        <v>5.19</v>
      </c>
      <c r="F236" s="18">
        <v>4.88</v>
      </c>
      <c r="G236" s="18">
        <v>7.7539999999999996</v>
      </c>
      <c r="H236" s="18">
        <v>6.1893000000000002</v>
      </c>
      <c r="I236" s="8">
        <v>0.2118863049095607</v>
      </c>
      <c r="J236" s="8">
        <v>0.40840840840840847</v>
      </c>
      <c r="K236" s="8">
        <v>0.80732177263969174</v>
      </c>
      <c r="L236" s="8">
        <v>0.92213114754098391</v>
      </c>
      <c r="M236" s="18">
        <v>2.3497476334986449</v>
      </c>
    </row>
    <row r="237" spans="1:13" x14ac:dyDescent="0.45">
      <c r="A237" t="s">
        <v>112</v>
      </c>
      <c r="B237" s="18">
        <v>91.69</v>
      </c>
      <c r="C237" s="18">
        <v>72.58</v>
      </c>
      <c r="D237" s="18">
        <v>74.27</v>
      </c>
      <c r="E237" s="18">
        <v>50.76</v>
      </c>
      <c r="F237" s="18">
        <v>102.09</v>
      </c>
      <c r="G237" s="18">
        <v>80.050399999999996</v>
      </c>
      <c r="H237" s="18">
        <v>73.630600000000001</v>
      </c>
      <c r="I237" s="8">
        <v>0.26329567373932222</v>
      </c>
      <c r="J237" s="8">
        <v>0.23454961626497919</v>
      </c>
      <c r="K237" s="8">
        <v>0.8063435776201735</v>
      </c>
      <c r="L237" s="8">
        <v>-0.1018708982270546</v>
      </c>
      <c r="M237" s="18">
        <v>1.20231796939742</v>
      </c>
    </row>
    <row r="238" spans="1:13" x14ac:dyDescent="0.45">
      <c r="A238" t="s">
        <v>419</v>
      </c>
      <c r="B238" s="18">
        <v>329.03</v>
      </c>
      <c r="C238" s="18">
        <v>309.79000000000002</v>
      </c>
      <c r="D238" s="18">
        <v>289.87</v>
      </c>
      <c r="E238" s="18">
        <v>182.34</v>
      </c>
      <c r="F238" s="18">
        <v>196.17</v>
      </c>
      <c r="G238" s="18">
        <v>304.6902</v>
      </c>
      <c r="H238" s="18">
        <v>265.29915</v>
      </c>
      <c r="I238" s="8">
        <v>6.2106588334032597E-2</v>
      </c>
      <c r="J238" s="8">
        <v>0.13509504260530569</v>
      </c>
      <c r="K238" s="8">
        <v>0.80448612482176141</v>
      </c>
      <c r="L238" s="8">
        <v>0.67726971504307487</v>
      </c>
      <c r="M238" s="18">
        <v>1.678957470804175</v>
      </c>
    </row>
    <row r="239" spans="1:13" x14ac:dyDescent="0.45">
      <c r="A239" t="s">
        <v>482</v>
      </c>
      <c r="B239" s="18">
        <v>994.37</v>
      </c>
      <c r="C239" s="18">
        <v>945.33</v>
      </c>
      <c r="D239" s="18">
        <v>819.74</v>
      </c>
      <c r="E239" s="18">
        <v>551.94000000000005</v>
      </c>
      <c r="F239" s="18">
        <v>789.52</v>
      </c>
      <c r="G239" s="18">
        <v>932.11779999999999</v>
      </c>
      <c r="H239" s="18">
        <v>756.84449999999993</v>
      </c>
      <c r="I239" s="8">
        <v>5.1876064443104442E-2</v>
      </c>
      <c r="J239" s="8">
        <v>0.2130309610364263</v>
      </c>
      <c r="K239" s="8">
        <v>0.80159075261803792</v>
      </c>
      <c r="L239" s="8">
        <v>0.25946144492856421</v>
      </c>
      <c r="M239" s="18">
        <v>1.325959223026133</v>
      </c>
    </row>
    <row r="240" spans="1:13" x14ac:dyDescent="0.45">
      <c r="A240" t="s">
        <v>2388</v>
      </c>
      <c r="B240" s="18">
        <v>42.51</v>
      </c>
      <c r="C240" s="18">
        <v>28.66</v>
      </c>
      <c r="D240" s="18">
        <v>23.89</v>
      </c>
      <c r="E240" s="18">
        <v>23.63</v>
      </c>
      <c r="F240" s="18">
        <v>19.760000000000002</v>
      </c>
      <c r="G240" s="18">
        <v>29.8704</v>
      </c>
      <c r="H240" s="18">
        <v>27.842849999999999</v>
      </c>
      <c r="I240" s="8">
        <v>0.48325191905094211</v>
      </c>
      <c r="J240" s="8">
        <v>0.77940560904143985</v>
      </c>
      <c r="K240" s="8">
        <v>0.7989843419382141</v>
      </c>
      <c r="L240" s="8">
        <v>1.1513157894736841</v>
      </c>
      <c r="M240" s="18">
        <v>3.2129576595042799</v>
      </c>
    </row>
    <row r="241" spans="1:13" x14ac:dyDescent="0.45">
      <c r="A241" t="s">
        <v>1122</v>
      </c>
      <c r="B241" s="18">
        <v>11.53</v>
      </c>
      <c r="C241" s="18">
        <v>10.14</v>
      </c>
      <c r="D241" s="18">
        <v>7.87</v>
      </c>
      <c r="E241" s="18">
        <v>6.41</v>
      </c>
      <c r="F241" s="18">
        <v>6.78</v>
      </c>
      <c r="G241" s="18">
        <v>10.036</v>
      </c>
      <c r="H241" s="18">
        <v>8.5680499999999995</v>
      </c>
      <c r="I241" s="8">
        <v>0.13708086785009849</v>
      </c>
      <c r="J241" s="8">
        <v>0.46505717916137218</v>
      </c>
      <c r="K241" s="8">
        <v>0.79875195007800293</v>
      </c>
      <c r="L241" s="8">
        <v>0.70058997050147487</v>
      </c>
      <c r="M241" s="18">
        <v>2.101479967590949</v>
      </c>
    </row>
    <row r="242" spans="1:13" x14ac:dyDescent="0.45">
      <c r="A242" t="s">
        <v>2444</v>
      </c>
      <c r="B242" s="18">
        <v>30.22</v>
      </c>
      <c r="C242" s="18">
        <v>25.54</v>
      </c>
      <c r="D242" s="18">
        <v>20.14</v>
      </c>
      <c r="E242" s="18">
        <v>16.809999999999999</v>
      </c>
      <c r="F242" s="18">
        <v>24.28</v>
      </c>
      <c r="G242" s="18">
        <v>24.2988</v>
      </c>
      <c r="H242" s="18">
        <v>24.6416</v>
      </c>
      <c r="I242" s="8">
        <v>0.18324197337509779</v>
      </c>
      <c r="J242" s="8">
        <v>0.50049652432969216</v>
      </c>
      <c r="K242" s="8">
        <v>0.79773944080904235</v>
      </c>
      <c r="L242" s="8">
        <v>0.24464579901153211</v>
      </c>
      <c r="M242" s="18">
        <v>1.726123737525364</v>
      </c>
    </row>
    <row r="243" spans="1:13" x14ac:dyDescent="0.45">
      <c r="A243" t="s">
        <v>1025</v>
      </c>
      <c r="B243" s="18">
        <v>18.59</v>
      </c>
      <c r="C243" s="18">
        <v>20.55</v>
      </c>
      <c r="D243" s="18">
        <v>17.25</v>
      </c>
      <c r="E243" s="18">
        <v>10.38</v>
      </c>
      <c r="F243" s="18">
        <v>10.98</v>
      </c>
      <c r="G243" s="18">
        <v>19.333200000000001</v>
      </c>
      <c r="H243" s="18">
        <v>15.93075</v>
      </c>
      <c r="I243" s="8">
        <v>-9.5377128953771373E-2</v>
      </c>
      <c r="J243" s="8">
        <v>7.7681159420289747E-2</v>
      </c>
      <c r="K243" s="8">
        <v>0.79094412331406527</v>
      </c>
      <c r="L243" s="8">
        <v>0.69307832422586513</v>
      </c>
      <c r="M243" s="18">
        <v>1.4663264780064491</v>
      </c>
    </row>
    <row r="244" spans="1:13" x14ac:dyDescent="0.45">
      <c r="A244" t="s">
        <v>2161</v>
      </c>
      <c r="B244" s="18">
        <v>8.8699999999999992</v>
      </c>
      <c r="C244" s="18">
        <v>8.85</v>
      </c>
      <c r="D244" s="18">
        <v>7.45</v>
      </c>
      <c r="E244" s="18">
        <v>4.96</v>
      </c>
      <c r="F244" s="18">
        <v>5.29</v>
      </c>
      <c r="G244" s="18">
        <v>8.3507999999999996</v>
      </c>
      <c r="H244" s="18">
        <v>7.1761499999999998</v>
      </c>
      <c r="I244" s="8">
        <v>2.2598870056496079E-3</v>
      </c>
      <c r="J244" s="8">
        <v>0.19060402684563749</v>
      </c>
      <c r="K244" s="8">
        <v>0.78830645161290303</v>
      </c>
      <c r="L244" s="8">
        <v>0.67674858223062362</v>
      </c>
      <c r="M244" s="18">
        <v>1.657918947694814</v>
      </c>
    </row>
    <row r="245" spans="1:13" x14ac:dyDescent="0.45">
      <c r="A245" t="s">
        <v>2135</v>
      </c>
      <c r="B245" s="18">
        <v>132.53</v>
      </c>
      <c r="C245" s="18">
        <v>99.91</v>
      </c>
      <c r="D245" s="18">
        <v>101.2375</v>
      </c>
      <c r="E245" s="18">
        <v>74.139799999999994</v>
      </c>
      <c r="F245" s="18">
        <v>114.0806</v>
      </c>
      <c r="G245" s="18">
        <v>104.73280200000001</v>
      </c>
      <c r="H245" s="18">
        <v>95.407033499999997</v>
      </c>
      <c r="I245" s="8">
        <v>0.32649384446001412</v>
      </c>
      <c r="J245" s="8">
        <v>0.30909988887516993</v>
      </c>
      <c r="K245" s="8">
        <v>0.78756889012379339</v>
      </c>
      <c r="L245" s="8">
        <v>0.16172250145949429</v>
      </c>
      <c r="M245" s="18">
        <v>1.5848851249184721</v>
      </c>
    </row>
    <row r="246" spans="1:13" x14ac:dyDescent="0.45">
      <c r="A246" t="s">
        <v>271</v>
      </c>
      <c r="B246" s="18">
        <v>302.56</v>
      </c>
      <c r="C246" s="18">
        <v>276.24</v>
      </c>
      <c r="D246" s="18">
        <v>252.57</v>
      </c>
      <c r="E246" s="18">
        <v>169.37</v>
      </c>
      <c r="F246" s="18">
        <v>187.08</v>
      </c>
      <c r="G246" s="18">
        <v>282.33460000000002</v>
      </c>
      <c r="H246" s="18">
        <v>230.26955000000001</v>
      </c>
      <c r="I246" s="8">
        <v>9.5279467130031881E-2</v>
      </c>
      <c r="J246" s="8">
        <v>0.1979253276319437</v>
      </c>
      <c r="K246" s="8">
        <v>0.78638483792879499</v>
      </c>
      <c r="L246" s="8">
        <v>0.61727603164421629</v>
      </c>
      <c r="M246" s="18">
        <v>1.6968656643349871</v>
      </c>
    </row>
    <row r="247" spans="1:13" x14ac:dyDescent="0.45">
      <c r="A247" t="s">
        <v>1425</v>
      </c>
      <c r="B247" s="18">
        <v>7.93</v>
      </c>
      <c r="C247" s="18">
        <v>8.26</v>
      </c>
      <c r="D247" s="18">
        <v>6.63</v>
      </c>
      <c r="E247" s="18">
        <v>4.4400000000000004</v>
      </c>
      <c r="F247" s="18">
        <v>8.5299999999999994</v>
      </c>
      <c r="G247" s="18">
        <v>7.8779999999999992</v>
      </c>
      <c r="H247" s="18">
        <v>6.1273499999999999</v>
      </c>
      <c r="I247" s="8">
        <v>-3.9951573849878907E-2</v>
      </c>
      <c r="J247" s="8">
        <v>0.19607843137254899</v>
      </c>
      <c r="K247" s="8">
        <v>0.78603603603603589</v>
      </c>
      <c r="L247" s="8">
        <v>-7.0339976553341121E-2</v>
      </c>
      <c r="M247" s="18">
        <v>0.87182291700536485</v>
      </c>
    </row>
    <row r="248" spans="1:13" x14ac:dyDescent="0.45">
      <c r="A248" t="s">
        <v>2245</v>
      </c>
      <c r="B248" s="18">
        <v>31.56</v>
      </c>
      <c r="C248" s="18">
        <v>31.69</v>
      </c>
      <c r="D248" s="18">
        <v>32.33</v>
      </c>
      <c r="E248" s="18">
        <v>17.690000000000001</v>
      </c>
      <c r="F248" s="18">
        <v>34.9</v>
      </c>
      <c r="G248" s="18">
        <v>31.3598</v>
      </c>
      <c r="H248" s="18">
        <v>28.054400000000001</v>
      </c>
      <c r="I248" s="8">
        <v>-4.1022404544021063E-3</v>
      </c>
      <c r="J248" s="8">
        <v>-2.3816888339003969E-2</v>
      </c>
      <c r="K248" s="8">
        <v>0.78405879027699243</v>
      </c>
      <c r="L248" s="8">
        <v>-9.5702005730659012E-2</v>
      </c>
      <c r="M248" s="18">
        <v>0.66043765575292734</v>
      </c>
    </row>
    <row r="249" spans="1:13" x14ac:dyDescent="0.45">
      <c r="A249" t="s">
        <v>1693</v>
      </c>
      <c r="B249" s="18">
        <v>3.35</v>
      </c>
      <c r="C249" s="18">
        <v>2.48</v>
      </c>
      <c r="D249" s="18">
        <v>2.6021000000000001</v>
      </c>
      <c r="E249" s="18">
        <v>1.88</v>
      </c>
      <c r="F249" s="18">
        <v>2.4699</v>
      </c>
      <c r="G249" s="18">
        <v>2.9169100000000001</v>
      </c>
      <c r="H249" s="18">
        <v>2.4092674999999999</v>
      </c>
      <c r="I249" s="8">
        <v>0.35080645161290319</v>
      </c>
      <c r="J249" s="8">
        <v>0.28742169785942129</v>
      </c>
      <c r="K249" s="8">
        <v>0.78191489361702149</v>
      </c>
      <c r="L249" s="8">
        <v>0.35633021579821039</v>
      </c>
      <c r="M249" s="18">
        <v>1.776473258887556</v>
      </c>
    </row>
    <row r="250" spans="1:13" x14ac:dyDescent="0.45">
      <c r="A250" t="s">
        <v>1029</v>
      </c>
      <c r="B250" s="18">
        <v>35.33</v>
      </c>
      <c r="C250" s="18">
        <v>35.700000000000003</v>
      </c>
      <c r="D250" s="18">
        <v>29.99</v>
      </c>
      <c r="E250" s="18">
        <v>19.850000000000001</v>
      </c>
      <c r="F250" s="18">
        <v>17.420000000000002</v>
      </c>
      <c r="G250" s="18">
        <v>35.665399999999998</v>
      </c>
      <c r="H250" s="18">
        <v>27.129000000000001</v>
      </c>
      <c r="I250" s="8">
        <v>-1.036414565826338E-2</v>
      </c>
      <c r="J250" s="8">
        <v>0.1780593531177059</v>
      </c>
      <c r="K250" s="8">
        <v>0.77984886649874041</v>
      </c>
      <c r="L250" s="8">
        <v>1.0281285878300801</v>
      </c>
      <c r="M250" s="18">
        <v>1.975672661788263</v>
      </c>
    </row>
    <row r="251" spans="1:13" x14ac:dyDescent="0.45">
      <c r="A251" t="s">
        <v>2501</v>
      </c>
      <c r="B251" s="18">
        <v>13.65</v>
      </c>
      <c r="C251" s="18">
        <v>13.65</v>
      </c>
      <c r="D251" s="18">
        <v>12.65</v>
      </c>
      <c r="E251" s="18">
        <v>7.67</v>
      </c>
      <c r="F251" s="18">
        <v>9.89</v>
      </c>
      <c r="G251" s="18">
        <v>13.5992</v>
      </c>
      <c r="H251" s="18">
        <v>10.80425</v>
      </c>
      <c r="I251" s="8">
        <v>0</v>
      </c>
      <c r="J251" s="8">
        <v>7.9051383399209474E-2</v>
      </c>
      <c r="K251" s="8">
        <v>0.77966101694915269</v>
      </c>
      <c r="L251" s="8">
        <v>0.38018200202224461</v>
      </c>
      <c r="M251" s="18">
        <v>1.238894402370607</v>
      </c>
    </row>
    <row r="252" spans="1:13" x14ac:dyDescent="0.45">
      <c r="A252" t="s">
        <v>2408</v>
      </c>
      <c r="B252" s="18">
        <v>51.35</v>
      </c>
      <c r="C252" s="18">
        <v>51.19</v>
      </c>
      <c r="D252" s="18">
        <v>50.56</v>
      </c>
      <c r="E252" s="18">
        <v>28.94</v>
      </c>
      <c r="F252" s="18">
        <v>56.1</v>
      </c>
      <c r="G252" s="18">
        <v>49.321199999999997</v>
      </c>
      <c r="H252" s="18">
        <v>43.340899999999998</v>
      </c>
      <c r="I252" s="8">
        <v>3.12561047079507E-3</v>
      </c>
      <c r="J252" s="8">
        <v>1.5625E-2</v>
      </c>
      <c r="K252" s="8">
        <v>0.77436074637180363</v>
      </c>
      <c r="L252" s="8">
        <v>-8.4670231729055301E-2</v>
      </c>
      <c r="M252" s="18">
        <v>0.7084411251135434</v>
      </c>
    </row>
    <row r="253" spans="1:13" x14ac:dyDescent="0.45">
      <c r="A253" t="s">
        <v>2053</v>
      </c>
      <c r="B253" s="18">
        <v>31.04</v>
      </c>
      <c r="C253" s="18">
        <v>30.504999999999999</v>
      </c>
      <c r="D253" s="18">
        <v>27.164999999999999</v>
      </c>
      <c r="E253" s="18">
        <v>17.495000000000001</v>
      </c>
      <c r="F253" s="18">
        <v>23.05</v>
      </c>
      <c r="G253" s="18">
        <v>29.503499999999999</v>
      </c>
      <c r="H253" s="18">
        <v>23.436225</v>
      </c>
      <c r="I253" s="8">
        <v>1.753810850680226E-2</v>
      </c>
      <c r="J253" s="8">
        <v>0.1426467881465121</v>
      </c>
      <c r="K253" s="8">
        <v>0.77422120605887379</v>
      </c>
      <c r="L253" s="8">
        <v>0.34663774403470698</v>
      </c>
      <c r="M253" s="18">
        <v>1.281043846746895</v>
      </c>
    </row>
    <row r="254" spans="1:13" x14ac:dyDescent="0.45">
      <c r="A254" t="s">
        <v>1000</v>
      </c>
      <c r="B254" s="18">
        <v>26.51</v>
      </c>
      <c r="C254" s="18">
        <v>28.85</v>
      </c>
      <c r="D254" s="18">
        <v>26.63</v>
      </c>
      <c r="E254" s="18">
        <v>14.95</v>
      </c>
      <c r="F254" s="18">
        <v>16.350000000000001</v>
      </c>
      <c r="G254" s="18">
        <v>27.701799999999999</v>
      </c>
      <c r="H254" s="18">
        <v>22.996449999999999</v>
      </c>
      <c r="I254" s="8">
        <v>-8.1109185441941012E-2</v>
      </c>
      <c r="J254" s="8">
        <v>-4.5061960195267314E-3</v>
      </c>
      <c r="K254" s="8">
        <v>0.77324414715719092</v>
      </c>
      <c r="L254" s="8">
        <v>0.62140672782874606</v>
      </c>
      <c r="M254" s="18">
        <v>1.309035493524469</v>
      </c>
    </row>
    <row r="255" spans="1:13" x14ac:dyDescent="0.45">
      <c r="A255" t="s">
        <v>101</v>
      </c>
      <c r="B255" s="18">
        <v>313.89</v>
      </c>
      <c r="C255" s="18">
        <v>282.29000000000002</v>
      </c>
      <c r="D255" s="18">
        <v>296.18</v>
      </c>
      <c r="E255" s="18">
        <v>177.04</v>
      </c>
      <c r="F255" s="18">
        <v>173.93</v>
      </c>
      <c r="G255" s="18">
        <v>283.29750000000001</v>
      </c>
      <c r="H255" s="18">
        <v>244.842825</v>
      </c>
      <c r="I255" s="8">
        <v>0.11194162031952939</v>
      </c>
      <c r="J255" s="8">
        <v>5.9794719427375131E-2</v>
      </c>
      <c r="K255" s="8">
        <v>0.77298915499322196</v>
      </c>
      <c r="L255" s="8">
        <v>0.80469154257459885</v>
      </c>
      <c r="M255" s="18">
        <v>1.7494170373147251</v>
      </c>
    </row>
    <row r="256" spans="1:13" x14ac:dyDescent="0.45">
      <c r="A256" t="s">
        <v>55</v>
      </c>
      <c r="B256" s="18">
        <v>1062.5899999999999</v>
      </c>
      <c r="C256" s="18">
        <v>917.73</v>
      </c>
      <c r="D256" s="18">
        <v>928.62</v>
      </c>
      <c r="E256" s="18">
        <v>599.51</v>
      </c>
      <c r="F256" s="18">
        <v>787.39</v>
      </c>
      <c r="G256" s="18">
        <v>959.59140000000002</v>
      </c>
      <c r="H256" s="18">
        <v>806.67274999999995</v>
      </c>
      <c r="I256" s="8">
        <v>0.15784598956119991</v>
      </c>
      <c r="J256" s="8">
        <v>0.14426783829768899</v>
      </c>
      <c r="K256" s="8">
        <v>0.77243081850177631</v>
      </c>
      <c r="L256" s="8">
        <v>0.34950913778432541</v>
      </c>
      <c r="M256" s="18">
        <v>1.424053784144991</v>
      </c>
    </row>
    <row r="257" spans="1:13" x14ac:dyDescent="0.45">
      <c r="A257" t="s">
        <v>1261</v>
      </c>
      <c r="B257" s="18">
        <v>16.54</v>
      </c>
      <c r="C257" s="18">
        <v>17.88</v>
      </c>
      <c r="D257" s="18">
        <v>17.100000000000001</v>
      </c>
      <c r="E257" s="18">
        <v>9.3465000000000007</v>
      </c>
      <c r="F257" s="18">
        <v>17.850000000000001</v>
      </c>
      <c r="G257" s="18">
        <v>18.665400000000002</v>
      </c>
      <c r="H257" s="18">
        <v>14.6930225</v>
      </c>
      <c r="I257" s="8">
        <v>-7.4944071588366912E-2</v>
      </c>
      <c r="J257" s="8">
        <v>-3.2748538011696082E-2</v>
      </c>
      <c r="K257" s="8">
        <v>0.76964639169742655</v>
      </c>
      <c r="L257" s="8">
        <v>-7.3389355742296991E-2</v>
      </c>
      <c r="M257" s="18">
        <v>0.58856442635506656</v>
      </c>
    </row>
    <row r="258" spans="1:13" x14ac:dyDescent="0.45">
      <c r="A258" t="s">
        <v>1621</v>
      </c>
      <c r="B258" s="18">
        <v>17.72</v>
      </c>
      <c r="C258" s="18">
        <v>17.21</v>
      </c>
      <c r="D258" s="18">
        <v>12.73</v>
      </c>
      <c r="E258" s="18">
        <v>10.02</v>
      </c>
      <c r="F258" s="18">
        <v>15.8</v>
      </c>
      <c r="G258" s="18">
        <v>15.2562</v>
      </c>
      <c r="H258" s="18">
        <v>13.691800000000001</v>
      </c>
      <c r="I258" s="8">
        <v>2.963393375944201E-2</v>
      </c>
      <c r="J258" s="8">
        <v>0.3919874312647289</v>
      </c>
      <c r="K258" s="8">
        <v>0.76846307385229529</v>
      </c>
      <c r="L258" s="8">
        <v>0.12151898734177211</v>
      </c>
      <c r="M258" s="18">
        <v>1.3116034262182381</v>
      </c>
    </row>
    <row r="259" spans="1:13" x14ac:dyDescent="0.45">
      <c r="A259" t="s">
        <v>2163</v>
      </c>
      <c r="B259" s="18">
        <v>51.27</v>
      </c>
      <c r="C259" s="18">
        <v>47.38</v>
      </c>
      <c r="D259" s="18">
        <v>50.22</v>
      </c>
      <c r="E259" s="18">
        <v>29.04</v>
      </c>
      <c r="F259" s="18">
        <v>41.35</v>
      </c>
      <c r="G259" s="18">
        <v>49.043199999999999</v>
      </c>
      <c r="H259" s="18">
        <v>40.37415</v>
      </c>
      <c r="I259" s="8">
        <v>8.2102152807091544E-2</v>
      </c>
      <c r="J259" s="8">
        <v>2.09080047789727E-2</v>
      </c>
      <c r="K259" s="8">
        <v>0.76549586776859524</v>
      </c>
      <c r="L259" s="8">
        <v>0.2399032648125756</v>
      </c>
      <c r="M259" s="18">
        <v>1.1084092901672351</v>
      </c>
    </row>
    <row r="260" spans="1:13" x14ac:dyDescent="0.45">
      <c r="A260" t="s">
        <v>1617</v>
      </c>
      <c r="B260" s="18">
        <v>8.83</v>
      </c>
      <c r="C260" s="18">
        <v>7.81</v>
      </c>
      <c r="D260" s="18">
        <v>8.36</v>
      </c>
      <c r="E260" s="18">
        <v>5.01</v>
      </c>
      <c r="F260" s="18">
        <v>8.4600000000000009</v>
      </c>
      <c r="G260" s="18">
        <v>8.0478000000000005</v>
      </c>
      <c r="H260" s="18">
        <v>7.62235</v>
      </c>
      <c r="I260" s="8">
        <v>0.13060179257362359</v>
      </c>
      <c r="J260" s="8">
        <v>5.6220095693779948E-2</v>
      </c>
      <c r="K260" s="8">
        <v>0.76247504990019976</v>
      </c>
      <c r="L260" s="8">
        <v>4.3735224586288313E-2</v>
      </c>
      <c r="M260" s="18">
        <v>0.99303216275389161</v>
      </c>
    </row>
    <row r="261" spans="1:13" x14ac:dyDescent="0.45">
      <c r="A261" t="s">
        <v>1721</v>
      </c>
      <c r="B261" s="18">
        <v>126.86</v>
      </c>
      <c r="C261" s="18">
        <v>109.67</v>
      </c>
      <c r="D261" s="18">
        <v>87</v>
      </c>
      <c r="E261" s="18">
        <v>72.150000000000006</v>
      </c>
      <c r="F261" s="18">
        <v>105.49</v>
      </c>
      <c r="G261" s="18">
        <v>113.8014</v>
      </c>
      <c r="H261" s="18">
        <v>94.071849999999998</v>
      </c>
      <c r="I261" s="8">
        <v>0.15674295614115061</v>
      </c>
      <c r="J261" s="8">
        <v>0.45816091954022992</v>
      </c>
      <c r="K261" s="8">
        <v>0.75828135828135812</v>
      </c>
      <c r="L261" s="8">
        <v>0.2025784434543558</v>
      </c>
      <c r="M261" s="18">
        <v>1.575763677417094</v>
      </c>
    </row>
    <row r="262" spans="1:13" x14ac:dyDescent="0.45">
      <c r="A262" t="s">
        <v>1523</v>
      </c>
      <c r="B262" s="18">
        <v>82.39</v>
      </c>
      <c r="C262" s="18">
        <v>79.41</v>
      </c>
      <c r="D262" s="18">
        <v>85.42</v>
      </c>
      <c r="E262" s="18">
        <v>46.88</v>
      </c>
      <c r="F262" s="18">
        <v>61.67</v>
      </c>
      <c r="G262" s="18">
        <v>81.274000000000001</v>
      </c>
      <c r="H262" s="18">
        <v>69.350049999999996</v>
      </c>
      <c r="I262" s="8">
        <v>3.7526759853922842E-2</v>
      </c>
      <c r="J262" s="8">
        <v>-3.5471786466869548E-2</v>
      </c>
      <c r="K262" s="8">
        <v>0.75746587030716706</v>
      </c>
      <c r="L262" s="8">
        <v>0.33598183881952332</v>
      </c>
      <c r="M262" s="18">
        <v>1.0955026825137431</v>
      </c>
    </row>
    <row r="263" spans="1:13" x14ac:dyDescent="0.45">
      <c r="A263" t="s">
        <v>1742</v>
      </c>
      <c r="B263" s="18">
        <v>16.829999999999998</v>
      </c>
      <c r="C263" s="18">
        <v>16.16</v>
      </c>
      <c r="D263" s="18">
        <v>15.45</v>
      </c>
      <c r="E263" s="18">
        <v>9.58</v>
      </c>
      <c r="F263" s="18">
        <v>12.61</v>
      </c>
      <c r="G263" s="18">
        <v>16.2986</v>
      </c>
      <c r="H263" s="18">
        <v>13.357849999999999</v>
      </c>
      <c r="I263" s="8">
        <v>4.1460396039603831E-2</v>
      </c>
      <c r="J263" s="8">
        <v>8.9320388349514612E-2</v>
      </c>
      <c r="K263" s="8">
        <v>0.75678496868475964</v>
      </c>
      <c r="L263" s="8">
        <v>0.33465503568596339</v>
      </c>
      <c r="M263" s="18">
        <v>1.222220788759842</v>
      </c>
    </row>
    <row r="264" spans="1:13" x14ac:dyDescent="0.45">
      <c r="A264" t="s">
        <v>1423</v>
      </c>
      <c r="B264" s="18">
        <v>25.93</v>
      </c>
      <c r="C264" s="18">
        <v>23.81</v>
      </c>
      <c r="D264" s="18">
        <v>21.34</v>
      </c>
      <c r="E264" s="18">
        <v>14.76</v>
      </c>
      <c r="F264" s="18">
        <v>12.19</v>
      </c>
      <c r="G264" s="18">
        <v>23.290800000000001</v>
      </c>
      <c r="H264" s="18">
        <v>18.710249999999998</v>
      </c>
      <c r="I264" s="8">
        <v>8.903821923561539E-2</v>
      </c>
      <c r="J264" s="8">
        <v>0.2150890346766636</v>
      </c>
      <c r="K264" s="8">
        <v>0.75677506775067749</v>
      </c>
      <c r="L264" s="8">
        <v>1.127153404429861</v>
      </c>
      <c r="M264" s="18">
        <v>2.1880557260928168</v>
      </c>
    </row>
    <row r="265" spans="1:13" x14ac:dyDescent="0.45">
      <c r="A265" t="s">
        <v>2264</v>
      </c>
      <c r="B265" s="18">
        <v>12.99</v>
      </c>
      <c r="C265" s="18">
        <v>12.5</v>
      </c>
      <c r="D265" s="18">
        <v>10.47</v>
      </c>
      <c r="E265" s="18">
        <v>7.4</v>
      </c>
      <c r="F265" s="18">
        <v>10.35</v>
      </c>
      <c r="G265" s="18">
        <v>12.156000000000001</v>
      </c>
      <c r="H265" s="18">
        <v>10.28595</v>
      </c>
      <c r="I265" s="8">
        <v>3.9200000000000117E-2</v>
      </c>
      <c r="J265" s="8">
        <v>0.24068767908309449</v>
      </c>
      <c r="K265" s="8">
        <v>0.75540540540540535</v>
      </c>
      <c r="L265" s="8">
        <v>0.2550724637681161</v>
      </c>
      <c r="M265" s="18">
        <v>1.2903655482566161</v>
      </c>
    </row>
    <row r="266" spans="1:13" x14ac:dyDescent="0.45">
      <c r="A266" t="s">
        <v>2118</v>
      </c>
      <c r="B266" s="18">
        <v>10.11</v>
      </c>
      <c r="C266" s="18">
        <v>9.8000000000000007</v>
      </c>
      <c r="D266" s="18">
        <v>8.58</v>
      </c>
      <c r="E266" s="18">
        <v>5.76</v>
      </c>
      <c r="F266" s="18">
        <v>4.95</v>
      </c>
      <c r="G266" s="18">
        <v>9.6983999999999995</v>
      </c>
      <c r="H266" s="18">
        <v>7.5270499999999991</v>
      </c>
      <c r="I266" s="8">
        <v>3.1632653061224307E-2</v>
      </c>
      <c r="J266" s="8">
        <v>0.17832167832167831</v>
      </c>
      <c r="K266" s="8">
        <v>0.75520833333333326</v>
      </c>
      <c r="L266" s="8">
        <v>1.042424242424242</v>
      </c>
      <c r="M266" s="18">
        <v>2.0075869071404782</v>
      </c>
    </row>
    <row r="267" spans="1:13" x14ac:dyDescent="0.45">
      <c r="A267" t="s">
        <v>129</v>
      </c>
      <c r="B267" s="18">
        <v>24.6</v>
      </c>
      <c r="C267" s="18">
        <v>21.66</v>
      </c>
      <c r="D267" s="18">
        <v>20.399999999999999</v>
      </c>
      <c r="E267" s="18">
        <v>14.03</v>
      </c>
      <c r="F267" s="18">
        <v>26.89</v>
      </c>
      <c r="G267" s="18">
        <v>22.253699999999998</v>
      </c>
      <c r="H267" s="18">
        <v>20.338850000000001</v>
      </c>
      <c r="I267" s="8">
        <v>0.1357340720221607</v>
      </c>
      <c r="J267" s="8">
        <v>0.2058823529411766</v>
      </c>
      <c r="K267" s="8">
        <v>0.75338560228082696</v>
      </c>
      <c r="L267" s="8">
        <v>-8.51617701747861E-2</v>
      </c>
      <c r="M267" s="18">
        <v>1.0098402570693781</v>
      </c>
    </row>
    <row r="268" spans="1:13" x14ac:dyDescent="0.45">
      <c r="A268" t="s">
        <v>900</v>
      </c>
      <c r="B268" s="18">
        <v>18.71</v>
      </c>
      <c r="C268" s="18">
        <v>17.62</v>
      </c>
      <c r="D268" s="18">
        <v>14.92</v>
      </c>
      <c r="E268" s="18">
        <v>10.69</v>
      </c>
      <c r="F268" s="18">
        <v>14.39</v>
      </c>
      <c r="G268" s="18">
        <v>17.243749999999999</v>
      </c>
      <c r="H268" s="18">
        <v>13.972754500000001</v>
      </c>
      <c r="I268" s="8">
        <v>6.1861520998864883E-2</v>
      </c>
      <c r="J268" s="8">
        <v>0.25402144772117968</v>
      </c>
      <c r="K268" s="8">
        <v>0.75023386342376064</v>
      </c>
      <c r="L268" s="8">
        <v>0.30020847810979839</v>
      </c>
      <c r="M268" s="18">
        <v>1.3663253102536039</v>
      </c>
    </row>
    <row r="269" spans="1:13" x14ac:dyDescent="0.45">
      <c r="A269" t="s">
        <v>1632</v>
      </c>
      <c r="B269" s="18">
        <v>7.19</v>
      </c>
      <c r="C269" s="18">
        <v>7.56</v>
      </c>
      <c r="D269" s="18">
        <v>4.4800000000000004</v>
      </c>
      <c r="E269" s="18">
        <v>4.1100000000000003</v>
      </c>
      <c r="F269" s="18">
        <v>3.69</v>
      </c>
      <c r="G269" s="18">
        <v>7.1254000000000008</v>
      </c>
      <c r="H269" s="18">
        <v>5.7199499999999999</v>
      </c>
      <c r="I269" s="8">
        <v>-4.8941798941798842E-2</v>
      </c>
      <c r="J269" s="8">
        <v>0.60491071428571419</v>
      </c>
      <c r="K269" s="8">
        <v>0.74939172749391725</v>
      </c>
      <c r="L269" s="8">
        <v>0.948509485094851</v>
      </c>
      <c r="M269" s="18">
        <v>2.253870127932684</v>
      </c>
    </row>
    <row r="270" spans="1:13" x14ac:dyDescent="0.45">
      <c r="A270" t="s">
        <v>1267</v>
      </c>
      <c r="B270" s="18">
        <v>120.94</v>
      </c>
      <c r="C270" s="18">
        <v>123.66</v>
      </c>
      <c r="D270" s="18">
        <v>113.08</v>
      </c>
      <c r="E270" s="18">
        <v>69.23</v>
      </c>
      <c r="F270" s="18">
        <v>90.7</v>
      </c>
      <c r="G270" s="18">
        <v>124.398</v>
      </c>
      <c r="H270" s="18">
        <v>100.09165</v>
      </c>
      <c r="I270" s="8">
        <v>-2.199579492155912E-2</v>
      </c>
      <c r="J270" s="8">
        <v>6.9508312698974173E-2</v>
      </c>
      <c r="K270" s="8">
        <v>0.74693052145023819</v>
      </c>
      <c r="L270" s="8">
        <v>0.3334068357221609</v>
      </c>
      <c r="M270" s="18">
        <v>1.127849874949814</v>
      </c>
    </row>
    <row r="271" spans="1:13" x14ac:dyDescent="0.45">
      <c r="A271" t="s">
        <v>480</v>
      </c>
      <c r="B271" s="18">
        <v>98.09</v>
      </c>
      <c r="C271" s="18">
        <v>105.65</v>
      </c>
      <c r="D271" s="18">
        <v>91.67</v>
      </c>
      <c r="E271" s="18">
        <v>56.15</v>
      </c>
      <c r="F271" s="18">
        <v>59.22</v>
      </c>
      <c r="G271" s="18">
        <v>99.604699999999994</v>
      </c>
      <c r="H271" s="18">
        <v>88.767399999999995</v>
      </c>
      <c r="I271" s="8">
        <v>-7.1557027922385275E-2</v>
      </c>
      <c r="J271" s="8">
        <v>7.0033816952110861E-2</v>
      </c>
      <c r="K271" s="8">
        <v>0.74692787177203934</v>
      </c>
      <c r="L271" s="8">
        <v>0.65636609253630529</v>
      </c>
      <c r="M271" s="18">
        <v>1.4017707533380701</v>
      </c>
    </row>
    <row r="272" spans="1:13" x14ac:dyDescent="0.45">
      <c r="A272" t="s">
        <v>49</v>
      </c>
      <c r="B272" s="18">
        <v>629.91</v>
      </c>
      <c r="C272" s="18">
        <v>655.6</v>
      </c>
      <c r="D272" s="18">
        <v>541.09</v>
      </c>
      <c r="E272" s="18">
        <v>361.04</v>
      </c>
      <c r="F272" s="18">
        <v>477.67</v>
      </c>
      <c r="G272" s="18">
        <v>636.48820000000001</v>
      </c>
      <c r="H272" s="18">
        <v>508.117975</v>
      </c>
      <c r="I272" s="8">
        <v>-3.9185478950579673E-2</v>
      </c>
      <c r="J272" s="8">
        <v>0.16415014138128581</v>
      </c>
      <c r="K272" s="8">
        <v>0.74470972745402153</v>
      </c>
      <c r="L272" s="8">
        <v>0.31871375635899257</v>
      </c>
      <c r="M272" s="18">
        <v>1.18838814624372</v>
      </c>
    </row>
    <row r="273" spans="1:13" x14ac:dyDescent="0.45">
      <c r="A273" t="s">
        <v>1714</v>
      </c>
      <c r="B273" s="18">
        <v>40.93</v>
      </c>
      <c r="C273" s="18">
        <v>33.770000000000003</v>
      </c>
      <c r="D273" s="18">
        <v>34.409999999999997</v>
      </c>
      <c r="E273" s="18">
        <v>23.47</v>
      </c>
      <c r="F273" s="18">
        <v>25.68</v>
      </c>
      <c r="G273" s="18">
        <v>34.487000000000002</v>
      </c>
      <c r="H273" s="18">
        <v>30.31195</v>
      </c>
      <c r="I273" s="8">
        <v>0.2120225051821141</v>
      </c>
      <c r="J273" s="8">
        <v>0.1894798023830282</v>
      </c>
      <c r="K273" s="8">
        <v>0.74392841925862818</v>
      </c>
      <c r="L273" s="8">
        <v>0.59384735202492211</v>
      </c>
      <c r="M273" s="18">
        <v>1.739278078848693</v>
      </c>
    </row>
    <row r="274" spans="1:13" x14ac:dyDescent="0.45">
      <c r="A274" t="s">
        <v>1578</v>
      </c>
      <c r="B274" s="18">
        <v>6.19</v>
      </c>
      <c r="C274" s="18">
        <v>5.67</v>
      </c>
      <c r="D274" s="18">
        <v>4.26</v>
      </c>
      <c r="E274" s="18">
        <v>3.55</v>
      </c>
      <c r="F274" s="18">
        <v>6</v>
      </c>
      <c r="G274" s="18">
        <v>5.4450000000000003</v>
      </c>
      <c r="H274" s="18">
        <v>4.6595499999999994</v>
      </c>
      <c r="I274" s="8">
        <v>9.1710758377425039E-2</v>
      </c>
      <c r="J274" s="8">
        <v>0.45305164319248847</v>
      </c>
      <c r="K274" s="8">
        <v>0.74366197183098603</v>
      </c>
      <c r="L274" s="8">
        <v>3.1666666666666732E-2</v>
      </c>
      <c r="M274" s="18">
        <v>1.3200910400675661</v>
      </c>
    </row>
    <row r="275" spans="1:13" x14ac:dyDescent="0.45">
      <c r="A275" t="s">
        <v>1531</v>
      </c>
      <c r="B275" s="18">
        <v>31.93</v>
      </c>
      <c r="C275" s="18">
        <v>28.35</v>
      </c>
      <c r="D275" s="18">
        <v>27.54</v>
      </c>
      <c r="E275" s="18">
        <v>18.34</v>
      </c>
      <c r="F275" s="18">
        <v>22.58</v>
      </c>
      <c r="G275" s="18">
        <v>28.922267000000002</v>
      </c>
      <c r="H275" s="18">
        <v>23.715985249999999</v>
      </c>
      <c r="I275" s="8">
        <v>0.12627865961199289</v>
      </c>
      <c r="J275" s="8">
        <v>0.15940450254175739</v>
      </c>
      <c r="K275" s="8">
        <v>0.74100327153762269</v>
      </c>
      <c r="L275" s="8">
        <v>0.41408325952170077</v>
      </c>
      <c r="M275" s="18">
        <v>1.440769693213074</v>
      </c>
    </row>
    <row r="276" spans="1:13" x14ac:dyDescent="0.45">
      <c r="A276" t="s">
        <v>1359</v>
      </c>
      <c r="B276" s="18">
        <v>200.13</v>
      </c>
      <c r="C276" s="18">
        <v>199.34</v>
      </c>
      <c r="D276" s="18">
        <v>169.89</v>
      </c>
      <c r="E276" s="18">
        <v>115.08</v>
      </c>
      <c r="F276" s="18">
        <v>123.81</v>
      </c>
      <c r="G276" s="18">
        <v>199.19479999999999</v>
      </c>
      <c r="H276" s="18">
        <v>175.18180000000001</v>
      </c>
      <c r="I276" s="8">
        <v>3.9630781579211849E-3</v>
      </c>
      <c r="J276" s="8">
        <v>0.17799752781211381</v>
      </c>
      <c r="K276" s="8">
        <v>0.73905109489051091</v>
      </c>
      <c r="L276" s="8">
        <v>0.616428398352314</v>
      </c>
      <c r="M276" s="18">
        <v>1.5374400992128601</v>
      </c>
    </row>
    <row r="277" spans="1:13" x14ac:dyDescent="0.45">
      <c r="A277" t="s">
        <v>2217</v>
      </c>
      <c r="B277" s="18">
        <v>4.12</v>
      </c>
      <c r="C277" s="18">
        <v>3.17</v>
      </c>
      <c r="D277" s="18">
        <v>3.05</v>
      </c>
      <c r="E277" s="18">
        <v>2.37</v>
      </c>
      <c r="F277" s="18">
        <v>6.1</v>
      </c>
      <c r="G277" s="18">
        <v>3.3923999999999999</v>
      </c>
      <c r="H277" s="18">
        <v>3.7049500000000002</v>
      </c>
      <c r="I277" s="8">
        <v>0.29968454258675092</v>
      </c>
      <c r="J277" s="8">
        <v>0.35081967213114762</v>
      </c>
      <c r="K277" s="8">
        <v>0.7383966244725737</v>
      </c>
      <c r="L277" s="8">
        <v>-0.32459016393442619</v>
      </c>
      <c r="M277" s="18">
        <v>1.0643106752560461</v>
      </c>
    </row>
    <row r="278" spans="1:13" x14ac:dyDescent="0.45">
      <c r="A278" t="s">
        <v>1033</v>
      </c>
      <c r="B278" s="18">
        <v>11.82</v>
      </c>
      <c r="C278" s="18">
        <v>11.23</v>
      </c>
      <c r="D278" s="18">
        <v>10.85</v>
      </c>
      <c r="E278" s="18">
        <v>6.8</v>
      </c>
      <c r="F278" s="18">
        <v>15.05</v>
      </c>
      <c r="G278" s="18">
        <v>11.410399999999999</v>
      </c>
      <c r="H278" s="18">
        <v>10.479649999999999</v>
      </c>
      <c r="I278" s="8">
        <v>5.2537845057880617E-2</v>
      </c>
      <c r="J278" s="8">
        <v>8.9400921658986165E-2</v>
      </c>
      <c r="K278" s="8">
        <v>0.7382352941176471</v>
      </c>
      <c r="L278" s="8">
        <v>-0.21461794019933561</v>
      </c>
      <c r="M278" s="18">
        <v>0.66555612063517833</v>
      </c>
    </row>
    <row r="279" spans="1:13" x14ac:dyDescent="0.45">
      <c r="A279" t="s">
        <v>1750</v>
      </c>
      <c r="B279" s="18">
        <v>40.11</v>
      </c>
      <c r="C279" s="18">
        <v>39.450000000000003</v>
      </c>
      <c r="D279" s="18">
        <v>30.33</v>
      </c>
      <c r="E279" s="18">
        <v>23.09</v>
      </c>
      <c r="F279" s="18">
        <v>28.71</v>
      </c>
      <c r="G279" s="18">
        <v>38.011600000000001</v>
      </c>
      <c r="H279" s="18">
        <v>30.957550000000001</v>
      </c>
      <c r="I279" s="8">
        <v>1.6730038022813701E-2</v>
      </c>
      <c r="J279" s="8">
        <v>0.32245301681503458</v>
      </c>
      <c r="K279" s="8">
        <v>0.73711563447379813</v>
      </c>
      <c r="L279" s="8">
        <v>0.39707419017763851</v>
      </c>
      <c r="M279" s="18">
        <v>1.4733728794892851</v>
      </c>
    </row>
    <row r="280" spans="1:13" x14ac:dyDescent="0.45">
      <c r="A280" t="s">
        <v>335</v>
      </c>
      <c r="B280" s="18">
        <v>53.27</v>
      </c>
      <c r="C280" s="18">
        <v>54</v>
      </c>
      <c r="D280" s="18">
        <v>50.52</v>
      </c>
      <c r="E280" s="18">
        <v>30.7</v>
      </c>
      <c r="F280" s="18">
        <v>52.58</v>
      </c>
      <c r="G280" s="18">
        <v>53.843800000000002</v>
      </c>
      <c r="H280" s="18">
        <v>45.789750000000012</v>
      </c>
      <c r="I280" s="8">
        <v>-1.351851851851849E-2</v>
      </c>
      <c r="J280" s="8">
        <v>5.4433887569279582E-2</v>
      </c>
      <c r="K280" s="8">
        <v>0.73517915309446269</v>
      </c>
      <c r="L280" s="8">
        <v>1.312286040319521E-2</v>
      </c>
      <c r="M280" s="18">
        <v>0.789217382548419</v>
      </c>
    </row>
    <row r="281" spans="1:13" x14ac:dyDescent="0.45">
      <c r="A281" t="s">
        <v>522</v>
      </c>
      <c r="B281" s="18">
        <v>52.59</v>
      </c>
      <c r="C281" s="18">
        <v>59.54</v>
      </c>
      <c r="D281" s="18">
        <v>59.6</v>
      </c>
      <c r="E281" s="18">
        <v>30.31</v>
      </c>
      <c r="F281" s="18">
        <v>38.69</v>
      </c>
      <c r="G281" s="18">
        <v>59.190000000000012</v>
      </c>
      <c r="H281" s="18">
        <v>47.747600000000013</v>
      </c>
      <c r="I281" s="8">
        <v>-0.11672824991602281</v>
      </c>
      <c r="J281" s="8">
        <v>-0.1176174496644294</v>
      </c>
      <c r="K281" s="8">
        <v>0.73507093368525256</v>
      </c>
      <c r="L281" s="8">
        <v>0.35926596019643342</v>
      </c>
      <c r="M281" s="18">
        <v>0.85999119430123372</v>
      </c>
    </row>
    <row r="282" spans="1:13" x14ac:dyDescent="0.45">
      <c r="A282" t="s">
        <v>169</v>
      </c>
      <c r="B282" s="18">
        <v>28.92</v>
      </c>
      <c r="C282" s="18">
        <v>31.57</v>
      </c>
      <c r="D282" s="18">
        <v>29.1</v>
      </c>
      <c r="E282" s="18">
        <v>16.690000000000001</v>
      </c>
      <c r="F282" s="18">
        <v>18.02</v>
      </c>
      <c r="G282" s="18">
        <v>30.326000000000001</v>
      </c>
      <c r="H282" s="18">
        <v>25.31495</v>
      </c>
      <c r="I282" s="8">
        <v>-8.3940449794108307E-2</v>
      </c>
      <c r="J282" s="8">
        <v>-6.1855670103092564E-3</v>
      </c>
      <c r="K282" s="8">
        <v>0.73277411623726785</v>
      </c>
      <c r="L282" s="8">
        <v>0.60488346281909</v>
      </c>
      <c r="M282" s="18">
        <v>1.2475315622519401</v>
      </c>
    </row>
    <row r="283" spans="1:13" x14ac:dyDescent="0.45">
      <c r="A283" t="s">
        <v>1367</v>
      </c>
      <c r="B283" s="18">
        <v>54.57</v>
      </c>
      <c r="C283" s="18">
        <v>50.89</v>
      </c>
      <c r="D283" s="18">
        <v>51.66</v>
      </c>
      <c r="E283" s="18">
        <v>31.53</v>
      </c>
      <c r="F283" s="18">
        <v>49.3</v>
      </c>
      <c r="G283" s="18">
        <v>51.854599999999998</v>
      </c>
      <c r="H283" s="18">
        <v>44.665399999999998</v>
      </c>
      <c r="I283" s="8">
        <v>7.231283159756341E-2</v>
      </c>
      <c r="J283" s="8">
        <v>5.6329849012775927E-2</v>
      </c>
      <c r="K283" s="8">
        <v>0.73073263558515689</v>
      </c>
      <c r="L283" s="8">
        <v>0.10689655172413801</v>
      </c>
      <c r="M283" s="18">
        <v>0.96627186791963426</v>
      </c>
    </row>
    <row r="284" spans="1:13" x14ac:dyDescent="0.45">
      <c r="A284" t="s">
        <v>578</v>
      </c>
      <c r="B284" s="18">
        <v>84.01</v>
      </c>
      <c r="C284" s="18">
        <v>73.92</v>
      </c>
      <c r="D284" s="18">
        <v>74.55</v>
      </c>
      <c r="E284" s="18">
        <v>48.56</v>
      </c>
      <c r="F284" s="18">
        <v>65.48</v>
      </c>
      <c r="G284" s="18">
        <v>77.158600000000007</v>
      </c>
      <c r="H284" s="18">
        <v>67.825550000000007</v>
      </c>
      <c r="I284" s="8">
        <v>0.13649891774891779</v>
      </c>
      <c r="J284" s="8">
        <v>0.126894701542589</v>
      </c>
      <c r="K284" s="8">
        <v>0.73002471169686989</v>
      </c>
      <c r="L284" s="8">
        <v>0.28298717165546727</v>
      </c>
      <c r="M284" s="18">
        <v>1.2764055026438439</v>
      </c>
    </row>
    <row r="285" spans="1:13" x14ac:dyDescent="0.45">
      <c r="A285" t="s">
        <v>825</v>
      </c>
      <c r="B285" s="18">
        <v>2.56</v>
      </c>
      <c r="C285" s="18">
        <v>2.23</v>
      </c>
      <c r="D285" s="18">
        <v>1.92</v>
      </c>
      <c r="E285" s="18">
        <v>1.48</v>
      </c>
      <c r="F285" s="18">
        <v>3.31</v>
      </c>
      <c r="G285" s="18">
        <v>2.2517999999999998</v>
      </c>
      <c r="H285" s="18">
        <v>2.1114000000000002</v>
      </c>
      <c r="I285" s="8">
        <v>0.14798206278026901</v>
      </c>
      <c r="J285" s="8">
        <v>0.33333333333333348</v>
      </c>
      <c r="K285" s="8">
        <v>0.72972972972972983</v>
      </c>
      <c r="L285" s="8">
        <v>-0.22658610271903321</v>
      </c>
      <c r="M285" s="18">
        <v>0.98445902312429912</v>
      </c>
    </row>
    <row r="286" spans="1:13" x14ac:dyDescent="0.45">
      <c r="A286" t="s">
        <v>2094</v>
      </c>
      <c r="B286" s="18">
        <v>18.239999999999998</v>
      </c>
      <c r="C286" s="18">
        <v>20.91</v>
      </c>
      <c r="D286" s="18">
        <v>15.33</v>
      </c>
      <c r="E286" s="18">
        <v>10.56</v>
      </c>
      <c r="F286" s="18">
        <v>10.7</v>
      </c>
      <c r="G286" s="18">
        <v>20.415199999999999</v>
      </c>
      <c r="H286" s="18">
        <v>14.937150000000001</v>
      </c>
      <c r="I286" s="8">
        <v>-0.1276901004304162</v>
      </c>
      <c r="J286" s="8">
        <v>0.18982387475538151</v>
      </c>
      <c r="K286" s="8">
        <v>0.72727272727272707</v>
      </c>
      <c r="L286" s="8">
        <v>0.70467289719626169</v>
      </c>
      <c r="M286" s="18">
        <v>1.494079398793954</v>
      </c>
    </row>
    <row r="287" spans="1:13" x14ac:dyDescent="0.45">
      <c r="A287" t="s">
        <v>478</v>
      </c>
      <c r="B287" s="18">
        <v>565.80999999999995</v>
      </c>
      <c r="C287" s="18">
        <v>513.85</v>
      </c>
      <c r="D287" s="18">
        <v>476.14</v>
      </c>
      <c r="E287" s="18">
        <v>328.01</v>
      </c>
      <c r="F287" s="18">
        <v>381.8</v>
      </c>
      <c r="G287" s="18">
        <v>526.95940000000007</v>
      </c>
      <c r="H287" s="18">
        <v>440.68529999999998</v>
      </c>
      <c r="I287" s="8">
        <v>0.1011190036002723</v>
      </c>
      <c r="J287" s="8">
        <v>0.18832696265804169</v>
      </c>
      <c r="K287" s="8">
        <v>0.72497789701533488</v>
      </c>
      <c r="L287" s="8">
        <v>0.48195390256678872</v>
      </c>
      <c r="M287" s="18">
        <v>1.496377765840438</v>
      </c>
    </row>
    <row r="288" spans="1:13" x14ac:dyDescent="0.45">
      <c r="A288" t="s">
        <v>1893</v>
      </c>
      <c r="B288" s="18">
        <v>8.9</v>
      </c>
      <c r="C288" s="18">
        <v>7.2</v>
      </c>
      <c r="D288" s="18">
        <v>8.65</v>
      </c>
      <c r="E288" s="18">
        <v>5.16</v>
      </c>
      <c r="F288" s="18">
        <v>5.96</v>
      </c>
      <c r="G288" s="18">
        <v>7.5910000000000002</v>
      </c>
      <c r="H288" s="18">
        <v>7.5048500000000002</v>
      </c>
      <c r="I288" s="8">
        <v>0.23611111111111119</v>
      </c>
      <c r="J288" s="8">
        <v>2.890173410404628E-2</v>
      </c>
      <c r="K288" s="8">
        <v>0.72480620155038755</v>
      </c>
      <c r="L288" s="8">
        <v>0.49328859060402702</v>
      </c>
      <c r="M288" s="18">
        <v>1.483107637369572</v>
      </c>
    </row>
    <row r="289" spans="1:13" x14ac:dyDescent="0.45">
      <c r="A289" t="s">
        <v>839</v>
      </c>
      <c r="B289" s="18">
        <v>42.83</v>
      </c>
      <c r="C289" s="18">
        <v>43.69</v>
      </c>
      <c r="D289" s="18">
        <v>35.81</v>
      </c>
      <c r="E289" s="18">
        <v>24.84</v>
      </c>
      <c r="F289" s="18">
        <v>35.130000000000003</v>
      </c>
      <c r="G289" s="18">
        <v>42.239199999999997</v>
      </c>
      <c r="H289" s="18">
        <v>33.985050000000001</v>
      </c>
      <c r="I289" s="8">
        <v>-1.9684138246738429E-2</v>
      </c>
      <c r="J289" s="8">
        <v>0.19603462719910619</v>
      </c>
      <c r="K289" s="8">
        <v>0.72423510466988716</v>
      </c>
      <c r="L289" s="8">
        <v>0.21918588101337871</v>
      </c>
      <c r="M289" s="18">
        <v>1.119771474635634</v>
      </c>
    </row>
    <row r="290" spans="1:13" x14ac:dyDescent="0.45">
      <c r="A290" t="s">
        <v>2497</v>
      </c>
      <c r="B290" s="18">
        <v>24.6</v>
      </c>
      <c r="C290" s="18">
        <v>26.96</v>
      </c>
      <c r="D290" s="18">
        <v>22.21</v>
      </c>
      <c r="E290" s="18">
        <v>14.27</v>
      </c>
      <c r="F290" s="18">
        <v>16.100000000000001</v>
      </c>
      <c r="G290" s="18">
        <v>26.177199999999999</v>
      </c>
      <c r="H290" s="18">
        <v>22.735600000000002</v>
      </c>
      <c r="I290" s="8">
        <v>-8.7537091988130533E-2</v>
      </c>
      <c r="J290" s="8">
        <v>0.1076091850517784</v>
      </c>
      <c r="K290" s="8">
        <v>0.72389628591450617</v>
      </c>
      <c r="L290" s="8">
        <v>0.52795031055900621</v>
      </c>
      <c r="M290" s="18">
        <v>1.2719186895371599</v>
      </c>
    </row>
    <row r="291" spans="1:13" x14ac:dyDescent="0.45">
      <c r="A291" t="s">
        <v>2140</v>
      </c>
      <c r="B291" s="18">
        <v>16.79</v>
      </c>
      <c r="C291" s="18">
        <v>16.88</v>
      </c>
      <c r="D291" s="18">
        <v>10.91</v>
      </c>
      <c r="E291" s="18">
        <v>9.74</v>
      </c>
      <c r="F291" s="18">
        <v>12.97</v>
      </c>
      <c r="G291" s="18">
        <v>16.278400000000001</v>
      </c>
      <c r="H291" s="18">
        <v>12.25685</v>
      </c>
      <c r="I291" s="8">
        <v>-5.3317535545023276E-3</v>
      </c>
      <c r="J291" s="8">
        <v>0.53895508707607687</v>
      </c>
      <c r="K291" s="8">
        <v>0.72381930184804921</v>
      </c>
      <c r="L291" s="8">
        <v>0.29452582883577483</v>
      </c>
      <c r="M291" s="18">
        <v>1.551968464205399</v>
      </c>
    </row>
    <row r="292" spans="1:13" x14ac:dyDescent="0.45">
      <c r="A292" t="s">
        <v>1639</v>
      </c>
      <c r="B292" s="18">
        <v>85.23</v>
      </c>
      <c r="C292" s="18">
        <v>78.069999999999993</v>
      </c>
      <c r="D292" s="18">
        <v>66.239999999999995</v>
      </c>
      <c r="E292" s="18">
        <v>49.58</v>
      </c>
      <c r="F292" s="18">
        <v>65.09</v>
      </c>
      <c r="G292" s="18">
        <v>77.597399999999993</v>
      </c>
      <c r="H292" s="18">
        <v>63.497999999999998</v>
      </c>
      <c r="I292" s="8">
        <v>9.1712565646214994E-2</v>
      </c>
      <c r="J292" s="8">
        <v>0.28668478260869579</v>
      </c>
      <c r="K292" s="8">
        <v>0.71903993545784606</v>
      </c>
      <c r="L292" s="8">
        <v>0.30941772929789518</v>
      </c>
      <c r="M292" s="18">
        <v>1.4068550130106521</v>
      </c>
    </row>
    <row r="293" spans="1:13" x14ac:dyDescent="0.45">
      <c r="A293" t="s">
        <v>712</v>
      </c>
      <c r="B293" s="18">
        <v>58.98</v>
      </c>
      <c r="C293" s="18">
        <v>70.88</v>
      </c>
      <c r="D293" s="18">
        <v>51.4</v>
      </c>
      <c r="E293" s="18">
        <v>34.31</v>
      </c>
      <c r="F293" s="18">
        <v>35.54</v>
      </c>
      <c r="G293" s="18">
        <v>61.924599999999998</v>
      </c>
      <c r="H293" s="18">
        <v>47.550750000000008</v>
      </c>
      <c r="I293" s="8">
        <v>-0.16788939051918739</v>
      </c>
      <c r="J293" s="8">
        <v>0.14747081712062249</v>
      </c>
      <c r="K293" s="8">
        <v>0.71903235208394034</v>
      </c>
      <c r="L293" s="8">
        <v>0.65953854811480017</v>
      </c>
      <c r="M293" s="18">
        <v>1.3581523268001761</v>
      </c>
    </row>
    <row r="294" spans="1:13" x14ac:dyDescent="0.45">
      <c r="A294" t="s">
        <v>981</v>
      </c>
      <c r="B294" s="18">
        <v>259.93</v>
      </c>
      <c r="C294" s="18">
        <v>244.74</v>
      </c>
      <c r="D294" s="18">
        <v>276.72000000000003</v>
      </c>
      <c r="E294" s="18">
        <v>151.30000000000001</v>
      </c>
      <c r="F294" s="18">
        <v>159.88999999999999</v>
      </c>
      <c r="G294" s="18">
        <v>246.51740000000001</v>
      </c>
      <c r="H294" s="18">
        <v>221.6704</v>
      </c>
      <c r="I294" s="8">
        <v>6.2065865816785193E-2</v>
      </c>
      <c r="J294" s="8">
        <v>-6.0675050592656883E-2</v>
      </c>
      <c r="K294" s="8">
        <v>0.71797752808988746</v>
      </c>
      <c r="L294" s="8">
        <v>0.62568015510663599</v>
      </c>
      <c r="M294" s="18">
        <v>1.3450484984206521</v>
      </c>
    </row>
    <row r="295" spans="1:13" x14ac:dyDescent="0.45">
      <c r="A295" t="s">
        <v>317</v>
      </c>
      <c r="B295" s="18">
        <v>206.53</v>
      </c>
      <c r="C295" s="18">
        <v>209.22</v>
      </c>
      <c r="D295" s="18">
        <v>220.96</v>
      </c>
      <c r="E295" s="18">
        <v>120.35</v>
      </c>
      <c r="F295" s="18">
        <v>121.66</v>
      </c>
      <c r="G295" s="18">
        <v>214.63939999999999</v>
      </c>
      <c r="H295" s="18">
        <v>178.08605</v>
      </c>
      <c r="I295" s="8">
        <v>-1.2857279418793549E-2</v>
      </c>
      <c r="J295" s="8">
        <v>-6.5305937726285346E-2</v>
      </c>
      <c r="K295" s="8">
        <v>0.71607810552555051</v>
      </c>
      <c r="L295" s="8">
        <v>0.69759986848594457</v>
      </c>
      <c r="M295" s="18">
        <v>1.3355147568664161</v>
      </c>
    </row>
    <row r="296" spans="1:13" x14ac:dyDescent="0.45">
      <c r="A296" t="s">
        <v>1265</v>
      </c>
      <c r="B296" s="18">
        <v>8.58</v>
      </c>
      <c r="C296" s="18">
        <v>7.65</v>
      </c>
      <c r="D296" s="18">
        <v>6.93</v>
      </c>
      <c r="E296" s="18">
        <v>5</v>
      </c>
      <c r="F296" s="18">
        <v>7.63</v>
      </c>
      <c r="G296" s="18">
        <v>7.7035999999999998</v>
      </c>
      <c r="H296" s="18">
        <v>7.6092000000000004</v>
      </c>
      <c r="I296" s="8">
        <v>0.1215686274509804</v>
      </c>
      <c r="J296" s="8">
        <v>0.23809523809523811</v>
      </c>
      <c r="K296" s="8">
        <v>0.71599999999999997</v>
      </c>
      <c r="L296" s="8">
        <v>0.12450851900393189</v>
      </c>
      <c r="M296" s="18">
        <v>1.20017238455015</v>
      </c>
    </row>
    <row r="297" spans="1:13" x14ac:dyDescent="0.45">
      <c r="A297" t="s">
        <v>131</v>
      </c>
      <c r="B297" s="18">
        <v>84.46</v>
      </c>
      <c r="C297" s="18">
        <v>82.14</v>
      </c>
      <c r="D297" s="18">
        <v>70.58</v>
      </c>
      <c r="E297" s="18">
        <v>49.36</v>
      </c>
      <c r="F297" s="18">
        <v>70.33</v>
      </c>
      <c r="G297" s="18">
        <v>78.757800000000003</v>
      </c>
      <c r="H297" s="18">
        <v>67.3292</v>
      </c>
      <c r="I297" s="8">
        <v>2.8244460676893009E-2</v>
      </c>
      <c r="J297" s="8">
        <v>0.19665627656559931</v>
      </c>
      <c r="K297" s="8">
        <v>0.71110210696920584</v>
      </c>
      <c r="L297" s="8">
        <v>0.20090999573439489</v>
      </c>
      <c r="M297" s="18">
        <v>1.136912839946093</v>
      </c>
    </row>
    <row r="298" spans="1:13" x14ac:dyDescent="0.45">
      <c r="A298" t="s">
        <v>430</v>
      </c>
      <c r="B298" s="18">
        <v>308.31</v>
      </c>
      <c r="C298" s="18">
        <v>345.31</v>
      </c>
      <c r="D298" s="18">
        <v>341.36</v>
      </c>
      <c r="E298" s="18">
        <v>180.19</v>
      </c>
      <c r="F298" s="18">
        <v>179.44</v>
      </c>
      <c r="G298" s="18">
        <v>329.3546</v>
      </c>
      <c r="H298" s="18">
        <v>270.40219999999999</v>
      </c>
      <c r="I298" s="8">
        <v>-0.107150097014277</v>
      </c>
      <c r="J298" s="8">
        <v>-9.6818607921256183E-2</v>
      </c>
      <c r="K298" s="8">
        <v>0.71102724901492875</v>
      </c>
      <c r="L298" s="8">
        <v>0.71817877842175659</v>
      </c>
      <c r="M298" s="18">
        <v>1.2252373225011519</v>
      </c>
    </row>
    <row r="299" spans="1:13" x14ac:dyDescent="0.45">
      <c r="A299" t="s">
        <v>1529</v>
      </c>
      <c r="B299" s="18">
        <v>12.73</v>
      </c>
      <c r="C299" s="18">
        <v>13.83</v>
      </c>
      <c r="D299" s="18">
        <v>13.62</v>
      </c>
      <c r="E299" s="18">
        <v>7.44</v>
      </c>
      <c r="F299" s="18">
        <v>7.51</v>
      </c>
      <c r="G299" s="18">
        <v>13.508599999999999</v>
      </c>
      <c r="H299" s="18">
        <v>10.31695</v>
      </c>
      <c r="I299" s="8">
        <v>-7.953723788864786E-2</v>
      </c>
      <c r="J299" s="8">
        <v>-6.5345080763582919E-2</v>
      </c>
      <c r="K299" s="8">
        <v>0.71102150537634401</v>
      </c>
      <c r="L299" s="8">
        <v>0.69507323568575252</v>
      </c>
      <c r="M299" s="18">
        <v>1.261212422409866</v>
      </c>
    </row>
    <row r="300" spans="1:13" x14ac:dyDescent="0.45">
      <c r="A300" t="s">
        <v>1036</v>
      </c>
      <c r="B300" s="18">
        <v>3.23</v>
      </c>
      <c r="C300" s="18">
        <v>2.1</v>
      </c>
      <c r="D300" s="18">
        <v>1.82</v>
      </c>
      <c r="E300" s="18">
        <v>1.89</v>
      </c>
      <c r="F300" s="18">
        <v>2.86</v>
      </c>
      <c r="G300" s="18">
        <v>2.31</v>
      </c>
      <c r="H300" s="18">
        <v>2.4698000000000002</v>
      </c>
      <c r="I300" s="8">
        <v>0.53809523809523796</v>
      </c>
      <c r="J300" s="8">
        <v>0.77472527472527464</v>
      </c>
      <c r="K300" s="8">
        <v>0.70899470899470907</v>
      </c>
      <c r="L300" s="8">
        <v>0.1293706293706294</v>
      </c>
      <c r="M300" s="18">
        <v>2.151185851185851</v>
      </c>
    </row>
    <row r="301" spans="1:13" x14ac:dyDescent="0.45">
      <c r="A301" t="s">
        <v>2236</v>
      </c>
      <c r="B301" s="18">
        <v>4.22</v>
      </c>
      <c r="C301" s="18">
        <v>4.4800000000000004</v>
      </c>
      <c r="D301" s="18">
        <v>3.06</v>
      </c>
      <c r="E301" s="18">
        <v>2.4700000000000002</v>
      </c>
      <c r="F301" s="18">
        <v>4.63</v>
      </c>
      <c r="G301" s="18">
        <v>3.7118000000000002</v>
      </c>
      <c r="H301" s="18">
        <v>3.4016999999999999</v>
      </c>
      <c r="I301" s="8">
        <v>-5.8035714285714413E-2</v>
      </c>
      <c r="J301" s="8">
        <v>0.37908496732026142</v>
      </c>
      <c r="K301" s="8">
        <v>0.70850202429149767</v>
      </c>
      <c r="L301" s="8">
        <v>-8.8552915766738738E-2</v>
      </c>
      <c r="M301" s="18">
        <v>0.94099836155930594</v>
      </c>
    </row>
    <row r="302" spans="1:13" x14ac:dyDescent="0.45">
      <c r="A302" t="s">
        <v>593</v>
      </c>
      <c r="B302" s="18">
        <v>6.74</v>
      </c>
      <c r="C302" s="18">
        <v>7.81</v>
      </c>
      <c r="D302" s="18">
        <v>8.51</v>
      </c>
      <c r="E302" s="18">
        <v>3.95</v>
      </c>
      <c r="F302" s="18">
        <v>6.38</v>
      </c>
      <c r="G302" s="18">
        <v>7.6227999999999998</v>
      </c>
      <c r="H302" s="18">
        <v>6.3971</v>
      </c>
      <c r="I302" s="8">
        <v>-0.13700384122919329</v>
      </c>
      <c r="J302" s="8">
        <v>-0.20799059929494709</v>
      </c>
      <c r="K302" s="8">
        <v>0.70632911392405062</v>
      </c>
      <c r="L302" s="8">
        <v>5.6426332288401333E-2</v>
      </c>
      <c r="M302" s="18">
        <v>0.41776100568831148</v>
      </c>
    </row>
    <row r="303" spans="1:13" x14ac:dyDescent="0.45">
      <c r="A303" t="s">
        <v>2530</v>
      </c>
      <c r="B303" s="18">
        <v>19.77</v>
      </c>
      <c r="C303" s="18">
        <v>18.7</v>
      </c>
      <c r="D303" s="18">
        <v>14.94</v>
      </c>
      <c r="E303" s="18">
        <v>11.63</v>
      </c>
      <c r="F303" s="18">
        <v>31.04</v>
      </c>
      <c r="G303" s="18">
        <v>19.239599999999999</v>
      </c>
      <c r="H303" s="18">
        <v>16.558949999999999</v>
      </c>
      <c r="I303" s="8">
        <v>5.7219251336898307E-2</v>
      </c>
      <c r="J303" s="8">
        <v>0.32329317269076308</v>
      </c>
      <c r="K303" s="8">
        <v>0.69991401547721388</v>
      </c>
      <c r="L303" s="8">
        <v>-0.36307989690721648</v>
      </c>
      <c r="M303" s="18">
        <v>0.71734654259765873</v>
      </c>
    </row>
    <row r="304" spans="1:13" x14ac:dyDescent="0.45">
      <c r="A304" t="s">
        <v>1895</v>
      </c>
      <c r="B304" s="18">
        <v>134.58000000000001</v>
      </c>
      <c r="C304" s="18">
        <v>135.97999999999999</v>
      </c>
      <c r="D304" s="18">
        <v>126.62</v>
      </c>
      <c r="E304" s="18">
        <v>79.17</v>
      </c>
      <c r="F304" s="18">
        <v>100.7</v>
      </c>
      <c r="G304" s="18">
        <v>135.57140000000001</v>
      </c>
      <c r="H304" s="18">
        <v>110.30119999999999</v>
      </c>
      <c r="I304" s="8">
        <v>-1.029563171054548E-2</v>
      </c>
      <c r="J304" s="8">
        <v>6.2865266150687216E-2</v>
      </c>
      <c r="K304" s="8">
        <v>0.69988632057597577</v>
      </c>
      <c r="L304" s="8">
        <v>0.33644488579940418</v>
      </c>
      <c r="M304" s="18">
        <v>1.0889008408155221</v>
      </c>
    </row>
    <row r="305" spans="1:13" x14ac:dyDescent="0.45">
      <c r="A305" t="s">
        <v>35</v>
      </c>
      <c r="B305" s="18">
        <v>281.05</v>
      </c>
      <c r="C305" s="18">
        <v>256.52999999999997</v>
      </c>
      <c r="D305" s="18">
        <v>238.24</v>
      </c>
      <c r="E305" s="18">
        <v>165.75</v>
      </c>
      <c r="F305" s="18">
        <v>144.86000000000001</v>
      </c>
      <c r="G305" s="18">
        <v>257.60840000000002</v>
      </c>
      <c r="H305" s="18">
        <v>213.89257499999999</v>
      </c>
      <c r="I305" s="8">
        <v>9.558336256968003E-2</v>
      </c>
      <c r="J305" s="8">
        <v>0.1796927468099396</v>
      </c>
      <c r="K305" s="8">
        <v>0.69562594268476619</v>
      </c>
      <c r="L305" s="8">
        <v>0.94014910948501984</v>
      </c>
      <c r="M305" s="18">
        <v>1.9110511615494059</v>
      </c>
    </row>
    <row r="306" spans="1:13" x14ac:dyDescent="0.45">
      <c r="A306" t="s">
        <v>969</v>
      </c>
      <c r="B306" s="18">
        <v>21.15</v>
      </c>
      <c r="C306" s="18">
        <v>21.34</v>
      </c>
      <c r="D306" s="18">
        <v>19.739999999999998</v>
      </c>
      <c r="E306" s="18">
        <v>12.48</v>
      </c>
      <c r="F306" s="18">
        <v>42.28</v>
      </c>
      <c r="G306" s="18">
        <v>20.551200000000001</v>
      </c>
      <c r="H306" s="18">
        <v>19.642199999999999</v>
      </c>
      <c r="I306" s="8">
        <v>-8.9034676663543033E-3</v>
      </c>
      <c r="J306" s="8">
        <v>7.1428571428571397E-2</v>
      </c>
      <c r="K306" s="8">
        <v>0.69471153846153832</v>
      </c>
      <c r="L306" s="8">
        <v>-0.49976348155156097</v>
      </c>
      <c r="M306" s="18">
        <v>0.25747316067219439</v>
      </c>
    </row>
    <row r="307" spans="1:13" x14ac:dyDescent="0.45">
      <c r="A307" t="s">
        <v>768</v>
      </c>
      <c r="B307" s="18">
        <v>57.23</v>
      </c>
      <c r="C307" s="18">
        <v>59.04</v>
      </c>
      <c r="D307" s="18">
        <v>47.11</v>
      </c>
      <c r="E307" s="18">
        <v>33.770000000000003</v>
      </c>
      <c r="F307" s="18">
        <v>43.4</v>
      </c>
      <c r="G307" s="18">
        <v>56.869599999999998</v>
      </c>
      <c r="H307" s="18">
        <v>46.326000000000001</v>
      </c>
      <c r="I307" s="8">
        <v>-3.0657181571815739E-2</v>
      </c>
      <c r="J307" s="8">
        <v>0.2148163871789428</v>
      </c>
      <c r="K307" s="8">
        <v>0.69469943737044693</v>
      </c>
      <c r="L307" s="8">
        <v>0.318663594470046</v>
      </c>
      <c r="M307" s="18">
        <v>1.19752223744762</v>
      </c>
    </row>
    <row r="308" spans="1:13" x14ac:dyDescent="0.45">
      <c r="A308" t="s">
        <v>551</v>
      </c>
      <c r="B308" s="18">
        <v>169.57</v>
      </c>
      <c r="C308" s="18">
        <v>152.75</v>
      </c>
      <c r="D308" s="18">
        <v>118.15</v>
      </c>
      <c r="E308" s="18">
        <v>100.13</v>
      </c>
      <c r="F308" s="18">
        <v>78.819999999999993</v>
      </c>
      <c r="G308" s="18">
        <v>147.6</v>
      </c>
      <c r="H308" s="18">
        <v>116.8312</v>
      </c>
      <c r="I308" s="8">
        <v>0.1101145662847791</v>
      </c>
      <c r="J308" s="8">
        <v>0.43520947947524319</v>
      </c>
      <c r="K308" s="8">
        <v>0.69349845201238391</v>
      </c>
      <c r="L308" s="8">
        <v>1.1513575234711999</v>
      </c>
      <c r="M308" s="18">
        <v>2.390180021243606</v>
      </c>
    </row>
    <row r="309" spans="1:13" x14ac:dyDescent="0.45">
      <c r="A309" t="s">
        <v>866</v>
      </c>
      <c r="B309" s="18">
        <v>4.33</v>
      </c>
      <c r="C309" s="18">
        <v>4.41</v>
      </c>
      <c r="D309" s="18">
        <v>3.04</v>
      </c>
      <c r="E309" s="18">
        <v>2.56</v>
      </c>
      <c r="F309" s="18">
        <v>4.97</v>
      </c>
      <c r="G309" s="18">
        <v>3.844199999999999</v>
      </c>
      <c r="H309" s="18">
        <v>3.2436500000000001</v>
      </c>
      <c r="I309" s="8">
        <v>-1.8140589569160981E-2</v>
      </c>
      <c r="J309" s="8">
        <v>0.42434210526315802</v>
      </c>
      <c r="K309" s="8">
        <v>0.69140625</v>
      </c>
      <c r="L309" s="8">
        <v>-0.12877263581488929</v>
      </c>
      <c r="M309" s="18">
        <v>0.9688351298791078</v>
      </c>
    </row>
    <row r="310" spans="1:13" x14ac:dyDescent="0.45">
      <c r="A310" t="s">
        <v>47</v>
      </c>
      <c r="B310" s="18">
        <v>244.62</v>
      </c>
      <c r="C310" s="18">
        <v>239.63</v>
      </c>
      <c r="D310" s="18">
        <v>177.62</v>
      </c>
      <c r="E310" s="18">
        <v>144.69999999999999</v>
      </c>
      <c r="F310" s="18">
        <v>167.06</v>
      </c>
      <c r="G310" s="18">
        <v>224.04519999999999</v>
      </c>
      <c r="H310" s="18">
        <v>187.26095000000001</v>
      </c>
      <c r="I310" s="8">
        <v>2.0823769978717269E-2</v>
      </c>
      <c r="J310" s="8">
        <v>0.37720977367413577</v>
      </c>
      <c r="K310" s="8">
        <v>0.69053213545266079</v>
      </c>
      <c r="L310" s="8">
        <v>0.46426433616664681</v>
      </c>
      <c r="M310" s="18">
        <v>1.552830015272161</v>
      </c>
    </row>
    <row r="311" spans="1:13" x14ac:dyDescent="0.45">
      <c r="A311" t="s">
        <v>602</v>
      </c>
      <c r="B311" s="18">
        <v>242.13</v>
      </c>
      <c r="C311" s="18">
        <v>231.96</v>
      </c>
      <c r="D311" s="18">
        <v>206.96</v>
      </c>
      <c r="E311" s="18">
        <v>143.35</v>
      </c>
      <c r="F311" s="18">
        <v>181.18</v>
      </c>
      <c r="G311" s="18">
        <v>228.34440000000001</v>
      </c>
      <c r="H311" s="18">
        <v>191.20445000000001</v>
      </c>
      <c r="I311" s="8">
        <v>4.3843766166580478E-2</v>
      </c>
      <c r="J311" s="8">
        <v>0.16993621955933499</v>
      </c>
      <c r="K311" s="8">
        <v>0.68908266480641789</v>
      </c>
      <c r="L311" s="8">
        <v>0.33640578430290308</v>
      </c>
      <c r="M311" s="18">
        <v>1.239268434835237</v>
      </c>
    </row>
    <row r="312" spans="1:13" x14ac:dyDescent="0.45">
      <c r="A312" t="s">
        <v>1967</v>
      </c>
      <c r="B312" s="18">
        <v>20.61</v>
      </c>
      <c r="C312" s="18">
        <v>18.95</v>
      </c>
      <c r="D312" s="18">
        <v>15.33</v>
      </c>
      <c r="E312" s="18">
        <v>12.21</v>
      </c>
      <c r="F312" s="18">
        <v>13.26</v>
      </c>
      <c r="G312" s="18">
        <v>18.870999999999999</v>
      </c>
      <c r="H312" s="18">
        <v>15.3977</v>
      </c>
      <c r="I312" s="8">
        <v>8.7598944591029015E-2</v>
      </c>
      <c r="J312" s="8">
        <v>0.34442270058708407</v>
      </c>
      <c r="K312" s="8">
        <v>0.68796068796068788</v>
      </c>
      <c r="L312" s="8">
        <v>0.55429864253393668</v>
      </c>
      <c r="M312" s="18">
        <v>1.6742809756727379</v>
      </c>
    </row>
    <row r="313" spans="1:13" x14ac:dyDescent="0.45">
      <c r="A313" t="s">
        <v>2461</v>
      </c>
      <c r="B313" s="18">
        <v>224.25</v>
      </c>
      <c r="C313" s="18">
        <v>212.64</v>
      </c>
      <c r="D313" s="18">
        <v>201.26</v>
      </c>
      <c r="E313" s="18">
        <v>132.86000000000001</v>
      </c>
      <c r="F313" s="18">
        <v>164.81</v>
      </c>
      <c r="G313" s="18">
        <v>213.75319999999999</v>
      </c>
      <c r="H313" s="18">
        <v>185.64570000000001</v>
      </c>
      <c r="I313" s="8">
        <v>5.4599322799097072E-2</v>
      </c>
      <c r="J313" s="8">
        <v>0.114230348802544</v>
      </c>
      <c r="K313" s="8">
        <v>0.68786692759295476</v>
      </c>
      <c r="L313" s="8">
        <v>0.36065772707966742</v>
      </c>
      <c r="M313" s="18">
        <v>1.217354326274263</v>
      </c>
    </row>
    <row r="314" spans="1:13" x14ac:dyDescent="0.45">
      <c r="A314" t="s">
        <v>748</v>
      </c>
      <c r="B314" s="18">
        <v>343.61</v>
      </c>
      <c r="C314" s="18">
        <v>311.97000000000003</v>
      </c>
      <c r="D314" s="18">
        <v>298.67</v>
      </c>
      <c r="E314" s="18">
        <v>203.6</v>
      </c>
      <c r="F314" s="18">
        <v>169.94</v>
      </c>
      <c r="G314" s="18">
        <v>309.66219999999998</v>
      </c>
      <c r="H314" s="18">
        <v>261.56889999999999</v>
      </c>
      <c r="I314" s="8">
        <v>0.1014200083341346</v>
      </c>
      <c r="J314" s="8">
        <v>0.15046707068001461</v>
      </c>
      <c r="K314" s="8">
        <v>0.68767190569744607</v>
      </c>
      <c r="L314" s="8">
        <v>1.021948923149347</v>
      </c>
      <c r="M314" s="18">
        <v>1.9615079078609421</v>
      </c>
    </row>
    <row r="315" spans="1:13" x14ac:dyDescent="0.45">
      <c r="A315" t="s">
        <v>8</v>
      </c>
      <c r="B315" s="18">
        <v>217.51</v>
      </c>
      <c r="C315" s="18">
        <v>163.5</v>
      </c>
      <c r="D315" s="18">
        <v>198.03</v>
      </c>
      <c r="E315" s="18">
        <v>128.96</v>
      </c>
      <c r="F315" s="18">
        <v>201.97</v>
      </c>
      <c r="G315" s="18">
        <v>181.76910000000001</v>
      </c>
      <c r="H315" s="18">
        <v>170.79624999999999</v>
      </c>
      <c r="I315" s="8">
        <v>0.33033639143730881</v>
      </c>
      <c r="J315" s="8">
        <v>9.8368933999898989E-2</v>
      </c>
      <c r="K315" s="8">
        <v>0.68664702233250607</v>
      </c>
      <c r="L315" s="8">
        <v>7.6942120116848978E-2</v>
      </c>
      <c r="M315" s="18">
        <v>1.192294467886563</v>
      </c>
    </row>
    <row r="316" spans="1:13" x14ac:dyDescent="0.45">
      <c r="A316" t="s">
        <v>2296</v>
      </c>
      <c r="B316" s="18">
        <v>30.92</v>
      </c>
      <c r="C316" s="18">
        <v>28.58</v>
      </c>
      <c r="D316" s="18">
        <v>23.28</v>
      </c>
      <c r="E316" s="18">
        <v>18.350000000000001</v>
      </c>
      <c r="F316" s="18">
        <v>16.09</v>
      </c>
      <c r="G316" s="18">
        <v>27.2502</v>
      </c>
      <c r="H316" s="18">
        <v>21.696400000000001</v>
      </c>
      <c r="I316" s="8">
        <v>8.187543736878955E-2</v>
      </c>
      <c r="J316" s="8">
        <v>0.32817869415807549</v>
      </c>
      <c r="K316" s="8">
        <v>0.68501362397820165</v>
      </c>
      <c r="L316" s="8">
        <v>0.92169049098819156</v>
      </c>
      <c r="M316" s="18">
        <v>2.0167582464932581</v>
      </c>
    </row>
    <row r="317" spans="1:13" x14ac:dyDescent="0.45">
      <c r="A317" t="s">
        <v>1262</v>
      </c>
      <c r="B317" s="18">
        <v>22.25</v>
      </c>
      <c r="C317" s="18">
        <v>22.49</v>
      </c>
      <c r="D317" s="18">
        <v>18.45</v>
      </c>
      <c r="E317" s="18">
        <v>13.22</v>
      </c>
      <c r="F317" s="18">
        <v>24.51</v>
      </c>
      <c r="G317" s="18">
        <v>21.316600000000001</v>
      </c>
      <c r="H317" s="18">
        <v>17.932649999999999</v>
      </c>
      <c r="I317" s="8">
        <v>-1.0671409515340071E-2</v>
      </c>
      <c r="J317" s="8">
        <v>0.20596205962059619</v>
      </c>
      <c r="K317" s="8">
        <v>0.68305597579425115</v>
      </c>
      <c r="L317" s="8">
        <v>-9.2207262341901353E-2</v>
      </c>
      <c r="M317" s="18">
        <v>0.78613936355760594</v>
      </c>
    </row>
    <row r="318" spans="1:13" x14ac:dyDescent="0.45">
      <c r="A318" t="s">
        <v>2293</v>
      </c>
      <c r="B318" s="18">
        <v>54.2</v>
      </c>
      <c r="C318" s="18">
        <v>51.2</v>
      </c>
      <c r="D318" s="18">
        <v>53.4</v>
      </c>
      <c r="E318" s="18">
        <v>32.21</v>
      </c>
      <c r="F318" s="18">
        <v>51.51</v>
      </c>
      <c r="G318" s="18">
        <v>51.293799999999997</v>
      </c>
      <c r="H318" s="18">
        <v>45.761049999999997</v>
      </c>
      <c r="I318" s="8">
        <v>5.859375E-2</v>
      </c>
      <c r="J318" s="8">
        <v>1.498127340823974E-2</v>
      </c>
      <c r="K318" s="8">
        <v>0.68270723377832976</v>
      </c>
      <c r="L318" s="8">
        <v>5.222286934575826E-2</v>
      </c>
      <c r="M318" s="18">
        <v>0.80850512653232776</v>
      </c>
    </row>
    <row r="319" spans="1:13" x14ac:dyDescent="0.45">
      <c r="A319" t="s">
        <v>880</v>
      </c>
      <c r="B319" s="18">
        <v>1.43</v>
      </c>
      <c r="C319" s="18">
        <v>1.34</v>
      </c>
      <c r="D319" s="18">
        <v>1.25</v>
      </c>
      <c r="E319" s="18">
        <v>0.85</v>
      </c>
      <c r="F319" s="18">
        <v>1.61</v>
      </c>
      <c r="G319" s="18">
        <v>1.2984</v>
      </c>
      <c r="H319" s="18">
        <v>1.2292974999999999</v>
      </c>
      <c r="I319" s="8">
        <v>6.7164179104477473E-2</v>
      </c>
      <c r="J319" s="8">
        <v>0.14399999999999991</v>
      </c>
      <c r="K319" s="8">
        <v>0.68235294117647061</v>
      </c>
      <c r="L319" s="8">
        <v>-0.1118012422360249</v>
      </c>
      <c r="M319" s="18">
        <v>0.78171587804492304</v>
      </c>
    </row>
    <row r="320" spans="1:13" x14ac:dyDescent="0.45">
      <c r="A320" t="s">
        <v>2422</v>
      </c>
      <c r="B320" s="18">
        <v>59.7</v>
      </c>
      <c r="C320" s="18">
        <v>63.66</v>
      </c>
      <c r="D320" s="18">
        <v>56.62</v>
      </c>
      <c r="E320" s="18">
        <v>35.51</v>
      </c>
      <c r="F320" s="18">
        <v>37.03</v>
      </c>
      <c r="G320" s="18">
        <v>60.7836</v>
      </c>
      <c r="H320" s="18">
        <v>50.198549999999997</v>
      </c>
      <c r="I320" s="8">
        <v>-6.220546654099901E-2</v>
      </c>
      <c r="J320" s="8">
        <v>5.4397739314729909E-2</v>
      </c>
      <c r="K320" s="8">
        <v>0.68121655871585496</v>
      </c>
      <c r="L320" s="8">
        <v>0.61220631920064816</v>
      </c>
      <c r="M320" s="18">
        <v>1.285615150690234</v>
      </c>
    </row>
    <row r="321" spans="1:13" x14ac:dyDescent="0.45">
      <c r="A321" t="s">
        <v>274</v>
      </c>
      <c r="B321" s="18">
        <v>171.33</v>
      </c>
      <c r="C321" s="18">
        <v>181.8</v>
      </c>
      <c r="D321" s="18">
        <v>151.99</v>
      </c>
      <c r="E321" s="18">
        <v>101.92</v>
      </c>
      <c r="F321" s="18">
        <v>160.18</v>
      </c>
      <c r="G321" s="18">
        <v>184.04640000000001</v>
      </c>
      <c r="H321" s="18">
        <v>148.1671</v>
      </c>
      <c r="I321" s="8">
        <v>-5.7590759075907598E-2</v>
      </c>
      <c r="J321" s="8">
        <v>0.1272452135008881</v>
      </c>
      <c r="K321" s="8">
        <v>0.68102433281004715</v>
      </c>
      <c r="L321" s="8">
        <v>6.9609189661630655E-2</v>
      </c>
      <c r="M321" s="18">
        <v>0.82028797689665833</v>
      </c>
    </row>
    <row r="322" spans="1:13" x14ac:dyDescent="0.45">
      <c r="A322" t="s">
        <v>282</v>
      </c>
      <c r="B322" s="18">
        <v>776.51</v>
      </c>
      <c r="C322" s="18">
        <v>763.92</v>
      </c>
      <c r="D322" s="18">
        <v>709.12</v>
      </c>
      <c r="E322" s="18">
        <v>462.22</v>
      </c>
      <c r="F322" s="18">
        <v>495.16</v>
      </c>
      <c r="G322" s="18">
        <v>758.21820000000002</v>
      </c>
      <c r="H322" s="18">
        <v>643.75149999999996</v>
      </c>
      <c r="I322" s="8">
        <v>1.6480783328097329E-2</v>
      </c>
      <c r="J322" s="8">
        <v>9.5033280685920651E-2</v>
      </c>
      <c r="K322" s="8">
        <v>0.6799575959499804</v>
      </c>
      <c r="L322" s="8">
        <v>0.56820017772033271</v>
      </c>
      <c r="M322" s="18">
        <v>1.3596718376843311</v>
      </c>
    </row>
    <row r="323" spans="1:13" x14ac:dyDescent="0.45">
      <c r="A323" t="s">
        <v>1765</v>
      </c>
      <c r="B323" s="18">
        <v>873.09</v>
      </c>
      <c r="C323" s="18">
        <v>823.98</v>
      </c>
      <c r="D323" s="18">
        <v>734.58</v>
      </c>
      <c r="E323" s="18">
        <v>519.95000000000005</v>
      </c>
      <c r="F323" s="18">
        <v>529.29</v>
      </c>
      <c r="G323" s="18">
        <v>798.99199999999996</v>
      </c>
      <c r="H323" s="18">
        <v>643.62395000000004</v>
      </c>
      <c r="I323" s="8">
        <v>5.9600961188378321E-2</v>
      </c>
      <c r="J323" s="8">
        <v>0.18855672629257539</v>
      </c>
      <c r="K323" s="8">
        <v>0.67918069045100471</v>
      </c>
      <c r="L323" s="8">
        <v>0.64954939636116316</v>
      </c>
      <c r="M323" s="18">
        <v>1.576887774293122</v>
      </c>
    </row>
    <row r="324" spans="1:13" x14ac:dyDescent="0.45">
      <c r="A324" t="s">
        <v>2304</v>
      </c>
      <c r="B324" s="18">
        <v>200.48</v>
      </c>
      <c r="C324" s="18">
        <v>196.39</v>
      </c>
      <c r="D324" s="18">
        <v>173.66</v>
      </c>
      <c r="E324" s="18">
        <v>119.51</v>
      </c>
      <c r="F324" s="18">
        <v>156.57</v>
      </c>
      <c r="G324" s="18">
        <v>184.066</v>
      </c>
      <c r="H324" s="18">
        <v>154.11920000000001</v>
      </c>
      <c r="I324" s="8">
        <v>2.0825907632771479E-2</v>
      </c>
      <c r="J324" s="8">
        <v>0.15443970977772661</v>
      </c>
      <c r="K324" s="8">
        <v>0.67751652581373922</v>
      </c>
      <c r="L324" s="8">
        <v>0.28044963913904319</v>
      </c>
      <c r="M324" s="18">
        <v>1.13323178236328</v>
      </c>
    </row>
    <row r="325" spans="1:13" x14ac:dyDescent="0.45">
      <c r="A325" t="s">
        <v>46</v>
      </c>
      <c r="B325" s="18">
        <v>245.46</v>
      </c>
      <c r="C325" s="18">
        <v>239.94</v>
      </c>
      <c r="D325" s="18">
        <v>178.7</v>
      </c>
      <c r="E325" s="18">
        <v>146.58000000000001</v>
      </c>
      <c r="F325" s="18">
        <v>168.56</v>
      </c>
      <c r="G325" s="18">
        <v>224.70519999999999</v>
      </c>
      <c r="H325" s="18">
        <v>188.59275</v>
      </c>
      <c r="I325" s="8">
        <v>2.3005751437859431E-2</v>
      </c>
      <c r="J325" s="8">
        <v>0.37358701734750999</v>
      </c>
      <c r="K325" s="8">
        <v>0.67458043389275479</v>
      </c>
      <c r="L325" s="8">
        <v>0.45621737066919787</v>
      </c>
      <c r="M325" s="18">
        <v>1.5273905733473221</v>
      </c>
    </row>
    <row r="326" spans="1:13" x14ac:dyDescent="0.45">
      <c r="A326" t="s">
        <v>1026</v>
      </c>
      <c r="B326" s="18">
        <v>10.95</v>
      </c>
      <c r="C326" s="18">
        <v>8.98</v>
      </c>
      <c r="D326" s="18">
        <v>8.82</v>
      </c>
      <c r="E326" s="18">
        <v>6.54</v>
      </c>
      <c r="F326" s="18">
        <v>5.48</v>
      </c>
      <c r="G326" s="18">
        <v>9.1326000000000001</v>
      </c>
      <c r="H326" s="18">
        <v>8.5559000000000012</v>
      </c>
      <c r="I326" s="8">
        <v>0.21937639198218251</v>
      </c>
      <c r="J326" s="8">
        <v>0.24149659863945569</v>
      </c>
      <c r="K326" s="8">
        <v>0.67431192660550443</v>
      </c>
      <c r="L326" s="8">
        <v>0.99817518248175152</v>
      </c>
      <c r="M326" s="18">
        <v>2.1333600997088942</v>
      </c>
    </row>
    <row r="327" spans="1:13" x14ac:dyDescent="0.45">
      <c r="A327" t="s">
        <v>296</v>
      </c>
      <c r="B327" s="18">
        <v>191.65</v>
      </c>
      <c r="C327" s="18">
        <v>178.98</v>
      </c>
      <c r="D327" s="18">
        <v>178.53</v>
      </c>
      <c r="E327" s="18">
        <v>114.62</v>
      </c>
      <c r="F327" s="18">
        <v>102.03</v>
      </c>
      <c r="G327" s="18">
        <v>182.75479999999999</v>
      </c>
      <c r="H327" s="18">
        <v>154.2987</v>
      </c>
      <c r="I327" s="8">
        <v>7.0790032405855463E-2</v>
      </c>
      <c r="J327" s="8">
        <v>7.3489049459474654E-2</v>
      </c>
      <c r="K327" s="8">
        <v>0.67204676321758861</v>
      </c>
      <c r="L327" s="8">
        <v>0.87836910712535543</v>
      </c>
      <c r="M327" s="18">
        <v>1.6946949522082739</v>
      </c>
    </row>
    <row r="328" spans="1:13" x14ac:dyDescent="0.45">
      <c r="A328" t="s">
        <v>1005</v>
      </c>
      <c r="B328" s="18">
        <v>17.690000000000001</v>
      </c>
      <c r="C328" s="18">
        <v>16.29</v>
      </c>
      <c r="D328" s="18">
        <v>14.37</v>
      </c>
      <c r="E328" s="18">
        <v>10.58</v>
      </c>
      <c r="F328" s="18">
        <v>18.27</v>
      </c>
      <c r="G328" s="18">
        <v>16.302199999999999</v>
      </c>
      <c r="H328" s="18">
        <v>14.44575</v>
      </c>
      <c r="I328" s="8">
        <v>8.5942295887047493E-2</v>
      </c>
      <c r="J328" s="8">
        <v>0.23103688239387621</v>
      </c>
      <c r="K328" s="8">
        <v>0.67202268431001899</v>
      </c>
      <c r="L328" s="8">
        <v>-3.1746031746031633E-2</v>
      </c>
      <c r="M328" s="18">
        <v>0.95725583084491106</v>
      </c>
    </row>
    <row r="329" spans="1:13" x14ac:dyDescent="0.45">
      <c r="A329" t="s">
        <v>1507</v>
      </c>
      <c r="B329" s="18">
        <v>24.15</v>
      </c>
      <c r="C329" s="18">
        <v>24.48</v>
      </c>
      <c r="D329" s="18">
        <v>24.35</v>
      </c>
      <c r="E329" s="18">
        <v>14.45</v>
      </c>
      <c r="F329" s="18">
        <v>29.94</v>
      </c>
      <c r="G329" s="18">
        <v>23.6784</v>
      </c>
      <c r="H329" s="18">
        <v>21.6051</v>
      </c>
      <c r="I329" s="8">
        <v>-1.348039215686281E-2</v>
      </c>
      <c r="J329" s="8">
        <v>-8.2135523613964256E-3</v>
      </c>
      <c r="K329" s="8">
        <v>0.67128027681660907</v>
      </c>
      <c r="L329" s="8">
        <v>-0.19338677354709419</v>
      </c>
      <c r="M329" s="18">
        <v>0.45619955875125562</v>
      </c>
    </row>
    <row r="330" spans="1:13" x14ac:dyDescent="0.45">
      <c r="A330" t="s">
        <v>2439</v>
      </c>
      <c r="B330" s="18">
        <v>32.03</v>
      </c>
      <c r="C330" s="18">
        <v>29.73</v>
      </c>
      <c r="D330" s="18">
        <v>28.86</v>
      </c>
      <c r="E330" s="18">
        <v>19.2</v>
      </c>
      <c r="F330" s="18">
        <v>25.01</v>
      </c>
      <c r="G330" s="18">
        <v>29.641200000000001</v>
      </c>
      <c r="H330" s="18">
        <v>25.799199999999999</v>
      </c>
      <c r="I330" s="8">
        <v>7.736293306424491E-2</v>
      </c>
      <c r="J330" s="8">
        <v>0.10984060984060991</v>
      </c>
      <c r="K330" s="8">
        <v>0.66822916666666687</v>
      </c>
      <c r="L330" s="8">
        <v>0.28068772491003591</v>
      </c>
      <c r="M330" s="18">
        <v>1.1361204344815581</v>
      </c>
    </row>
    <row r="331" spans="1:13" x14ac:dyDescent="0.45">
      <c r="A331" t="s">
        <v>2417</v>
      </c>
      <c r="B331" s="18">
        <v>13.03</v>
      </c>
      <c r="C331" s="18">
        <v>13.29</v>
      </c>
      <c r="D331" s="18">
        <v>16.86</v>
      </c>
      <c r="E331" s="18">
        <v>7.82</v>
      </c>
      <c r="F331" s="18">
        <v>20.36</v>
      </c>
      <c r="G331" s="18">
        <v>13.593</v>
      </c>
      <c r="H331" s="18">
        <v>13.996499999999999</v>
      </c>
      <c r="I331" s="8">
        <v>-1.956358164033101E-2</v>
      </c>
      <c r="J331" s="8">
        <v>-0.22716488730723611</v>
      </c>
      <c r="K331" s="8">
        <v>0.66624040920716099</v>
      </c>
      <c r="L331" s="8">
        <v>-0.36001964636542239</v>
      </c>
      <c r="M331" s="18">
        <v>5.9492293894171537E-2</v>
      </c>
    </row>
    <row r="332" spans="1:13" x14ac:dyDescent="0.45">
      <c r="A332" t="s">
        <v>1289</v>
      </c>
      <c r="B332" s="18">
        <v>28.58</v>
      </c>
      <c r="C332" s="18">
        <v>31.68</v>
      </c>
      <c r="D332" s="18">
        <v>24.1</v>
      </c>
      <c r="E332" s="18">
        <v>17.2</v>
      </c>
      <c r="F332" s="18">
        <v>28.2</v>
      </c>
      <c r="G332" s="18">
        <v>29.401199999999999</v>
      </c>
      <c r="H332" s="18">
        <v>28.270050000000001</v>
      </c>
      <c r="I332" s="8">
        <v>-9.7853535353535359E-2</v>
      </c>
      <c r="J332" s="8">
        <v>0.1858921161825724</v>
      </c>
      <c r="K332" s="8">
        <v>0.66162790697674412</v>
      </c>
      <c r="L332" s="8">
        <v>1.347517730496461E-2</v>
      </c>
      <c r="M332" s="18">
        <v>0.76314166511074577</v>
      </c>
    </row>
    <row r="333" spans="1:13" x14ac:dyDescent="0.45">
      <c r="A333" t="s">
        <v>2540</v>
      </c>
      <c r="B333" s="18">
        <v>47.33</v>
      </c>
      <c r="C333" s="18">
        <v>45.9</v>
      </c>
      <c r="D333" s="18">
        <v>38.17</v>
      </c>
      <c r="E333" s="18">
        <v>28.5</v>
      </c>
      <c r="F333" s="18">
        <v>36.380000000000003</v>
      </c>
      <c r="G333" s="18">
        <v>45.9024</v>
      </c>
      <c r="H333" s="18">
        <v>38.2059</v>
      </c>
      <c r="I333" s="8">
        <v>3.115468409586053E-2</v>
      </c>
      <c r="J333" s="8">
        <v>0.23997904113177879</v>
      </c>
      <c r="K333" s="8">
        <v>0.66070175438596479</v>
      </c>
      <c r="L333" s="8">
        <v>0.30098955470038469</v>
      </c>
      <c r="M333" s="18">
        <v>1.232825034313989</v>
      </c>
    </row>
    <row r="334" spans="1:13" x14ac:dyDescent="0.45">
      <c r="A334" t="s">
        <v>1393</v>
      </c>
      <c r="B334" s="18">
        <v>36.65</v>
      </c>
      <c r="C334" s="18">
        <v>36.97</v>
      </c>
      <c r="D334" s="18">
        <v>27.46</v>
      </c>
      <c r="E334" s="18">
        <v>22.08</v>
      </c>
      <c r="F334" s="18">
        <v>17.11</v>
      </c>
      <c r="G334" s="18">
        <v>33.340000000000003</v>
      </c>
      <c r="H334" s="18">
        <v>28.062349999999999</v>
      </c>
      <c r="I334" s="8">
        <v>-8.6556667568298273E-3</v>
      </c>
      <c r="J334" s="8">
        <v>0.33466860888565192</v>
      </c>
      <c r="K334" s="8">
        <v>0.65987318840579712</v>
      </c>
      <c r="L334" s="8">
        <v>1.1420222092343659</v>
      </c>
      <c r="M334" s="18">
        <v>2.1279083397689851</v>
      </c>
    </row>
    <row r="335" spans="1:13" x14ac:dyDescent="0.45">
      <c r="A335" t="s">
        <v>14</v>
      </c>
      <c r="B335" s="18">
        <v>987.81</v>
      </c>
      <c r="C335" s="18">
        <v>805.13</v>
      </c>
      <c r="D335" s="18">
        <v>802.09</v>
      </c>
      <c r="E335" s="18">
        <v>595.37</v>
      </c>
      <c r="F335" s="18">
        <v>833</v>
      </c>
      <c r="G335" s="18">
        <v>822.98940000000005</v>
      </c>
      <c r="H335" s="18">
        <v>751.13160000000005</v>
      </c>
      <c r="I335" s="8">
        <v>0.22689503558431559</v>
      </c>
      <c r="J335" s="8">
        <v>0.23154508845640739</v>
      </c>
      <c r="K335" s="8">
        <v>0.65915313166602263</v>
      </c>
      <c r="L335" s="8">
        <v>0.1858463385354141</v>
      </c>
      <c r="M335" s="18">
        <v>1.3034395942421599</v>
      </c>
    </row>
    <row r="336" spans="1:13" x14ac:dyDescent="0.45">
      <c r="A336" t="s">
        <v>702</v>
      </c>
      <c r="B336" s="18">
        <v>4.76</v>
      </c>
      <c r="C336" s="18">
        <v>3.75</v>
      </c>
      <c r="D336" s="18">
        <v>4.1100000000000003</v>
      </c>
      <c r="E336" s="18">
        <v>2.87</v>
      </c>
      <c r="F336" s="18">
        <v>2.36</v>
      </c>
      <c r="G336" s="18">
        <v>4.0179999999999998</v>
      </c>
      <c r="H336" s="18">
        <v>4.0951500000000003</v>
      </c>
      <c r="I336" s="8">
        <v>0.2693333333333332</v>
      </c>
      <c r="J336" s="8">
        <v>0.15815085158150841</v>
      </c>
      <c r="K336" s="8">
        <v>0.65853658536585358</v>
      </c>
      <c r="L336" s="8">
        <v>1.0169491525423731</v>
      </c>
      <c r="M336" s="18">
        <v>2.102969922823068</v>
      </c>
    </row>
    <row r="337" spans="1:13" x14ac:dyDescent="0.45">
      <c r="A337" t="s">
        <v>1318</v>
      </c>
      <c r="B337" s="18">
        <v>34.94</v>
      </c>
      <c r="C337" s="18">
        <v>37.520000000000003</v>
      </c>
      <c r="D337" s="18">
        <v>28.42</v>
      </c>
      <c r="E337" s="18">
        <v>21.07</v>
      </c>
      <c r="F337" s="18">
        <v>33.01</v>
      </c>
      <c r="G337" s="18">
        <v>36.151600000000002</v>
      </c>
      <c r="H337" s="18">
        <v>27.755600000000001</v>
      </c>
      <c r="I337" s="8">
        <v>-6.8763326226012889E-2</v>
      </c>
      <c r="J337" s="8">
        <v>0.22941590429275149</v>
      </c>
      <c r="K337" s="8">
        <v>0.6582819174181298</v>
      </c>
      <c r="L337" s="8">
        <v>5.84671311723719E-2</v>
      </c>
      <c r="M337" s="18">
        <v>0.87740162665724031</v>
      </c>
    </row>
    <row r="338" spans="1:13" x14ac:dyDescent="0.45">
      <c r="A338" t="s">
        <v>658</v>
      </c>
      <c r="B338" s="18">
        <v>8.31</v>
      </c>
      <c r="C338" s="18">
        <v>6.66</v>
      </c>
      <c r="D338" s="18">
        <v>7</v>
      </c>
      <c r="E338" s="18">
        <v>5.0199999999999996</v>
      </c>
      <c r="F338" s="18">
        <v>26.48</v>
      </c>
      <c r="G338" s="18">
        <v>7.1577999999999999</v>
      </c>
      <c r="H338" s="18">
        <v>7.6522000000000006</v>
      </c>
      <c r="I338" s="8">
        <v>0.24774774774774791</v>
      </c>
      <c r="J338" s="8">
        <v>0.18714285714285731</v>
      </c>
      <c r="K338" s="8">
        <v>0.6553784860557772</v>
      </c>
      <c r="L338" s="8">
        <v>-0.68617824773413894</v>
      </c>
      <c r="M338" s="18">
        <v>0.40409084321224342</v>
      </c>
    </row>
    <row r="339" spans="1:13" x14ac:dyDescent="0.45">
      <c r="A339" t="s">
        <v>1951</v>
      </c>
      <c r="B339" s="18">
        <v>6.52</v>
      </c>
      <c r="C339" s="18">
        <v>7.24</v>
      </c>
      <c r="D339" s="18">
        <v>6.64</v>
      </c>
      <c r="E339" s="18">
        <v>3.94</v>
      </c>
      <c r="F339" s="18">
        <v>4.87</v>
      </c>
      <c r="G339" s="18">
        <v>6.7459999999999987</v>
      </c>
      <c r="H339" s="18">
        <v>5.4877500000000001</v>
      </c>
      <c r="I339" s="8">
        <v>-9.9447513812154775E-2</v>
      </c>
      <c r="J339" s="8">
        <v>-1.8072289156626509E-2</v>
      </c>
      <c r="K339" s="8">
        <v>0.65482233502538056</v>
      </c>
      <c r="L339" s="8">
        <v>0.3388090349075974</v>
      </c>
      <c r="M339" s="18">
        <v>0.87611156696419668</v>
      </c>
    </row>
    <row r="340" spans="1:13" x14ac:dyDescent="0.45">
      <c r="A340" t="s">
        <v>2203</v>
      </c>
      <c r="B340" s="18">
        <v>160.94999999999999</v>
      </c>
      <c r="C340" s="18">
        <v>149.27000000000001</v>
      </c>
      <c r="D340" s="18">
        <v>142.38</v>
      </c>
      <c r="E340" s="18">
        <v>97.28</v>
      </c>
      <c r="F340" s="18">
        <v>117.31</v>
      </c>
      <c r="G340" s="18">
        <v>150.90539999999999</v>
      </c>
      <c r="H340" s="18">
        <v>133.19895</v>
      </c>
      <c r="I340" s="8">
        <v>7.8247471025657989E-2</v>
      </c>
      <c r="J340" s="8">
        <v>0.13042562157606399</v>
      </c>
      <c r="K340" s="8">
        <v>0.65450246710526305</v>
      </c>
      <c r="L340" s="8">
        <v>0.37200579660727978</v>
      </c>
      <c r="M340" s="18">
        <v>1.2351813563142651</v>
      </c>
    </row>
    <row r="341" spans="1:13" x14ac:dyDescent="0.45">
      <c r="A341" t="s">
        <v>151</v>
      </c>
      <c r="B341" s="18">
        <v>81.11</v>
      </c>
      <c r="C341" s="18">
        <v>75.510000000000005</v>
      </c>
      <c r="D341" s="18">
        <v>68.760000000000005</v>
      </c>
      <c r="E341" s="18">
        <v>49.08</v>
      </c>
      <c r="F341" s="18"/>
      <c r="G341" s="18">
        <v>76.100799999999992</v>
      </c>
      <c r="H341" s="18"/>
      <c r="I341" s="8">
        <v>7.416236260097997E-2</v>
      </c>
      <c r="J341" s="8">
        <v>0.1796102385107621</v>
      </c>
      <c r="K341" s="8">
        <v>0.65260798696006517</v>
      </c>
      <c r="L341" s="8"/>
      <c r="M341" s="18">
        <v>0.90638058807180721</v>
      </c>
    </row>
    <row r="342" spans="1:13" x14ac:dyDescent="0.45">
      <c r="A342" t="s">
        <v>626</v>
      </c>
      <c r="B342" s="18">
        <v>35.36</v>
      </c>
      <c r="C342" s="18">
        <v>34.79</v>
      </c>
      <c r="D342" s="18">
        <v>34.6</v>
      </c>
      <c r="E342" s="18">
        <v>21.466699999999999</v>
      </c>
      <c r="F342" s="18">
        <v>21.42</v>
      </c>
      <c r="G342" s="18">
        <v>35.060600000000001</v>
      </c>
      <c r="H342" s="18">
        <v>29.5749645</v>
      </c>
      <c r="I342" s="8">
        <v>1.638401839609083E-2</v>
      </c>
      <c r="J342" s="8">
        <v>2.1965317919075081E-2</v>
      </c>
      <c r="K342" s="8">
        <v>0.64720241117638011</v>
      </c>
      <c r="L342" s="8">
        <v>0.6507936507936507</v>
      </c>
      <c r="M342" s="18">
        <v>1.3363453982851969</v>
      </c>
    </row>
    <row r="343" spans="1:13" x14ac:dyDescent="0.45">
      <c r="A343" t="s">
        <v>975</v>
      </c>
      <c r="B343" s="18">
        <v>53.36</v>
      </c>
      <c r="C343" s="18">
        <v>51.05</v>
      </c>
      <c r="D343" s="18">
        <v>48.24</v>
      </c>
      <c r="E343" s="18">
        <v>32.4</v>
      </c>
      <c r="F343" s="18">
        <v>54.25</v>
      </c>
      <c r="G343" s="18">
        <v>51.1646</v>
      </c>
      <c r="H343" s="18">
        <v>46.563549999999992</v>
      </c>
      <c r="I343" s="8">
        <v>4.5249755142017678E-2</v>
      </c>
      <c r="J343" s="8">
        <v>0.10613598673300161</v>
      </c>
      <c r="K343" s="8">
        <v>0.6469135802469137</v>
      </c>
      <c r="L343" s="8">
        <v>-1.640552995391709E-2</v>
      </c>
      <c r="M343" s="18">
        <v>0.78189379216801591</v>
      </c>
    </row>
    <row r="344" spans="1:13" x14ac:dyDescent="0.45">
      <c r="A344" t="s">
        <v>646</v>
      </c>
      <c r="B344" s="18">
        <v>34.53</v>
      </c>
      <c r="C344" s="18">
        <v>36.71</v>
      </c>
      <c r="D344" s="18">
        <v>38.14</v>
      </c>
      <c r="E344" s="18">
        <v>20.97</v>
      </c>
      <c r="F344" s="18">
        <v>17.21</v>
      </c>
      <c r="G344" s="18">
        <v>37.095999999999997</v>
      </c>
      <c r="H344" s="18">
        <v>32.644750000000002</v>
      </c>
      <c r="I344" s="8">
        <v>-5.938436393353308E-2</v>
      </c>
      <c r="J344" s="8">
        <v>-9.4651284740429942E-2</v>
      </c>
      <c r="K344" s="8">
        <v>0.64663805436337629</v>
      </c>
      <c r="L344" s="8">
        <v>1.006391632771644</v>
      </c>
      <c r="M344" s="18">
        <v>1.4989940384610581</v>
      </c>
    </row>
    <row r="345" spans="1:13" x14ac:dyDescent="0.45">
      <c r="A345" t="s">
        <v>186</v>
      </c>
      <c r="B345" s="18">
        <v>96.7</v>
      </c>
      <c r="C345" s="18">
        <v>97.34</v>
      </c>
      <c r="D345" s="18">
        <v>87.08</v>
      </c>
      <c r="E345" s="18">
        <v>58.77</v>
      </c>
      <c r="F345" s="18">
        <v>62.64</v>
      </c>
      <c r="G345" s="18">
        <v>96.916399999999996</v>
      </c>
      <c r="H345" s="18">
        <v>81.3874</v>
      </c>
      <c r="I345" s="8">
        <v>-6.5748921306759689E-3</v>
      </c>
      <c r="J345" s="8">
        <v>0.1104731281580156</v>
      </c>
      <c r="K345" s="8">
        <v>0.64539731155351365</v>
      </c>
      <c r="L345" s="8">
        <v>0.54374201787994902</v>
      </c>
      <c r="M345" s="18">
        <v>1.293037565460802</v>
      </c>
    </row>
    <row r="346" spans="1:13" x14ac:dyDescent="0.45">
      <c r="A346" t="s">
        <v>518</v>
      </c>
      <c r="B346" s="18">
        <v>37.06</v>
      </c>
      <c r="C346" s="18">
        <v>31.27</v>
      </c>
      <c r="D346" s="18">
        <v>31.57</v>
      </c>
      <c r="E346" s="18">
        <v>22.57</v>
      </c>
      <c r="F346" s="18">
        <v>39.119999999999997</v>
      </c>
      <c r="G346" s="18">
        <v>31.7532</v>
      </c>
      <c r="H346" s="18">
        <v>31.387350000000001</v>
      </c>
      <c r="I346" s="8">
        <v>0.18516149664214909</v>
      </c>
      <c r="J346" s="8">
        <v>0.1738992714602472</v>
      </c>
      <c r="K346" s="8">
        <v>0.64200265839610116</v>
      </c>
      <c r="L346" s="8">
        <v>-5.2658486707566343E-2</v>
      </c>
      <c r="M346" s="18">
        <v>0.9484049397909311</v>
      </c>
    </row>
    <row r="347" spans="1:13" x14ac:dyDescent="0.45">
      <c r="A347" t="s">
        <v>1358</v>
      </c>
      <c r="B347" s="18">
        <v>25.54</v>
      </c>
      <c r="C347" s="18">
        <v>25.17</v>
      </c>
      <c r="D347" s="18">
        <v>24.74</v>
      </c>
      <c r="E347" s="18">
        <v>15.56</v>
      </c>
      <c r="F347" s="18">
        <v>17.510000000000002</v>
      </c>
      <c r="G347" s="18">
        <v>25.061</v>
      </c>
      <c r="H347" s="18">
        <v>21.9725</v>
      </c>
      <c r="I347" s="8">
        <v>1.4700039729836909E-2</v>
      </c>
      <c r="J347" s="8">
        <v>3.2336297493936961E-2</v>
      </c>
      <c r="K347" s="8">
        <v>0.6413881748071979</v>
      </c>
      <c r="L347" s="8">
        <v>0.45859508852084502</v>
      </c>
      <c r="M347" s="18">
        <v>1.147019600551817</v>
      </c>
    </row>
    <row r="348" spans="1:13" x14ac:dyDescent="0.45">
      <c r="A348" t="s">
        <v>2144</v>
      </c>
      <c r="B348" s="18">
        <v>30.97</v>
      </c>
      <c r="C348" s="18">
        <v>31.91</v>
      </c>
      <c r="D348" s="18">
        <v>30.92</v>
      </c>
      <c r="E348" s="18">
        <v>18.87</v>
      </c>
      <c r="F348" s="18">
        <v>40.22</v>
      </c>
      <c r="G348" s="18">
        <v>30.970200000000009</v>
      </c>
      <c r="H348" s="18">
        <v>28.773</v>
      </c>
      <c r="I348" s="8">
        <v>-2.9457850203697959E-2</v>
      </c>
      <c r="J348" s="8">
        <v>1.617076326002387E-3</v>
      </c>
      <c r="K348" s="8">
        <v>0.64122946475887632</v>
      </c>
      <c r="L348" s="8">
        <v>-0.229985082048732</v>
      </c>
      <c r="M348" s="18">
        <v>0.38340360883244867</v>
      </c>
    </row>
    <row r="349" spans="1:13" x14ac:dyDescent="0.45">
      <c r="A349" t="s">
        <v>962</v>
      </c>
      <c r="B349" s="18">
        <v>10.119999999999999</v>
      </c>
      <c r="C349" s="18">
        <v>11.95</v>
      </c>
      <c r="D349" s="18">
        <v>8.35</v>
      </c>
      <c r="E349" s="18">
        <v>6.17</v>
      </c>
      <c r="F349" s="18">
        <v>7.72</v>
      </c>
      <c r="G349" s="18">
        <v>11.487399999999999</v>
      </c>
      <c r="H349" s="18">
        <v>9.04725</v>
      </c>
      <c r="I349" s="8">
        <v>-0.15313807531380749</v>
      </c>
      <c r="J349" s="8">
        <v>0.21197604790419169</v>
      </c>
      <c r="K349" s="8">
        <v>0.64019448946515389</v>
      </c>
      <c r="L349" s="8">
        <v>0.31088082901554398</v>
      </c>
      <c r="M349" s="18">
        <v>1.009913291071082</v>
      </c>
    </row>
    <row r="350" spans="1:13" x14ac:dyDescent="0.45">
      <c r="A350" t="s">
        <v>2531</v>
      </c>
      <c r="B350" s="18">
        <v>10.130000000000001</v>
      </c>
      <c r="C350" s="18">
        <v>9.01</v>
      </c>
      <c r="D350" s="18">
        <v>9.1199999999999992</v>
      </c>
      <c r="E350" s="18">
        <v>6.18</v>
      </c>
      <c r="F350" s="18">
        <v>8.91</v>
      </c>
      <c r="G350" s="18">
        <v>8.7449999999999992</v>
      </c>
      <c r="H350" s="18">
        <v>8.3975000000000009</v>
      </c>
      <c r="I350" s="8">
        <v>0.12430632630410671</v>
      </c>
      <c r="J350" s="8">
        <v>0.11074561403508799</v>
      </c>
      <c r="K350" s="8">
        <v>0.63915857605178017</v>
      </c>
      <c r="L350" s="8">
        <v>0.1369248035914703</v>
      </c>
      <c r="M350" s="18">
        <v>1.0111353199824451</v>
      </c>
    </row>
    <row r="351" spans="1:13" x14ac:dyDescent="0.45">
      <c r="A351" t="s">
        <v>2268</v>
      </c>
      <c r="B351" s="18">
        <v>219.5</v>
      </c>
      <c r="C351" s="18">
        <v>198.88</v>
      </c>
      <c r="D351" s="18">
        <v>166.64</v>
      </c>
      <c r="E351" s="18">
        <v>133.94999999999999</v>
      </c>
      <c r="F351" s="18">
        <v>181.17</v>
      </c>
      <c r="G351" s="18">
        <v>202.726</v>
      </c>
      <c r="H351" s="18">
        <v>175.96805000000001</v>
      </c>
      <c r="I351" s="8">
        <v>0.10368061142397431</v>
      </c>
      <c r="J351" s="8">
        <v>0.31721075372059548</v>
      </c>
      <c r="K351" s="8">
        <v>0.63867114594998142</v>
      </c>
      <c r="L351" s="8">
        <v>0.2115692443561297</v>
      </c>
      <c r="M351" s="18">
        <v>1.2711317554506809</v>
      </c>
    </row>
    <row r="352" spans="1:13" x14ac:dyDescent="0.45">
      <c r="A352" t="s">
        <v>1301</v>
      </c>
      <c r="B352" s="18">
        <v>2.31</v>
      </c>
      <c r="C352" s="18">
        <v>1.87</v>
      </c>
      <c r="D352" s="18">
        <v>1.82</v>
      </c>
      <c r="E352" s="18">
        <v>1.41</v>
      </c>
      <c r="F352" s="18">
        <v>3.69</v>
      </c>
      <c r="G352" s="18">
        <v>1.9146000000000001</v>
      </c>
      <c r="H352" s="18">
        <v>2.0070000000000001</v>
      </c>
      <c r="I352" s="8">
        <v>0.2352941176470589</v>
      </c>
      <c r="J352" s="8">
        <v>0.26923076923076922</v>
      </c>
      <c r="K352" s="8">
        <v>0.63829787234042556</v>
      </c>
      <c r="L352" s="8">
        <v>-0.3739837398373983</v>
      </c>
      <c r="M352" s="18">
        <v>0.7688390193808553</v>
      </c>
    </row>
    <row r="353" spans="1:13" x14ac:dyDescent="0.45">
      <c r="A353" t="s">
        <v>1270</v>
      </c>
      <c r="B353" s="18">
        <v>37.92</v>
      </c>
      <c r="C353" s="18">
        <v>39.65</v>
      </c>
      <c r="D353" s="18">
        <v>35.36</v>
      </c>
      <c r="E353" s="18">
        <v>23.18</v>
      </c>
      <c r="F353" s="18">
        <v>27.38</v>
      </c>
      <c r="G353" s="18">
        <v>37.569599999999987</v>
      </c>
      <c r="H353" s="18">
        <v>32.364750000000001</v>
      </c>
      <c r="I353" s="8">
        <v>-4.3631778058007442E-2</v>
      </c>
      <c r="J353" s="8">
        <v>7.2398190045248834E-2</v>
      </c>
      <c r="K353" s="8">
        <v>0.63589301121656616</v>
      </c>
      <c r="L353" s="8">
        <v>0.38495252008765529</v>
      </c>
      <c r="M353" s="18">
        <v>1.049611943291463</v>
      </c>
    </row>
    <row r="354" spans="1:13" x14ac:dyDescent="0.45">
      <c r="A354" t="s">
        <v>204</v>
      </c>
      <c r="B354" s="18">
        <v>436.35</v>
      </c>
      <c r="C354" s="18">
        <v>394.78</v>
      </c>
      <c r="D354" s="18">
        <v>340.03</v>
      </c>
      <c r="E354" s="18">
        <v>267.12</v>
      </c>
      <c r="F354" s="18">
        <v>331.74</v>
      </c>
      <c r="G354" s="18">
        <v>404.14940000000001</v>
      </c>
      <c r="H354" s="18">
        <v>351.37585000000001</v>
      </c>
      <c r="I354" s="8">
        <v>0.1052991539591672</v>
      </c>
      <c r="J354" s="8">
        <v>0.28326912331264897</v>
      </c>
      <c r="K354" s="8">
        <v>0.63353548966756512</v>
      </c>
      <c r="L354" s="8">
        <v>0.31533731235304763</v>
      </c>
      <c r="M354" s="18">
        <v>1.3374410792924289</v>
      </c>
    </row>
    <row r="355" spans="1:13" x14ac:dyDescent="0.45">
      <c r="A355" t="s">
        <v>1319</v>
      </c>
      <c r="B355" s="18">
        <v>61.52</v>
      </c>
      <c r="C355" s="18">
        <v>54.92</v>
      </c>
      <c r="D355" s="18">
        <v>51.31</v>
      </c>
      <c r="E355" s="18">
        <v>37.68</v>
      </c>
      <c r="F355" s="18">
        <v>46.97</v>
      </c>
      <c r="G355" s="18">
        <v>55.251800000000003</v>
      </c>
      <c r="H355" s="18">
        <v>49.972299999999997</v>
      </c>
      <c r="I355" s="8">
        <v>0.1201747997086671</v>
      </c>
      <c r="J355" s="8">
        <v>0.19898655232898069</v>
      </c>
      <c r="K355" s="8">
        <v>0.63269639065817418</v>
      </c>
      <c r="L355" s="8">
        <v>0.30977219501809672</v>
      </c>
      <c r="M355" s="18">
        <v>1.2616299377139191</v>
      </c>
    </row>
    <row r="356" spans="1:13" x14ac:dyDescent="0.45">
      <c r="A356" t="s">
        <v>1813</v>
      </c>
      <c r="B356" s="18">
        <v>224.08</v>
      </c>
      <c r="C356" s="18">
        <v>216.7</v>
      </c>
      <c r="D356" s="18">
        <v>204.93</v>
      </c>
      <c r="E356" s="18">
        <v>137.27000000000001</v>
      </c>
      <c r="F356" s="18">
        <v>157.85</v>
      </c>
      <c r="G356" s="18">
        <v>222.0874</v>
      </c>
      <c r="H356" s="18">
        <v>189.75219999999999</v>
      </c>
      <c r="I356" s="8">
        <v>3.4056299030918342E-2</v>
      </c>
      <c r="J356" s="8">
        <v>9.3446542721905113E-2</v>
      </c>
      <c r="K356" s="8">
        <v>0.63240329278065133</v>
      </c>
      <c r="L356" s="8">
        <v>0.41957554640481481</v>
      </c>
      <c r="M356" s="18">
        <v>1.17948168093829</v>
      </c>
    </row>
    <row r="357" spans="1:13" x14ac:dyDescent="0.45">
      <c r="A357" t="s">
        <v>1611</v>
      </c>
      <c r="B357" s="18">
        <v>3.99</v>
      </c>
      <c r="C357" s="18">
        <v>3.02</v>
      </c>
      <c r="D357" s="18">
        <v>2.69</v>
      </c>
      <c r="E357" s="18">
        <v>2.4500000000000002</v>
      </c>
      <c r="F357" s="18">
        <v>4.03</v>
      </c>
      <c r="G357" s="18">
        <v>3.182399999999999</v>
      </c>
      <c r="H357" s="18">
        <v>2.8825500000000002</v>
      </c>
      <c r="I357" s="8">
        <v>0.32119205298013243</v>
      </c>
      <c r="J357" s="8">
        <v>0.48327137546468402</v>
      </c>
      <c r="K357" s="8">
        <v>0.62857142857142856</v>
      </c>
      <c r="L357" s="8">
        <v>-9.9255583126550695E-3</v>
      </c>
      <c r="M357" s="18">
        <v>1.42310929870359</v>
      </c>
    </row>
    <row r="358" spans="1:13" x14ac:dyDescent="0.45">
      <c r="A358" t="s">
        <v>1692</v>
      </c>
      <c r="B358" s="18">
        <v>9.07</v>
      </c>
      <c r="C358" s="18">
        <v>9.1300000000000008</v>
      </c>
      <c r="D358" s="18">
        <v>9.1</v>
      </c>
      <c r="E358" s="18">
        <v>5.57</v>
      </c>
      <c r="F358" s="18">
        <v>10.3</v>
      </c>
      <c r="G358" s="18">
        <v>9.3518000000000008</v>
      </c>
      <c r="H358" s="18">
        <v>7.9013999999999998</v>
      </c>
      <c r="I358" s="8">
        <v>-6.5717415115006386E-3</v>
      </c>
      <c r="J358" s="8">
        <v>-3.296703296703174E-3</v>
      </c>
      <c r="K358" s="8">
        <v>0.62836624775583472</v>
      </c>
      <c r="L358" s="8">
        <v>-0.11941747572815541</v>
      </c>
      <c r="M358" s="18">
        <v>0.49908032721947548</v>
      </c>
    </row>
    <row r="359" spans="1:13" x14ac:dyDescent="0.45">
      <c r="A359" t="s">
        <v>1462</v>
      </c>
      <c r="B359" s="18">
        <v>38.68</v>
      </c>
      <c r="C359" s="18">
        <v>38.020000000000003</v>
      </c>
      <c r="D359" s="18">
        <v>39.67</v>
      </c>
      <c r="E359" s="18">
        <v>23.76</v>
      </c>
      <c r="F359" s="18">
        <v>30.2</v>
      </c>
      <c r="G359" s="18">
        <v>37.832599999999999</v>
      </c>
      <c r="H359" s="18">
        <v>33.030450000000002</v>
      </c>
      <c r="I359" s="8">
        <v>1.7359284587059379E-2</v>
      </c>
      <c r="J359" s="8">
        <v>-2.4955886059994992E-2</v>
      </c>
      <c r="K359" s="8">
        <v>0.62794612794612781</v>
      </c>
      <c r="L359" s="8">
        <v>0.28079470198675488</v>
      </c>
      <c r="M359" s="18">
        <v>0.90114422845994713</v>
      </c>
    </row>
    <row r="360" spans="1:13" x14ac:dyDescent="0.45">
      <c r="A360" t="s">
        <v>1973</v>
      </c>
      <c r="B360" s="18">
        <v>21.9</v>
      </c>
      <c r="C360" s="18">
        <v>21.99</v>
      </c>
      <c r="D360" s="18">
        <v>16.12</v>
      </c>
      <c r="E360" s="18">
        <v>13.46</v>
      </c>
      <c r="F360" s="18">
        <v>21.9</v>
      </c>
      <c r="G360" s="18">
        <v>19.834</v>
      </c>
      <c r="H360" s="18">
        <v>17.154</v>
      </c>
      <c r="I360" s="8">
        <v>-4.0927694406548421E-3</v>
      </c>
      <c r="J360" s="8">
        <v>0.3585607940446649</v>
      </c>
      <c r="K360" s="8">
        <v>0.62704309063892993</v>
      </c>
      <c r="L360" s="8">
        <v>0</v>
      </c>
      <c r="M360" s="18">
        <v>0.98151111524293999</v>
      </c>
    </row>
    <row r="361" spans="1:13" x14ac:dyDescent="0.45">
      <c r="A361" t="s">
        <v>1875</v>
      </c>
      <c r="B361" s="18">
        <v>10.26</v>
      </c>
      <c r="C361" s="18">
        <v>10.199999999999999</v>
      </c>
      <c r="D361" s="18">
        <v>8.64</v>
      </c>
      <c r="E361" s="18">
        <v>6.31</v>
      </c>
      <c r="F361" s="18">
        <v>4.9000000000000004</v>
      </c>
      <c r="G361" s="18">
        <v>10.1998</v>
      </c>
      <c r="H361" s="18">
        <v>8.1062499999999993</v>
      </c>
      <c r="I361" s="8">
        <v>5.8823529411764497E-3</v>
      </c>
      <c r="J361" s="8">
        <v>0.1875</v>
      </c>
      <c r="K361" s="8">
        <v>0.62599049128367668</v>
      </c>
      <c r="L361" s="8">
        <v>1.093877551020408</v>
      </c>
      <c r="M361" s="18">
        <v>1.9132503952452611</v>
      </c>
    </row>
    <row r="362" spans="1:13" x14ac:dyDescent="0.45">
      <c r="A362" t="s">
        <v>2254</v>
      </c>
      <c r="B362" s="18">
        <v>28.91</v>
      </c>
      <c r="C362" s="18">
        <v>25.95</v>
      </c>
      <c r="D362" s="18">
        <v>33.14</v>
      </c>
      <c r="E362" s="18">
        <v>17.78</v>
      </c>
      <c r="F362" s="18">
        <v>28.43</v>
      </c>
      <c r="G362" s="18">
        <v>26.835000000000001</v>
      </c>
      <c r="H362" s="18">
        <v>25.873799999999999</v>
      </c>
      <c r="I362" s="8">
        <v>0.11406551059730249</v>
      </c>
      <c r="J362" s="8">
        <v>-0.12764031382015689</v>
      </c>
      <c r="K362" s="8">
        <v>0.62598425196850394</v>
      </c>
      <c r="L362" s="8">
        <v>1.6883573689764338E-2</v>
      </c>
      <c r="M362" s="18">
        <v>0.62929302243541385</v>
      </c>
    </row>
    <row r="363" spans="1:13" x14ac:dyDescent="0.45">
      <c r="A363" t="s">
        <v>2256</v>
      </c>
      <c r="B363" s="18">
        <v>54.1</v>
      </c>
      <c r="C363" s="18">
        <v>57.13</v>
      </c>
      <c r="D363" s="18">
        <v>45.55</v>
      </c>
      <c r="E363" s="18">
        <v>33.299999999999997</v>
      </c>
      <c r="F363" s="18">
        <v>72.94</v>
      </c>
      <c r="G363" s="18">
        <v>52.358400000000003</v>
      </c>
      <c r="H363" s="18">
        <v>44.928750000000001</v>
      </c>
      <c r="I363" s="8">
        <v>-5.3036933309994823E-2</v>
      </c>
      <c r="J363" s="8">
        <v>0.18770581778265649</v>
      </c>
      <c r="K363" s="8">
        <v>0.62462462462462476</v>
      </c>
      <c r="L363" s="8">
        <v>-0.25829448862078419</v>
      </c>
      <c r="M363" s="18">
        <v>0.50099902047650224</v>
      </c>
    </row>
    <row r="364" spans="1:13" x14ac:dyDescent="0.45">
      <c r="A364" t="s">
        <v>1020</v>
      </c>
      <c r="B364" s="18">
        <v>68.91</v>
      </c>
      <c r="C364" s="18">
        <v>60.72</v>
      </c>
      <c r="D364" s="18">
        <v>59.3</v>
      </c>
      <c r="E364" s="18">
        <v>42.42</v>
      </c>
      <c r="F364" s="18">
        <v>55.88</v>
      </c>
      <c r="G364" s="18">
        <v>61.220599999999997</v>
      </c>
      <c r="H364" s="18">
        <v>56.751849999999997</v>
      </c>
      <c r="I364" s="8">
        <v>0.1348814229249011</v>
      </c>
      <c r="J364" s="8">
        <v>0.16205733558178759</v>
      </c>
      <c r="K364" s="8">
        <v>0.62446958981612433</v>
      </c>
      <c r="L364" s="8">
        <v>0.23317823908375071</v>
      </c>
      <c r="M364" s="18">
        <v>1.1545865874065639</v>
      </c>
    </row>
    <row r="365" spans="1:13" x14ac:dyDescent="0.45">
      <c r="A365" t="s">
        <v>968</v>
      </c>
      <c r="B365" s="18">
        <v>32.15</v>
      </c>
      <c r="C365" s="18">
        <v>32.33</v>
      </c>
      <c r="D365" s="18">
        <v>30.45</v>
      </c>
      <c r="E365" s="18">
        <v>19.82</v>
      </c>
      <c r="F365" s="18">
        <v>24.59</v>
      </c>
      <c r="G365" s="18">
        <v>30.389199999999999</v>
      </c>
      <c r="H365" s="18">
        <v>26.462499999999999</v>
      </c>
      <c r="I365" s="8">
        <v>-5.5675842870398506E-3</v>
      </c>
      <c r="J365" s="8">
        <v>5.5829228243021278E-2</v>
      </c>
      <c r="K365" s="8">
        <v>0.62209889001009078</v>
      </c>
      <c r="L365" s="8">
        <v>0.30744204961366411</v>
      </c>
      <c r="M365" s="18">
        <v>0.97980258357973626</v>
      </c>
    </row>
    <row r="366" spans="1:13" x14ac:dyDescent="0.45">
      <c r="A366" t="s">
        <v>453</v>
      </c>
      <c r="B366" s="18">
        <v>70.97</v>
      </c>
      <c r="C366" s="18">
        <v>76.069999999999993</v>
      </c>
      <c r="D366" s="18">
        <v>71.14</v>
      </c>
      <c r="E366" s="18">
        <v>43.83</v>
      </c>
      <c r="F366" s="18">
        <v>51.86</v>
      </c>
      <c r="G366" s="18">
        <v>73.054199999999994</v>
      </c>
      <c r="H366" s="18">
        <v>63.813249999999996</v>
      </c>
      <c r="I366" s="8">
        <v>-6.7043512554226248E-2</v>
      </c>
      <c r="J366" s="8">
        <v>-2.389654202980096E-3</v>
      </c>
      <c r="K366" s="8">
        <v>0.61921058635637705</v>
      </c>
      <c r="L366" s="8">
        <v>0.36849209409949868</v>
      </c>
      <c r="M366" s="18">
        <v>0.91826951369866938</v>
      </c>
    </row>
    <row r="367" spans="1:13" x14ac:dyDescent="0.45">
      <c r="A367" t="s">
        <v>2306</v>
      </c>
      <c r="B367" s="18">
        <v>104.83</v>
      </c>
      <c r="C367" s="18">
        <v>109.47</v>
      </c>
      <c r="D367" s="18">
        <v>94.61</v>
      </c>
      <c r="E367" s="18">
        <v>64.83</v>
      </c>
      <c r="F367" s="18">
        <v>108.64</v>
      </c>
      <c r="G367" s="18">
        <v>104.60039999999999</v>
      </c>
      <c r="H367" s="18">
        <v>91.946600000000018</v>
      </c>
      <c r="I367" s="8">
        <v>-4.2386041837946482E-2</v>
      </c>
      <c r="J367" s="8">
        <v>0.10802240777930459</v>
      </c>
      <c r="K367" s="8">
        <v>0.61699830325466598</v>
      </c>
      <c r="L367" s="8">
        <v>-3.5069955817378477E-2</v>
      </c>
      <c r="M367" s="18">
        <v>0.64756471337864563</v>
      </c>
    </row>
    <row r="368" spans="1:13" x14ac:dyDescent="0.45">
      <c r="A368" t="s">
        <v>153</v>
      </c>
      <c r="B368" s="18">
        <v>225.32</v>
      </c>
      <c r="C368" s="18">
        <v>229.52</v>
      </c>
      <c r="D368" s="18">
        <v>226.09</v>
      </c>
      <c r="E368" s="18">
        <v>139.38999999999999</v>
      </c>
      <c r="F368" s="18">
        <v>155</v>
      </c>
      <c r="G368" s="18">
        <v>224.4442</v>
      </c>
      <c r="H368" s="18">
        <v>196.33865</v>
      </c>
      <c r="I368" s="8">
        <v>-1.8299058905542061E-2</v>
      </c>
      <c r="J368" s="8">
        <v>-3.4057233844929651E-3</v>
      </c>
      <c r="K368" s="8">
        <v>0.61647176985436558</v>
      </c>
      <c r="L368" s="8">
        <v>0.45367741935483868</v>
      </c>
      <c r="M368" s="18">
        <v>1.048444406919169</v>
      </c>
    </row>
    <row r="369" spans="1:13" x14ac:dyDescent="0.45">
      <c r="A369" t="s">
        <v>1994</v>
      </c>
      <c r="B369" s="18">
        <v>50.28</v>
      </c>
      <c r="C369" s="18">
        <v>49.58</v>
      </c>
      <c r="D369" s="18">
        <v>41.21</v>
      </c>
      <c r="E369" s="18">
        <v>31.12</v>
      </c>
      <c r="F369" s="18">
        <v>28.71</v>
      </c>
      <c r="G369" s="18">
        <v>48.639200000000002</v>
      </c>
      <c r="H369" s="18">
        <v>41.132599999999996</v>
      </c>
      <c r="I369" s="8">
        <v>1.411859620814848E-2</v>
      </c>
      <c r="J369" s="8">
        <v>0.22009221062848819</v>
      </c>
      <c r="K369" s="8">
        <v>0.61568123393316188</v>
      </c>
      <c r="L369" s="8">
        <v>0.75130616509926851</v>
      </c>
      <c r="M369" s="18">
        <v>1.601198205869067</v>
      </c>
    </row>
    <row r="370" spans="1:13" x14ac:dyDescent="0.45">
      <c r="A370" t="s">
        <v>691</v>
      </c>
      <c r="B370" s="18">
        <v>360.65</v>
      </c>
      <c r="C370" s="18">
        <v>328.41</v>
      </c>
      <c r="D370" s="18">
        <v>302.69</v>
      </c>
      <c r="E370" s="18">
        <v>223.31</v>
      </c>
      <c r="F370" s="18">
        <v>306.83</v>
      </c>
      <c r="G370" s="18">
        <v>330.74880000000002</v>
      </c>
      <c r="H370" s="18">
        <v>295.65134999999998</v>
      </c>
      <c r="I370" s="8">
        <v>9.8169970463749534E-2</v>
      </c>
      <c r="J370" s="8">
        <v>0.19148303544880879</v>
      </c>
      <c r="K370" s="8">
        <v>0.61501947964712711</v>
      </c>
      <c r="L370" s="8">
        <v>0.1754065769318516</v>
      </c>
      <c r="M370" s="18">
        <v>1.0800790624915371</v>
      </c>
    </row>
    <row r="371" spans="1:13" x14ac:dyDescent="0.45">
      <c r="A371" t="s">
        <v>720</v>
      </c>
      <c r="B371" s="18">
        <v>20.48</v>
      </c>
      <c r="C371" s="18">
        <v>20.309999999999999</v>
      </c>
      <c r="D371" s="18">
        <v>18.809999999999999</v>
      </c>
      <c r="E371" s="18">
        <v>12.69</v>
      </c>
      <c r="F371" s="18">
        <v>12.07</v>
      </c>
      <c r="G371" s="18">
        <v>20.285799999999998</v>
      </c>
      <c r="H371" s="18">
        <v>17.102499999999999</v>
      </c>
      <c r="I371" s="8">
        <v>8.3702609551945528E-3</v>
      </c>
      <c r="J371" s="8">
        <v>8.8782562466773074E-2</v>
      </c>
      <c r="K371" s="8">
        <v>0.61386918833727355</v>
      </c>
      <c r="L371" s="8">
        <v>0.6967688483844241</v>
      </c>
      <c r="M371" s="18">
        <v>1.4077908601436651</v>
      </c>
    </row>
    <row r="372" spans="1:13" x14ac:dyDescent="0.45">
      <c r="A372" t="s">
        <v>552</v>
      </c>
      <c r="B372" s="18">
        <v>15.57</v>
      </c>
      <c r="C372" s="18">
        <v>18</v>
      </c>
      <c r="D372" s="18">
        <v>10.119999999999999</v>
      </c>
      <c r="E372" s="18">
        <v>9.65</v>
      </c>
      <c r="F372" s="18">
        <v>22.16</v>
      </c>
      <c r="G372" s="18">
        <v>15.2996</v>
      </c>
      <c r="H372" s="18">
        <v>13.143750000000001</v>
      </c>
      <c r="I372" s="8">
        <v>-0.13500000000000001</v>
      </c>
      <c r="J372" s="8">
        <v>0.53853754940711474</v>
      </c>
      <c r="K372" s="8">
        <v>0.61347150259067362</v>
      </c>
      <c r="L372" s="8">
        <v>-0.29738267148014441</v>
      </c>
      <c r="M372" s="18">
        <v>0.71962638051764394</v>
      </c>
    </row>
    <row r="373" spans="1:13" x14ac:dyDescent="0.45">
      <c r="A373" t="s">
        <v>2284</v>
      </c>
      <c r="B373" s="18">
        <v>52.96</v>
      </c>
      <c r="C373" s="18">
        <v>58.32</v>
      </c>
      <c r="D373" s="18">
        <v>53.03</v>
      </c>
      <c r="E373" s="18">
        <v>32.83</v>
      </c>
      <c r="F373" s="18">
        <v>71.25</v>
      </c>
      <c r="G373" s="18">
        <v>56.564999999999998</v>
      </c>
      <c r="H373" s="18">
        <v>48.66075</v>
      </c>
      <c r="I373" s="8">
        <v>-9.1906721536351155E-2</v>
      </c>
      <c r="J373" s="8">
        <v>-1.320007542900292E-3</v>
      </c>
      <c r="K373" s="8">
        <v>0.61315869631434672</v>
      </c>
      <c r="L373" s="8">
        <v>-0.25670175438596488</v>
      </c>
      <c r="M373" s="18">
        <v>0.2632302128491304</v>
      </c>
    </row>
    <row r="374" spans="1:13" x14ac:dyDescent="0.45">
      <c r="A374" t="s">
        <v>2026</v>
      </c>
      <c r="B374" s="18">
        <v>19.899999999999999</v>
      </c>
      <c r="C374" s="18">
        <v>21.48</v>
      </c>
      <c r="D374" s="18">
        <v>21.43</v>
      </c>
      <c r="E374" s="18">
        <v>12.35</v>
      </c>
      <c r="F374" s="18">
        <v>13.98</v>
      </c>
      <c r="G374" s="18">
        <v>20.210999999999999</v>
      </c>
      <c r="H374" s="18">
        <v>17.012</v>
      </c>
      <c r="I374" s="8">
        <v>-7.3556797020484233E-2</v>
      </c>
      <c r="J374" s="8">
        <v>-7.1395240317312259E-2</v>
      </c>
      <c r="K374" s="8">
        <v>0.61133603238866385</v>
      </c>
      <c r="L374" s="8">
        <v>0.42346208869813989</v>
      </c>
      <c r="M374" s="18">
        <v>0.88984608374900731</v>
      </c>
    </row>
    <row r="375" spans="1:13" x14ac:dyDescent="0.45">
      <c r="A375" t="s">
        <v>1890</v>
      </c>
      <c r="B375" s="18">
        <v>106.95</v>
      </c>
      <c r="C375" s="18">
        <v>90.26</v>
      </c>
      <c r="D375" s="18">
        <v>88.55</v>
      </c>
      <c r="E375" s="18">
        <v>66.400000000000006</v>
      </c>
      <c r="F375" s="18">
        <v>76.06</v>
      </c>
      <c r="G375" s="18">
        <v>92.590599999999995</v>
      </c>
      <c r="H375" s="18">
        <v>78.186099999999996</v>
      </c>
      <c r="I375" s="8">
        <v>0.18491025925105251</v>
      </c>
      <c r="J375" s="8">
        <v>0.20779220779220789</v>
      </c>
      <c r="K375" s="8">
        <v>0.61069277108433728</v>
      </c>
      <c r="L375" s="8">
        <v>0.40612674204575328</v>
      </c>
      <c r="M375" s="18">
        <v>1.409521980173351</v>
      </c>
    </row>
    <row r="376" spans="1:13" x14ac:dyDescent="0.45">
      <c r="A376" t="s">
        <v>1964</v>
      </c>
      <c r="B376" s="18">
        <v>339.36</v>
      </c>
      <c r="C376" s="18">
        <v>334.04</v>
      </c>
      <c r="D376" s="18">
        <v>302.62</v>
      </c>
      <c r="E376" s="18">
        <v>210.78</v>
      </c>
      <c r="F376" s="18">
        <v>290.89</v>
      </c>
      <c r="G376" s="18">
        <v>336.77820000000008</v>
      </c>
      <c r="H376" s="18">
        <v>289.73505</v>
      </c>
      <c r="I376" s="8">
        <v>1.5926236378876801E-2</v>
      </c>
      <c r="J376" s="8">
        <v>0.12140638424426679</v>
      </c>
      <c r="K376" s="8">
        <v>0.6100199259891832</v>
      </c>
      <c r="L376" s="8">
        <v>0.16662655986799149</v>
      </c>
      <c r="M376" s="18">
        <v>0.91397910648031822</v>
      </c>
    </row>
    <row r="377" spans="1:13" x14ac:dyDescent="0.45">
      <c r="A377" t="s">
        <v>2423</v>
      </c>
      <c r="B377" s="18">
        <v>20.45</v>
      </c>
      <c r="C377" s="18">
        <v>17.68</v>
      </c>
      <c r="D377" s="18">
        <v>15.01</v>
      </c>
      <c r="E377" s="18">
        <v>12.71</v>
      </c>
      <c r="F377" s="18">
        <v>17.440000000000001</v>
      </c>
      <c r="G377" s="18">
        <v>17.501999999999999</v>
      </c>
      <c r="H377" s="18">
        <v>15.381</v>
      </c>
      <c r="I377" s="8">
        <v>0.1566742081447963</v>
      </c>
      <c r="J377" s="8">
        <v>0.36242504996668878</v>
      </c>
      <c r="K377" s="8">
        <v>0.60896931549960653</v>
      </c>
      <c r="L377" s="8">
        <v>0.17259174311926581</v>
      </c>
      <c r="M377" s="18">
        <v>1.300660316730357</v>
      </c>
    </row>
    <row r="378" spans="1:13" x14ac:dyDescent="0.45">
      <c r="A378" t="s">
        <v>1762</v>
      </c>
      <c r="B378" s="18">
        <v>29.61</v>
      </c>
      <c r="C378" s="18">
        <v>29.93</v>
      </c>
      <c r="D378" s="18">
        <v>30.8</v>
      </c>
      <c r="E378" s="18">
        <v>18.440000000000001</v>
      </c>
      <c r="F378" s="18">
        <v>37.49</v>
      </c>
      <c r="G378" s="18">
        <v>28.441800000000001</v>
      </c>
      <c r="H378" s="18">
        <v>27.168949999999999</v>
      </c>
      <c r="I378" s="8">
        <v>-1.069161376545269E-2</v>
      </c>
      <c r="J378" s="8">
        <v>-3.8636363636363691E-2</v>
      </c>
      <c r="K378" s="8">
        <v>0.60574837310195218</v>
      </c>
      <c r="L378" s="8">
        <v>-0.2101893838356895</v>
      </c>
      <c r="M378" s="18">
        <v>0.34623101186444633</v>
      </c>
    </row>
    <row r="379" spans="1:13" x14ac:dyDescent="0.45">
      <c r="A379" t="s">
        <v>2221</v>
      </c>
      <c r="B379" s="18">
        <v>14.05</v>
      </c>
      <c r="C379" s="18">
        <v>8.9600000000000009</v>
      </c>
      <c r="D379" s="18">
        <v>11.99</v>
      </c>
      <c r="E379" s="18">
        <v>8.75</v>
      </c>
      <c r="F379" s="18">
        <v>9.91</v>
      </c>
      <c r="G379" s="18">
        <v>10.1912</v>
      </c>
      <c r="H379" s="18">
        <v>11.35605</v>
      </c>
      <c r="I379" s="8">
        <v>0.56808035714285698</v>
      </c>
      <c r="J379" s="8">
        <v>0.17180984153461229</v>
      </c>
      <c r="K379" s="8">
        <v>0.60571428571428587</v>
      </c>
      <c r="L379" s="8">
        <v>0.41775983854692228</v>
      </c>
      <c r="M379" s="18">
        <v>1.763364322938678</v>
      </c>
    </row>
    <row r="380" spans="1:13" x14ac:dyDescent="0.45">
      <c r="A380" t="s">
        <v>1049</v>
      </c>
      <c r="B380" s="18">
        <v>2.44</v>
      </c>
      <c r="C380" s="18">
        <v>2.81</v>
      </c>
      <c r="D380" s="18">
        <v>2.95</v>
      </c>
      <c r="E380" s="18">
        <v>1.52</v>
      </c>
      <c r="F380" s="18">
        <v>1.67</v>
      </c>
      <c r="G380" s="18">
        <v>2.6966000000000001</v>
      </c>
      <c r="H380" s="18">
        <v>2.3139500000000002</v>
      </c>
      <c r="I380" s="8">
        <v>-0.1316725978647687</v>
      </c>
      <c r="J380" s="8">
        <v>-0.17288135593220341</v>
      </c>
      <c r="K380" s="8">
        <v>0.60526315789473673</v>
      </c>
      <c r="L380" s="8">
        <v>0.46107784431137722</v>
      </c>
      <c r="M380" s="18">
        <v>0.7617870484091418</v>
      </c>
    </row>
    <row r="381" spans="1:13" x14ac:dyDescent="0.45">
      <c r="A381" t="s">
        <v>595</v>
      </c>
      <c r="B381" s="18">
        <v>123.03</v>
      </c>
      <c r="C381" s="18">
        <v>125.8</v>
      </c>
      <c r="D381" s="18">
        <v>118</v>
      </c>
      <c r="E381" s="18">
        <v>76.77</v>
      </c>
      <c r="F381" s="18">
        <v>93.7</v>
      </c>
      <c r="G381" s="18">
        <v>121.77379999999999</v>
      </c>
      <c r="H381" s="18">
        <v>104.68385000000001</v>
      </c>
      <c r="I381" s="8">
        <v>-2.2019077901430761E-2</v>
      </c>
      <c r="J381" s="8">
        <v>4.2627118644067867E-2</v>
      </c>
      <c r="K381" s="8">
        <v>0.60257913247362271</v>
      </c>
      <c r="L381" s="8">
        <v>0.31302027748132327</v>
      </c>
      <c r="M381" s="18">
        <v>0.93620745069758315</v>
      </c>
    </row>
    <row r="382" spans="1:13" x14ac:dyDescent="0.45">
      <c r="A382" t="s">
        <v>1374</v>
      </c>
      <c r="B382" s="18">
        <v>6.97</v>
      </c>
      <c r="C382" s="18">
        <v>6.37</v>
      </c>
      <c r="D382" s="18">
        <v>4.7300000000000004</v>
      </c>
      <c r="E382" s="18">
        <v>4.3499999999999996</v>
      </c>
      <c r="F382" s="18">
        <v>7.09</v>
      </c>
      <c r="G382" s="18">
        <v>6.0643999999999991</v>
      </c>
      <c r="H382" s="18">
        <v>5.9008000000000003</v>
      </c>
      <c r="I382" s="8">
        <v>9.4191522762951285E-2</v>
      </c>
      <c r="J382" s="8">
        <v>0.47357293868921763</v>
      </c>
      <c r="K382" s="8">
        <v>0.60229885057471266</v>
      </c>
      <c r="L382" s="8">
        <v>-1.692524682651619E-2</v>
      </c>
      <c r="M382" s="18">
        <v>1.1531380652003651</v>
      </c>
    </row>
    <row r="383" spans="1:13" x14ac:dyDescent="0.45">
      <c r="A383" t="s">
        <v>710</v>
      </c>
      <c r="B383" s="18">
        <v>35.26</v>
      </c>
      <c r="C383" s="18">
        <v>33.229999999999997</v>
      </c>
      <c r="D383" s="18">
        <v>30.05</v>
      </c>
      <c r="E383" s="18">
        <v>22.01</v>
      </c>
      <c r="F383" s="18">
        <v>25.42</v>
      </c>
      <c r="G383" s="18">
        <v>33.077199999999998</v>
      </c>
      <c r="H383" s="18">
        <v>28.425899999999999</v>
      </c>
      <c r="I383" s="8">
        <v>6.1089377068913597E-2</v>
      </c>
      <c r="J383" s="8">
        <v>0.17337770382695511</v>
      </c>
      <c r="K383" s="8">
        <v>0.60199909132212603</v>
      </c>
      <c r="L383" s="8">
        <v>0.38709677419354832</v>
      </c>
      <c r="M383" s="18">
        <v>1.223562946411543</v>
      </c>
    </row>
    <row r="384" spans="1:13" x14ac:dyDescent="0.45">
      <c r="A384" t="s">
        <v>2464</v>
      </c>
      <c r="B384" s="18">
        <v>1.92</v>
      </c>
      <c r="C384" s="18">
        <v>1.86</v>
      </c>
      <c r="D384" s="18">
        <v>1.45</v>
      </c>
      <c r="E384" s="18">
        <v>1.2</v>
      </c>
      <c r="F384" s="18">
        <v>1.32</v>
      </c>
      <c r="G384" s="18">
        <v>1.8362000000000001</v>
      </c>
      <c r="H384" s="18">
        <v>1.4675505</v>
      </c>
      <c r="I384" s="8">
        <v>3.2258064516128997E-2</v>
      </c>
      <c r="J384" s="8">
        <v>0.32413793103448268</v>
      </c>
      <c r="K384" s="8">
        <v>0.60000000000000009</v>
      </c>
      <c r="L384" s="8">
        <v>0.45454545454545442</v>
      </c>
      <c r="M384" s="18">
        <v>1.410941450096066</v>
      </c>
    </row>
    <row r="385" spans="1:13" x14ac:dyDescent="0.45">
      <c r="A385" t="s">
        <v>374</v>
      </c>
      <c r="B385" s="18">
        <v>121.82</v>
      </c>
      <c r="C385" s="18">
        <v>123.12</v>
      </c>
      <c r="D385" s="18">
        <v>106.42</v>
      </c>
      <c r="E385" s="18">
        <v>76.14</v>
      </c>
      <c r="F385" s="18">
        <v>123.39</v>
      </c>
      <c r="G385" s="18">
        <v>115.06229999999999</v>
      </c>
      <c r="H385" s="18">
        <v>106.63992500000001</v>
      </c>
      <c r="I385" s="8">
        <v>-1.0558804418453581E-2</v>
      </c>
      <c r="J385" s="8">
        <v>0.14470964104491621</v>
      </c>
      <c r="K385" s="8">
        <v>0.59994746519569198</v>
      </c>
      <c r="L385" s="8">
        <v>-1.272388362103904E-2</v>
      </c>
      <c r="M385" s="18">
        <v>0.72137441820111559</v>
      </c>
    </row>
    <row r="386" spans="1:13" x14ac:dyDescent="0.45">
      <c r="A386" t="s">
        <v>1772</v>
      </c>
      <c r="B386" s="18">
        <v>27.74</v>
      </c>
      <c r="C386" s="18">
        <v>26.4</v>
      </c>
      <c r="D386" s="18">
        <v>24.7</v>
      </c>
      <c r="E386" s="18">
        <v>17.350000000000001</v>
      </c>
      <c r="F386" s="18">
        <v>20.21</v>
      </c>
      <c r="G386" s="18">
        <v>26.220600000000001</v>
      </c>
      <c r="H386" s="18">
        <v>24.595300000000002</v>
      </c>
      <c r="I386" s="8">
        <v>5.0757575757575779E-2</v>
      </c>
      <c r="J386" s="8">
        <v>0.1230769230769231</v>
      </c>
      <c r="K386" s="8">
        <v>0.59884726224783846</v>
      </c>
      <c r="L386" s="8">
        <v>0.37258782780801569</v>
      </c>
      <c r="M386" s="18">
        <v>1.145269588890353</v>
      </c>
    </row>
    <row r="387" spans="1:13" x14ac:dyDescent="0.45">
      <c r="A387" t="s">
        <v>660</v>
      </c>
      <c r="B387" s="18">
        <v>11.86</v>
      </c>
      <c r="C387" s="18">
        <v>11.19</v>
      </c>
      <c r="D387" s="18">
        <v>10.36</v>
      </c>
      <c r="E387" s="18">
        <v>7.42</v>
      </c>
      <c r="F387" s="18">
        <v>9.84</v>
      </c>
      <c r="G387" s="18">
        <v>10.601800000000001</v>
      </c>
      <c r="H387" s="18">
        <v>10.042299999999999</v>
      </c>
      <c r="I387" s="8">
        <v>5.9874888293118822E-2</v>
      </c>
      <c r="J387" s="8">
        <v>0.1447876447876448</v>
      </c>
      <c r="K387" s="8">
        <v>0.59838274932614555</v>
      </c>
      <c r="L387" s="8">
        <v>0.20528455284552849</v>
      </c>
      <c r="M387" s="18">
        <v>1.0083298352524379</v>
      </c>
    </row>
    <row r="388" spans="1:13" x14ac:dyDescent="0.45">
      <c r="A388" t="s">
        <v>2278</v>
      </c>
      <c r="B388" s="18">
        <v>44.83</v>
      </c>
      <c r="C388" s="18">
        <v>46.33</v>
      </c>
      <c r="D388" s="18">
        <v>43.95</v>
      </c>
      <c r="E388" s="18">
        <v>28.09</v>
      </c>
      <c r="F388" s="18">
        <v>27.61</v>
      </c>
      <c r="G388" s="18">
        <v>45.45</v>
      </c>
      <c r="H388" s="18">
        <v>35.761200000000002</v>
      </c>
      <c r="I388" s="8">
        <v>-3.2376429958989823E-2</v>
      </c>
      <c r="J388" s="8">
        <v>2.002275312855506E-2</v>
      </c>
      <c r="K388" s="8">
        <v>0.59594161623353492</v>
      </c>
      <c r="L388" s="8">
        <v>0.62368706990220923</v>
      </c>
      <c r="M388" s="18">
        <v>1.20727500930531</v>
      </c>
    </row>
    <row r="389" spans="1:13" x14ac:dyDescent="0.45">
      <c r="A389" t="s">
        <v>2037</v>
      </c>
      <c r="B389" s="18">
        <v>84.25</v>
      </c>
      <c r="C389" s="18">
        <v>98.5</v>
      </c>
      <c r="D389" s="18">
        <v>86.14</v>
      </c>
      <c r="E389" s="18">
        <v>52.81</v>
      </c>
      <c r="F389" s="18">
        <v>33.19</v>
      </c>
      <c r="G389" s="18">
        <v>85.203599999999994</v>
      </c>
      <c r="H389" s="18">
        <v>77.663200000000003</v>
      </c>
      <c r="I389" s="8">
        <v>-0.14467005076142139</v>
      </c>
      <c r="J389" s="8">
        <v>-2.194102623635941E-2</v>
      </c>
      <c r="K389" s="8">
        <v>0.59534179132739995</v>
      </c>
      <c r="L389" s="8">
        <v>1.538415185296776</v>
      </c>
      <c r="M389" s="18">
        <v>1.967145899626396</v>
      </c>
    </row>
    <row r="390" spans="1:13" x14ac:dyDescent="0.45">
      <c r="A390" t="s">
        <v>1484</v>
      </c>
      <c r="B390" s="18">
        <v>179.65</v>
      </c>
      <c r="C390" s="18">
        <v>171.93</v>
      </c>
      <c r="D390" s="18">
        <v>157.56</v>
      </c>
      <c r="E390" s="18">
        <v>112.67</v>
      </c>
      <c r="F390" s="18">
        <v>148.21</v>
      </c>
      <c r="G390" s="18">
        <v>172.83439999999999</v>
      </c>
      <c r="H390" s="18">
        <v>151.71190000000001</v>
      </c>
      <c r="I390" s="8">
        <v>4.4901994997964323E-2</v>
      </c>
      <c r="J390" s="8">
        <v>0.14020055851739019</v>
      </c>
      <c r="K390" s="8">
        <v>0.59447945327061325</v>
      </c>
      <c r="L390" s="8">
        <v>0.21213143512583499</v>
      </c>
      <c r="M390" s="18">
        <v>0.99171344191180277</v>
      </c>
    </row>
    <row r="391" spans="1:13" x14ac:dyDescent="0.45">
      <c r="A391" t="s">
        <v>73</v>
      </c>
      <c r="B391" s="18">
        <v>50.88</v>
      </c>
      <c r="C391" s="18">
        <v>48.62</v>
      </c>
      <c r="D391" s="18">
        <v>59.52</v>
      </c>
      <c r="E391" s="18">
        <v>31.95</v>
      </c>
      <c r="F391" s="18">
        <v>71.540000000000006</v>
      </c>
      <c r="G391" s="18">
        <v>49.9833</v>
      </c>
      <c r="H391" s="18">
        <v>49.518000000000001</v>
      </c>
      <c r="I391" s="8">
        <v>4.648292883587013E-2</v>
      </c>
      <c r="J391" s="8">
        <v>-0.1451612903225806</v>
      </c>
      <c r="K391" s="8">
        <v>0.59248826291079815</v>
      </c>
      <c r="L391" s="8">
        <v>-0.28878948839809898</v>
      </c>
      <c r="M391" s="18">
        <v>0.20502041302598861</v>
      </c>
    </row>
    <row r="392" spans="1:13" x14ac:dyDescent="0.45">
      <c r="A392" t="s">
        <v>1904</v>
      </c>
      <c r="B392" s="18">
        <v>5.78</v>
      </c>
      <c r="C392" s="18">
        <v>4.84</v>
      </c>
      <c r="D392" s="18">
        <v>3.81</v>
      </c>
      <c r="E392" s="18">
        <v>3.63</v>
      </c>
      <c r="F392" s="18">
        <v>6.07</v>
      </c>
      <c r="G392" s="18">
        <v>4.8056000000000001</v>
      </c>
      <c r="H392" s="18">
        <v>4.9757999999999996</v>
      </c>
      <c r="I392" s="8">
        <v>0.19421487603305801</v>
      </c>
      <c r="J392" s="8">
        <v>0.51706036745406836</v>
      </c>
      <c r="K392" s="8">
        <v>0.59228650137741057</v>
      </c>
      <c r="L392" s="8">
        <v>-4.7775947281713298E-2</v>
      </c>
      <c r="M392" s="18">
        <v>1.2557857975828239</v>
      </c>
    </row>
    <row r="393" spans="1:13" x14ac:dyDescent="0.45">
      <c r="A393" t="s">
        <v>213</v>
      </c>
      <c r="B393" s="18">
        <v>57.12</v>
      </c>
      <c r="C393" s="18">
        <v>60.68</v>
      </c>
      <c r="D393" s="18">
        <v>56.78</v>
      </c>
      <c r="E393" s="18">
        <v>35.880000000000003</v>
      </c>
      <c r="F393" s="18">
        <v>49.28</v>
      </c>
      <c r="G393" s="18">
        <v>58.216000000000001</v>
      </c>
      <c r="H393" s="18">
        <v>54.444350000000007</v>
      </c>
      <c r="I393" s="8">
        <v>-5.8668424522083103E-2</v>
      </c>
      <c r="J393" s="8">
        <v>5.9880239520957454E-3</v>
      </c>
      <c r="K393" s="8">
        <v>0.59197324414715702</v>
      </c>
      <c r="L393" s="8">
        <v>0.15909090909090889</v>
      </c>
      <c r="M393" s="18">
        <v>0.69838375266807862</v>
      </c>
    </row>
    <row r="394" spans="1:13" x14ac:dyDescent="0.45">
      <c r="A394" t="s">
        <v>347</v>
      </c>
      <c r="B394" s="18">
        <v>188.71</v>
      </c>
      <c r="C394" s="18">
        <v>183.18</v>
      </c>
      <c r="D394" s="18">
        <v>182.26</v>
      </c>
      <c r="E394" s="18">
        <v>118.55</v>
      </c>
      <c r="F394" s="18">
        <v>171.98</v>
      </c>
      <c r="G394" s="18">
        <v>177.9144</v>
      </c>
      <c r="H394" s="18">
        <v>158.29875000000001</v>
      </c>
      <c r="I394" s="8">
        <v>3.0188885249481379E-2</v>
      </c>
      <c r="J394" s="8">
        <v>3.5389004718534123E-2</v>
      </c>
      <c r="K394" s="8">
        <v>0.59181779839730075</v>
      </c>
      <c r="L394" s="8">
        <v>9.7278753343412072E-2</v>
      </c>
      <c r="M394" s="18">
        <v>0.75467444170872833</v>
      </c>
    </row>
    <row r="395" spans="1:13" x14ac:dyDescent="0.45">
      <c r="A395" t="s">
        <v>428</v>
      </c>
      <c r="B395" s="18">
        <v>348.11</v>
      </c>
      <c r="C395" s="18">
        <v>342.95</v>
      </c>
      <c r="D395" s="18">
        <v>344.95</v>
      </c>
      <c r="E395" s="18">
        <v>218.97</v>
      </c>
      <c r="F395" s="18">
        <v>267.01</v>
      </c>
      <c r="G395" s="18">
        <v>344.34620000000001</v>
      </c>
      <c r="H395" s="18">
        <v>304.34115000000003</v>
      </c>
      <c r="I395" s="8">
        <v>1.504592506196256E-2</v>
      </c>
      <c r="J395" s="8">
        <v>9.1607479344832932E-3</v>
      </c>
      <c r="K395" s="8">
        <v>0.58976115449604971</v>
      </c>
      <c r="L395" s="8">
        <v>0.30373394254896818</v>
      </c>
      <c r="M395" s="18">
        <v>0.9177017700414638</v>
      </c>
    </row>
    <row r="396" spans="1:13" x14ac:dyDescent="0.45">
      <c r="A396" t="s">
        <v>711</v>
      </c>
      <c r="B396" s="18">
        <v>18.899999999999999</v>
      </c>
      <c r="C396" s="18">
        <v>18.62</v>
      </c>
      <c r="D396" s="18">
        <v>15.56</v>
      </c>
      <c r="E396" s="18">
        <v>11.9</v>
      </c>
      <c r="F396" s="18">
        <v>10.53</v>
      </c>
      <c r="G396" s="18">
        <v>18.5642</v>
      </c>
      <c r="H396" s="18">
        <v>14.75</v>
      </c>
      <c r="I396" s="8">
        <v>1.5037593984962291E-2</v>
      </c>
      <c r="J396" s="8">
        <v>0.2146529562982005</v>
      </c>
      <c r="K396" s="8">
        <v>0.58823529411764697</v>
      </c>
      <c r="L396" s="8">
        <v>0.79487179487179493</v>
      </c>
      <c r="M396" s="18">
        <v>1.6127976392726051</v>
      </c>
    </row>
    <row r="397" spans="1:13" x14ac:dyDescent="0.45">
      <c r="A397" t="s">
        <v>1610</v>
      </c>
      <c r="B397" s="18">
        <v>43.4</v>
      </c>
      <c r="C397" s="18">
        <v>47.64</v>
      </c>
      <c r="D397" s="18">
        <v>42.53</v>
      </c>
      <c r="E397" s="18">
        <v>27.33</v>
      </c>
      <c r="F397" s="18">
        <v>25.7</v>
      </c>
      <c r="G397" s="18">
        <v>46.047199999999997</v>
      </c>
      <c r="H397" s="18">
        <v>36.67315</v>
      </c>
      <c r="I397" s="8">
        <v>-8.90008396305626E-2</v>
      </c>
      <c r="J397" s="8">
        <v>2.0456148600987541E-2</v>
      </c>
      <c r="K397" s="8">
        <v>0.58799853640687894</v>
      </c>
      <c r="L397" s="8">
        <v>0.68871595330739299</v>
      </c>
      <c r="M397" s="18">
        <v>1.2081697986846971</v>
      </c>
    </row>
    <row r="398" spans="1:13" x14ac:dyDescent="0.45">
      <c r="A398" t="s">
        <v>1216</v>
      </c>
      <c r="B398" s="18">
        <v>234.88</v>
      </c>
      <c r="C398" s="18">
        <v>228.23</v>
      </c>
      <c r="D398" s="18">
        <v>224.4</v>
      </c>
      <c r="E398" s="18">
        <v>148.02000000000001</v>
      </c>
      <c r="F398" s="18">
        <v>194.95</v>
      </c>
      <c r="G398" s="18">
        <v>228.61779999999999</v>
      </c>
      <c r="H398" s="18">
        <v>195.50735</v>
      </c>
      <c r="I398" s="8">
        <v>2.9137273802742891E-2</v>
      </c>
      <c r="J398" s="8">
        <v>4.670231729055252E-2</v>
      </c>
      <c r="K398" s="8">
        <v>0.58681259289285226</v>
      </c>
      <c r="L398" s="8">
        <v>0.20482174916645299</v>
      </c>
      <c r="M398" s="18">
        <v>0.86747393315260068</v>
      </c>
    </row>
    <row r="399" spans="1:13" x14ac:dyDescent="0.45">
      <c r="A399" t="s">
        <v>2273</v>
      </c>
      <c r="B399" s="18">
        <v>10.11</v>
      </c>
      <c r="C399" s="18">
        <v>9.52</v>
      </c>
      <c r="D399" s="18">
        <v>9.0299999999999994</v>
      </c>
      <c r="E399" s="18">
        <v>6.38</v>
      </c>
      <c r="F399" s="18">
        <v>11.29</v>
      </c>
      <c r="G399" s="18">
        <v>9.1845999999999997</v>
      </c>
      <c r="H399" s="18">
        <v>8.8678000000000008</v>
      </c>
      <c r="I399" s="8">
        <v>6.1974789915966388E-2</v>
      </c>
      <c r="J399" s="8">
        <v>0.1196013289036546</v>
      </c>
      <c r="K399" s="8">
        <v>0.58463949843260177</v>
      </c>
      <c r="L399" s="8">
        <v>-0.1045172719220548</v>
      </c>
      <c r="M399" s="18">
        <v>0.66169834533016791</v>
      </c>
    </row>
    <row r="400" spans="1:13" x14ac:dyDescent="0.45">
      <c r="A400" t="s">
        <v>928</v>
      </c>
      <c r="B400" s="18">
        <v>79.86</v>
      </c>
      <c r="C400" s="18">
        <v>69.06</v>
      </c>
      <c r="D400" s="18">
        <v>64.010000000000005</v>
      </c>
      <c r="E400" s="18">
        <v>50.42</v>
      </c>
      <c r="F400" s="18">
        <v>58.86</v>
      </c>
      <c r="G400" s="18">
        <v>69.435400000000001</v>
      </c>
      <c r="H400" s="18">
        <v>62.406599999999997</v>
      </c>
      <c r="I400" s="8">
        <v>0.156385751520417</v>
      </c>
      <c r="J400" s="8">
        <v>0.24761755975628799</v>
      </c>
      <c r="K400" s="8">
        <v>0.58389527965093202</v>
      </c>
      <c r="L400" s="8">
        <v>0.35677879714576971</v>
      </c>
      <c r="M400" s="18">
        <v>1.3446773880734071</v>
      </c>
    </row>
    <row r="401" spans="1:13" x14ac:dyDescent="0.45">
      <c r="A401" t="s">
        <v>767</v>
      </c>
      <c r="B401" s="18">
        <v>8.1199999999999992</v>
      </c>
      <c r="C401" s="18">
        <v>7.62</v>
      </c>
      <c r="D401" s="18">
        <v>7.74</v>
      </c>
      <c r="E401" s="18">
        <v>5.13</v>
      </c>
      <c r="F401" s="18">
        <v>6.2</v>
      </c>
      <c r="G401" s="18">
        <v>7.7496</v>
      </c>
      <c r="H401" s="18">
        <v>6.5085500000000014</v>
      </c>
      <c r="I401" s="8">
        <v>6.5616797900262425E-2</v>
      </c>
      <c r="J401" s="8">
        <v>4.9095607235142058E-2</v>
      </c>
      <c r="K401" s="8">
        <v>0.58284600389863539</v>
      </c>
      <c r="L401" s="8">
        <v>0.30967741935483861</v>
      </c>
      <c r="M401" s="18">
        <v>1.007235828388878</v>
      </c>
    </row>
    <row r="402" spans="1:13" x14ac:dyDescent="0.45">
      <c r="A402" t="s">
        <v>730</v>
      </c>
      <c r="B402" s="18">
        <v>38.76</v>
      </c>
      <c r="C402" s="18">
        <v>33.92</v>
      </c>
      <c r="D402" s="18">
        <v>33.340000000000003</v>
      </c>
      <c r="E402" s="18">
        <v>24.49</v>
      </c>
      <c r="F402" s="18">
        <v>31.92</v>
      </c>
      <c r="G402" s="18">
        <v>34.370800000000003</v>
      </c>
      <c r="H402" s="18">
        <v>30.485299999999999</v>
      </c>
      <c r="I402" s="8">
        <v>0.14268867924528281</v>
      </c>
      <c r="J402" s="8">
        <v>0.16256748650269939</v>
      </c>
      <c r="K402" s="8">
        <v>0.58268681094324215</v>
      </c>
      <c r="L402" s="8">
        <v>0.21428571428571419</v>
      </c>
      <c r="M402" s="18">
        <v>1.102228690976939</v>
      </c>
    </row>
    <row r="403" spans="1:13" x14ac:dyDescent="0.45">
      <c r="A403" t="s">
        <v>1880</v>
      </c>
      <c r="B403" s="18">
        <v>2.5299999999999998</v>
      </c>
      <c r="C403" s="18">
        <v>3</v>
      </c>
      <c r="D403" s="18">
        <v>2.37</v>
      </c>
      <c r="E403" s="18">
        <v>1.6</v>
      </c>
      <c r="F403" s="18">
        <v>3.74</v>
      </c>
      <c r="G403" s="18">
        <v>2.7444000000000002</v>
      </c>
      <c r="H403" s="18">
        <v>2.7248999999999999</v>
      </c>
      <c r="I403" s="8">
        <v>-0.1566666666666667</v>
      </c>
      <c r="J403" s="8">
        <v>6.7510548523206593E-2</v>
      </c>
      <c r="K403" s="8">
        <v>0.58124999999999982</v>
      </c>
      <c r="L403" s="8">
        <v>-0.32352941176470601</v>
      </c>
      <c r="M403" s="18">
        <v>0.1685644700918337</v>
      </c>
    </row>
    <row r="404" spans="1:13" x14ac:dyDescent="0.45">
      <c r="A404" t="s">
        <v>777</v>
      </c>
      <c r="B404" s="18">
        <v>436.17</v>
      </c>
      <c r="C404" s="18">
        <v>420.65</v>
      </c>
      <c r="D404" s="18">
        <v>384.77</v>
      </c>
      <c r="E404" s="18">
        <v>275.93</v>
      </c>
      <c r="F404" s="18">
        <v>385.85</v>
      </c>
      <c r="G404" s="18">
        <v>412.65140000000002</v>
      </c>
      <c r="H404" s="18">
        <v>340.23714999999999</v>
      </c>
      <c r="I404" s="8">
        <v>3.6895281112564023E-2</v>
      </c>
      <c r="J404" s="8">
        <v>0.13358629830808019</v>
      </c>
      <c r="K404" s="8">
        <v>0.58072699597724053</v>
      </c>
      <c r="L404" s="8">
        <v>0.1304133730724375</v>
      </c>
      <c r="M404" s="18">
        <v>0.88162194847032227</v>
      </c>
    </row>
    <row r="405" spans="1:13" x14ac:dyDescent="0.45">
      <c r="A405" t="s">
        <v>614</v>
      </c>
      <c r="B405" s="18">
        <v>21.21</v>
      </c>
      <c r="C405" s="18">
        <v>19.760000000000002</v>
      </c>
      <c r="D405" s="18">
        <v>17.63</v>
      </c>
      <c r="E405" s="18">
        <v>13.42</v>
      </c>
      <c r="F405" s="18">
        <v>16.559999999999999</v>
      </c>
      <c r="G405" s="18">
        <v>19.798200000000001</v>
      </c>
      <c r="H405" s="18">
        <v>16.745249999999999</v>
      </c>
      <c r="I405" s="8">
        <v>7.3380566801619418E-2</v>
      </c>
      <c r="J405" s="8">
        <v>0.2030629608621668</v>
      </c>
      <c r="K405" s="8">
        <v>0.58047690014903131</v>
      </c>
      <c r="L405" s="8">
        <v>0.28079710144927561</v>
      </c>
      <c r="M405" s="18">
        <v>1.1377175292620929</v>
      </c>
    </row>
    <row r="406" spans="1:13" x14ac:dyDescent="0.45">
      <c r="A406" t="s">
        <v>1912</v>
      </c>
      <c r="B406" s="18">
        <v>15.58</v>
      </c>
      <c r="C406" s="18">
        <v>11.9</v>
      </c>
      <c r="D406" s="18">
        <v>12.89</v>
      </c>
      <c r="E406" s="18">
        <v>9.8699999999999992</v>
      </c>
      <c r="F406" s="18">
        <v>12.49</v>
      </c>
      <c r="G406" s="18">
        <v>11.7554</v>
      </c>
      <c r="H406" s="18">
        <v>12.29935</v>
      </c>
      <c r="I406" s="8">
        <v>0.30924369747899161</v>
      </c>
      <c r="J406" s="8">
        <v>0.20868890612878199</v>
      </c>
      <c r="K406" s="8">
        <v>0.5785207700101318</v>
      </c>
      <c r="L406" s="8">
        <v>0.2473979183346677</v>
      </c>
      <c r="M406" s="18">
        <v>1.3438512919525729</v>
      </c>
    </row>
    <row r="407" spans="1:13" x14ac:dyDescent="0.45">
      <c r="A407" t="s">
        <v>639</v>
      </c>
      <c r="B407" s="18">
        <v>16.850000000000001</v>
      </c>
      <c r="C407" s="18">
        <v>16</v>
      </c>
      <c r="D407" s="18">
        <v>15.15</v>
      </c>
      <c r="E407" s="18">
        <v>10.69</v>
      </c>
      <c r="F407" s="18">
        <v>15.17</v>
      </c>
      <c r="G407" s="18">
        <v>15.218999999999999</v>
      </c>
      <c r="H407" s="18">
        <v>14.01905</v>
      </c>
      <c r="I407" s="8">
        <v>5.3125000000000089E-2</v>
      </c>
      <c r="J407" s="8">
        <v>0.1122112211221122</v>
      </c>
      <c r="K407" s="8">
        <v>0.57623947614593107</v>
      </c>
      <c r="L407" s="8">
        <v>0.1107448912326963</v>
      </c>
      <c r="M407" s="18">
        <v>0.85232058850073966</v>
      </c>
    </row>
    <row r="408" spans="1:13" x14ac:dyDescent="0.45">
      <c r="A408" t="s">
        <v>1460</v>
      </c>
      <c r="B408" s="18">
        <v>6.86</v>
      </c>
      <c r="C408" s="18">
        <v>7.22</v>
      </c>
      <c r="D408" s="18">
        <v>6.1</v>
      </c>
      <c r="E408" s="18">
        <v>4.3600000000000003</v>
      </c>
      <c r="F408" s="18">
        <v>3.18</v>
      </c>
      <c r="G408" s="18">
        <v>6.9314</v>
      </c>
      <c r="H408" s="18">
        <v>5.2830999999999992</v>
      </c>
      <c r="I408" s="8">
        <v>-4.9861495844875307E-2</v>
      </c>
      <c r="J408" s="8">
        <v>0.1245901639344265</v>
      </c>
      <c r="K408" s="8">
        <v>0.57339449541284404</v>
      </c>
      <c r="L408" s="8">
        <v>1.1572327044025159</v>
      </c>
      <c r="M408" s="18">
        <v>1.8053558679049111</v>
      </c>
    </row>
    <row r="409" spans="1:13" x14ac:dyDescent="0.45">
      <c r="A409" t="s">
        <v>584</v>
      </c>
      <c r="B409" s="18">
        <v>63.63</v>
      </c>
      <c r="C409" s="18">
        <v>63.6</v>
      </c>
      <c r="D409" s="18">
        <v>59.01</v>
      </c>
      <c r="E409" s="18">
        <v>40.46</v>
      </c>
      <c r="F409" s="18">
        <v>43.49</v>
      </c>
      <c r="G409" s="18">
        <v>60.818600000000004</v>
      </c>
      <c r="H409" s="18">
        <v>53.177050000000001</v>
      </c>
      <c r="I409" s="8">
        <v>4.7169811320757482E-4</v>
      </c>
      <c r="J409" s="8">
        <v>7.8291814946619187E-2</v>
      </c>
      <c r="K409" s="8">
        <v>0.5726643598615917</v>
      </c>
      <c r="L409" s="8">
        <v>0.46309496435962288</v>
      </c>
      <c r="M409" s="18">
        <v>1.114522837281041</v>
      </c>
    </row>
    <row r="410" spans="1:13" x14ac:dyDescent="0.45">
      <c r="A410" t="s">
        <v>683</v>
      </c>
      <c r="B410" s="18">
        <v>198.3</v>
      </c>
      <c r="C410" s="18">
        <v>194.2</v>
      </c>
      <c r="D410" s="18">
        <v>169.61</v>
      </c>
      <c r="E410" s="18">
        <v>126.1</v>
      </c>
      <c r="F410" s="18">
        <v>134.74</v>
      </c>
      <c r="G410" s="18">
        <v>194.64240000000001</v>
      </c>
      <c r="H410" s="18">
        <v>161.36625000000001</v>
      </c>
      <c r="I410" s="8">
        <v>2.111225540679729E-2</v>
      </c>
      <c r="J410" s="8">
        <v>0.1691527622192088</v>
      </c>
      <c r="K410" s="8">
        <v>0.57256145915939749</v>
      </c>
      <c r="L410" s="8">
        <v>0.4717233189847112</v>
      </c>
      <c r="M410" s="18">
        <v>1.234549795770115</v>
      </c>
    </row>
    <row r="411" spans="1:13" x14ac:dyDescent="0.45">
      <c r="A411" t="s">
        <v>1360</v>
      </c>
      <c r="B411" s="18">
        <v>5.28</v>
      </c>
      <c r="C411" s="18">
        <v>5.85</v>
      </c>
      <c r="D411" s="18">
        <v>5.62</v>
      </c>
      <c r="E411" s="18">
        <v>3.36</v>
      </c>
      <c r="F411" s="18">
        <v>5.44</v>
      </c>
      <c r="G411" s="18">
        <v>5.5734000000000004</v>
      </c>
      <c r="H411" s="18">
        <v>4.4071999999999996</v>
      </c>
      <c r="I411" s="8">
        <v>-9.7435897435897312E-2</v>
      </c>
      <c r="J411" s="8">
        <v>-6.0498220640569422E-2</v>
      </c>
      <c r="K411" s="8">
        <v>0.57142857142857162</v>
      </c>
      <c r="L411" s="8">
        <v>-2.9411764705882359E-2</v>
      </c>
      <c r="M411" s="18">
        <v>0.38408268864622253</v>
      </c>
    </row>
    <row r="412" spans="1:13" x14ac:dyDescent="0.45">
      <c r="A412" t="s">
        <v>1466</v>
      </c>
      <c r="B412" s="18">
        <v>24.92</v>
      </c>
      <c r="C412" s="18">
        <v>24.78</v>
      </c>
      <c r="D412" s="18">
        <v>24.3</v>
      </c>
      <c r="E412" s="18">
        <v>15.86</v>
      </c>
      <c r="F412" s="18">
        <v>25.4</v>
      </c>
      <c r="G412" s="18">
        <v>24.791599999999999</v>
      </c>
      <c r="H412" s="18">
        <v>22.669499999999999</v>
      </c>
      <c r="I412" s="8">
        <v>5.6497175141243527E-3</v>
      </c>
      <c r="J412" s="8">
        <v>2.551440329218102E-2</v>
      </c>
      <c r="K412" s="8">
        <v>0.57124842370744022</v>
      </c>
      <c r="L412" s="8">
        <v>-1.889763779527542E-2</v>
      </c>
      <c r="M412" s="18">
        <v>0.58351490671847017</v>
      </c>
    </row>
    <row r="413" spans="1:13" x14ac:dyDescent="0.45">
      <c r="A413" t="s">
        <v>2158</v>
      </c>
      <c r="B413" s="18">
        <v>85.58</v>
      </c>
      <c r="C413" s="18">
        <v>84.38</v>
      </c>
      <c r="D413" s="18">
        <v>72.94</v>
      </c>
      <c r="E413" s="18">
        <v>54.47</v>
      </c>
      <c r="F413" s="18"/>
      <c r="G413" s="18">
        <v>81.887600000000006</v>
      </c>
      <c r="H413" s="18"/>
      <c r="I413" s="8">
        <v>1.422137947380908E-2</v>
      </c>
      <c r="J413" s="8">
        <v>0.17329311763092961</v>
      </c>
      <c r="K413" s="8">
        <v>0.57114007710666415</v>
      </c>
      <c r="L413" s="8"/>
      <c r="M413" s="18">
        <v>0.75865457421140281</v>
      </c>
    </row>
    <row r="414" spans="1:13" x14ac:dyDescent="0.45">
      <c r="A414" t="s">
        <v>1754</v>
      </c>
      <c r="B414" s="18">
        <v>43.13</v>
      </c>
      <c r="C414" s="18">
        <v>40.25</v>
      </c>
      <c r="D414" s="18">
        <v>34.67</v>
      </c>
      <c r="E414" s="18">
        <v>27.46</v>
      </c>
      <c r="F414" s="18">
        <v>81.3</v>
      </c>
      <c r="G414" s="18">
        <v>37.723999999999997</v>
      </c>
      <c r="H414" s="18">
        <v>39.318300000000001</v>
      </c>
      <c r="I414" s="8">
        <v>7.1552795031055938E-2</v>
      </c>
      <c r="J414" s="8">
        <v>0.24401499855783099</v>
      </c>
      <c r="K414" s="8">
        <v>0.57064821558630729</v>
      </c>
      <c r="L414" s="8">
        <v>-0.46949569495694948</v>
      </c>
      <c r="M414" s="18">
        <v>0.41672031421824468</v>
      </c>
    </row>
    <row r="415" spans="1:13" x14ac:dyDescent="0.45">
      <c r="A415" t="s">
        <v>1357</v>
      </c>
      <c r="B415" s="18">
        <v>28.66</v>
      </c>
      <c r="C415" s="18">
        <v>31.65</v>
      </c>
      <c r="D415" s="18">
        <v>27.62</v>
      </c>
      <c r="E415" s="18">
        <v>18.25</v>
      </c>
      <c r="F415" s="18">
        <v>25.34</v>
      </c>
      <c r="G415" s="18">
        <v>30.607600000000001</v>
      </c>
      <c r="H415" s="18">
        <v>25.260950000000001</v>
      </c>
      <c r="I415" s="8">
        <v>-9.4470774091627074E-2</v>
      </c>
      <c r="J415" s="8">
        <v>3.7653874004344612E-2</v>
      </c>
      <c r="K415" s="8">
        <v>0.57041095890410953</v>
      </c>
      <c r="L415" s="8">
        <v>0.13101815311760071</v>
      </c>
      <c r="M415" s="18">
        <v>0.64461221193442775</v>
      </c>
    </row>
    <row r="416" spans="1:13" x14ac:dyDescent="0.45">
      <c r="A416" t="s">
        <v>874</v>
      </c>
      <c r="B416" s="18">
        <v>15.04</v>
      </c>
      <c r="C416" s="18">
        <v>16.670000000000002</v>
      </c>
      <c r="D416" s="18">
        <v>14.05</v>
      </c>
      <c r="E416" s="18">
        <v>9.58</v>
      </c>
      <c r="F416" s="18">
        <v>19.57</v>
      </c>
      <c r="G416" s="18">
        <v>15.040800000000001</v>
      </c>
      <c r="H416" s="18">
        <v>14.2803</v>
      </c>
      <c r="I416" s="8">
        <v>-9.7780443911217874E-2</v>
      </c>
      <c r="J416" s="8">
        <v>7.0462633451957135E-2</v>
      </c>
      <c r="K416" s="8">
        <v>0.56993736951983287</v>
      </c>
      <c r="L416" s="8">
        <v>-0.2314767501277466</v>
      </c>
      <c r="M416" s="18">
        <v>0.31114280893282548</v>
      </c>
    </row>
    <row r="417" spans="1:13" x14ac:dyDescent="0.45">
      <c r="A417" t="s">
        <v>1703</v>
      </c>
      <c r="B417" s="18">
        <v>14.85</v>
      </c>
      <c r="C417" s="18">
        <v>14.51</v>
      </c>
      <c r="D417" s="18">
        <v>12.96</v>
      </c>
      <c r="E417" s="18">
        <v>9.4600000000000009</v>
      </c>
      <c r="F417" s="18">
        <v>12.89</v>
      </c>
      <c r="G417" s="18">
        <v>14.4856</v>
      </c>
      <c r="H417" s="18">
        <v>13.11825</v>
      </c>
      <c r="I417" s="8">
        <v>2.3432115782219039E-2</v>
      </c>
      <c r="J417" s="8">
        <v>0.14583333333333329</v>
      </c>
      <c r="K417" s="8">
        <v>0.56976744186046502</v>
      </c>
      <c r="L417" s="8">
        <v>0.15205585725368501</v>
      </c>
      <c r="M417" s="18">
        <v>0.8910887482297023</v>
      </c>
    </row>
    <row r="418" spans="1:13" x14ac:dyDescent="0.45">
      <c r="A418" t="s">
        <v>705</v>
      </c>
      <c r="B418" s="18">
        <v>3.17</v>
      </c>
      <c r="C418" s="18">
        <v>3.13</v>
      </c>
      <c r="D418" s="18">
        <v>2.92</v>
      </c>
      <c r="E418" s="18">
        <v>2.02</v>
      </c>
      <c r="F418" s="18">
        <v>2.73</v>
      </c>
      <c r="G418" s="18">
        <v>3.0796000000000001</v>
      </c>
      <c r="H418" s="18">
        <v>2.5741000000000001</v>
      </c>
      <c r="I418" s="8">
        <v>1.27795527156549E-2</v>
      </c>
      <c r="J418" s="8">
        <v>8.5616438356164393E-2</v>
      </c>
      <c r="K418" s="8">
        <v>0.56930693069306937</v>
      </c>
      <c r="L418" s="8">
        <v>0.16117216117216099</v>
      </c>
      <c r="M418" s="18">
        <v>0.8288750829370497</v>
      </c>
    </row>
    <row r="419" spans="1:13" x14ac:dyDescent="0.45">
      <c r="A419" t="s">
        <v>29</v>
      </c>
      <c r="B419" s="18">
        <v>509.95</v>
      </c>
      <c r="C419" s="18">
        <v>423.51</v>
      </c>
      <c r="D419" s="18">
        <v>487.11</v>
      </c>
      <c r="E419" s="18">
        <v>325.04000000000002</v>
      </c>
      <c r="F419" s="18">
        <v>292.24</v>
      </c>
      <c r="G419" s="18">
        <v>448.79899999999998</v>
      </c>
      <c r="H419" s="18">
        <v>423.397175</v>
      </c>
      <c r="I419" s="8">
        <v>0.20410379920190791</v>
      </c>
      <c r="J419" s="8">
        <v>4.6888793085750669E-2</v>
      </c>
      <c r="K419" s="8">
        <v>0.56888382968250051</v>
      </c>
      <c r="L419" s="8">
        <v>0.74496988776348205</v>
      </c>
      <c r="M419" s="18">
        <v>1.5648463097336409</v>
      </c>
    </row>
    <row r="420" spans="1:13" x14ac:dyDescent="0.45">
      <c r="A420" t="s">
        <v>2091</v>
      </c>
      <c r="B420" s="18">
        <v>147.54</v>
      </c>
      <c r="C420" s="18">
        <v>142.38999999999999</v>
      </c>
      <c r="D420" s="18">
        <v>151.68</v>
      </c>
      <c r="E420" s="18">
        <v>94.06</v>
      </c>
      <c r="F420" s="18">
        <v>167.81</v>
      </c>
      <c r="G420" s="18">
        <v>145.68360000000001</v>
      </c>
      <c r="H420" s="18">
        <v>138.35505000000001</v>
      </c>
      <c r="I420" s="8">
        <v>3.6168270243696947E-2</v>
      </c>
      <c r="J420" s="8">
        <v>-2.7294303797468441E-2</v>
      </c>
      <c r="K420" s="8">
        <v>0.56857325111630863</v>
      </c>
      <c r="L420" s="8">
        <v>-0.1207913711936118</v>
      </c>
      <c r="M420" s="18">
        <v>0.45665584636892531</v>
      </c>
    </row>
    <row r="421" spans="1:13" x14ac:dyDescent="0.45">
      <c r="A421" t="s">
        <v>1111</v>
      </c>
      <c r="B421" s="18">
        <v>8.33</v>
      </c>
      <c r="C421" s="18">
        <v>8.9700000000000006</v>
      </c>
      <c r="D421" s="18">
        <v>8.85</v>
      </c>
      <c r="E421" s="18">
        <v>5.33</v>
      </c>
      <c r="F421" s="18">
        <v>6.66</v>
      </c>
      <c r="G421" s="18">
        <v>8.8420000000000005</v>
      </c>
      <c r="H421" s="18">
        <v>7.7750500000000002</v>
      </c>
      <c r="I421" s="8">
        <v>-7.1348940914158332E-2</v>
      </c>
      <c r="J421" s="8">
        <v>-5.875706214689258E-2</v>
      </c>
      <c r="K421" s="8">
        <v>0.56285178236397737</v>
      </c>
      <c r="L421" s="8">
        <v>0.25075075075075071</v>
      </c>
      <c r="M421" s="18">
        <v>0.68349653005367716</v>
      </c>
    </row>
    <row r="422" spans="1:13" x14ac:dyDescent="0.45">
      <c r="A422" t="s">
        <v>2535</v>
      </c>
      <c r="B422" s="18">
        <v>30.24</v>
      </c>
      <c r="C422" s="18">
        <v>29.71</v>
      </c>
      <c r="D422" s="18">
        <v>27.14</v>
      </c>
      <c r="E422" s="18">
        <v>19.36</v>
      </c>
      <c r="F422" s="18">
        <v>25.91</v>
      </c>
      <c r="G422" s="18">
        <v>29.452000000000002</v>
      </c>
      <c r="H422" s="18">
        <v>26.954650000000001</v>
      </c>
      <c r="I422" s="8">
        <v>1.7839111410299591E-2</v>
      </c>
      <c r="J422" s="8">
        <v>0.1142225497420781</v>
      </c>
      <c r="K422" s="8">
        <v>0.56198347107438007</v>
      </c>
      <c r="L422" s="8">
        <v>0.1671169432651485</v>
      </c>
      <c r="M422" s="18">
        <v>0.86116207549190626</v>
      </c>
    </row>
    <row r="423" spans="1:13" x14ac:dyDescent="0.45">
      <c r="A423" t="s">
        <v>2229</v>
      </c>
      <c r="B423" s="18">
        <v>188.45</v>
      </c>
      <c r="C423" s="18">
        <v>186.04</v>
      </c>
      <c r="D423" s="18">
        <v>173.08</v>
      </c>
      <c r="E423" s="18">
        <v>120.66</v>
      </c>
      <c r="F423" s="18">
        <v>162.27000000000001</v>
      </c>
      <c r="G423" s="18">
        <v>189.321</v>
      </c>
      <c r="H423" s="18">
        <v>158.98840000000001</v>
      </c>
      <c r="I423" s="8">
        <v>1.295420339711884E-2</v>
      </c>
      <c r="J423" s="8">
        <v>8.8802865726831381E-2</v>
      </c>
      <c r="K423" s="8">
        <v>0.56182662025526264</v>
      </c>
      <c r="L423" s="8">
        <v>0.16133604486349909</v>
      </c>
      <c r="M423" s="18">
        <v>0.82491973424271192</v>
      </c>
    </row>
    <row r="424" spans="1:13" x14ac:dyDescent="0.45">
      <c r="A424" t="s">
        <v>1522</v>
      </c>
      <c r="B424" s="18">
        <v>27.44</v>
      </c>
      <c r="C424" s="18">
        <v>29.55</v>
      </c>
      <c r="D424" s="18">
        <v>25.47</v>
      </c>
      <c r="E424" s="18">
        <v>17.57</v>
      </c>
      <c r="F424" s="18">
        <v>16.22</v>
      </c>
      <c r="G424" s="18">
        <v>28.194800000000001</v>
      </c>
      <c r="H424" s="18">
        <v>23.109850000000002</v>
      </c>
      <c r="I424" s="8">
        <v>-7.1404399323180989E-2</v>
      </c>
      <c r="J424" s="8">
        <v>7.7345897133883179E-2</v>
      </c>
      <c r="K424" s="8">
        <v>0.56175298804780871</v>
      </c>
      <c r="L424" s="8">
        <v>0.69173859432799034</v>
      </c>
      <c r="M424" s="18">
        <v>1.259433080186501</v>
      </c>
    </row>
    <row r="425" spans="1:13" x14ac:dyDescent="0.45">
      <c r="A425" t="s">
        <v>2373</v>
      </c>
      <c r="B425" s="18">
        <v>40.67</v>
      </c>
      <c r="C425" s="18">
        <v>40.01</v>
      </c>
      <c r="D425" s="18">
        <v>36.11</v>
      </c>
      <c r="E425" s="18">
        <v>26.12</v>
      </c>
      <c r="F425" s="18">
        <v>30.89</v>
      </c>
      <c r="G425" s="18">
        <v>40.1342</v>
      </c>
      <c r="H425" s="18">
        <v>34.460999999999999</v>
      </c>
      <c r="I425" s="8">
        <v>1.649587603099234E-2</v>
      </c>
      <c r="J425" s="8">
        <v>0.126280808640266</v>
      </c>
      <c r="K425" s="8">
        <v>0.55704441041347619</v>
      </c>
      <c r="L425" s="8">
        <v>0.31660731628358701</v>
      </c>
      <c r="M425" s="18">
        <v>1.016428411368322</v>
      </c>
    </row>
    <row r="426" spans="1:13" x14ac:dyDescent="0.45">
      <c r="A426" t="s">
        <v>700</v>
      </c>
      <c r="B426" s="18">
        <v>264.5</v>
      </c>
      <c r="C426" s="18">
        <v>263.92</v>
      </c>
      <c r="D426" s="18">
        <v>223.51</v>
      </c>
      <c r="E426" s="18">
        <v>169.89</v>
      </c>
      <c r="F426" s="18">
        <v>184.02</v>
      </c>
      <c r="G426" s="18">
        <v>257.16000000000003</v>
      </c>
      <c r="H426" s="18">
        <v>212.84645</v>
      </c>
      <c r="I426" s="8">
        <v>2.1976356471657969E-3</v>
      </c>
      <c r="J426" s="8">
        <v>0.1833922419578542</v>
      </c>
      <c r="K426" s="8">
        <v>0.55688975219259529</v>
      </c>
      <c r="L426" s="8">
        <v>0.43734376698184962</v>
      </c>
      <c r="M426" s="18">
        <v>1.1798233967794649</v>
      </c>
    </row>
    <row r="427" spans="1:13" x14ac:dyDescent="0.45">
      <c r="A427" t="s">
        <v>2326</v>
      </c>
      <c r="B427" s="18">
        <v>60.33</v>
      </c>
      <c r="C427" s="18">
        <v>62.22</v>
      </c>
      <c r="D427" s="18">
        <v>57.89</v>
      </c>
      <c r="E427" s="18">
        <v>38.78</v>
      </c>
      <c r="F427" s="18">
        <v>47.03</v>
      </c>
      <c r="G427" s="18">
        <v>60.950800000000001</v>
      </c>
      <c r="H427" s="18">
        <v>53.365850000000002</v>
      </c>
      <c r="I427" s="8">
        <v>-3.0376084860173621E-2</v>
      </c>
      <c r="J427" s="8">
        <v>4.2148903092071199E-2</v>
      </c>
      <c r="K427" s="8">
        <v>0.5556988138215575</v>
      </c>
      <c r="L427" s="8">
        <v>0.28279821390601739</v>
      </c>
      <c r="M427" s="18">
        <v>0.85026984595947253</v>
      </c>
    </row>
    <row r="428" spans="1:13" x14ac:dyDescent="0.45">
      <c r="A428" t="s">
        <v>1715</v>
      </c>
      <c r="B428" s="18">
        <v>12.21</v>
      </c>
      <c r="C428" s="18">
        <v>12.17</v>
      </c>
      <c r="D428" s="18">
        <v>12.04</v>
      </c>
      <c r="E428" s="18">
        <v>7.85</v>
      </c>
      <c r="F428" s="18">
        <v>13.91</v>
      </c>
      <c r="G428" s="18">
        <v>12.153</v>
      </c>
      <c r="H428" s="18">
        <v>11.0442</v>
      </c>
      <c r="I428" s="8">
        <v>3.28677074774042E-3</v>
      </c>
      <c r="J428" s="8">
        <v>1.411960132890377E-2</v>
      </c>
      <c r="K428" s="8">
        <v>0.5554140127388536</v>
      </c>
      <c r="L428" s="8">
        <v>-0.12221423436376699</v>
      </c>
      <c r="M428" s="18">
        <v>0.4506061504517308</v>
      </c>
    </row>
    <row r="429" spans="1:13" x14ac:dyDescent="0.45">
      <c r="A429" t="s">
        <v>249</v>
      </c>
      <c r="B429" s="18">
        <v>212.41</v>
      </c>
      <c r="C429" s="18">
        <v>217.7</v>
      </c>
      <c r="D429" s="18">
        <v>182.97</v>
      </c>
      <c r="E429" s="18">
        <v>136.63</v>
      </c>
      <c r="F429" s="18">
        <v>150.72</v>
      </c>
      <c r="G429" s="18">
        <v>210.34530000000001</v>
      </c>
      <c r="H429" s="18">
        <v>183.19217499999999</v>
      </c>
      <c r="I429" s="8">
        <v>-2.429949471750115E-2</v>
      </c>
      <c r="J429" s="8">
        <v>0.16090069410285829</v>
      </c>
      <c r="K429" s="8">
        <v>0.55463660982214735</v>
      </c>
      <c r="L429" s="8">
        <v>0.40930201698513802</v>
      </c>
      <c r="M429" s="18">
        <v>1.1005398261926429</v>
      </c>
    </row>
    <row r="430" spans="1:13" x14ac:dyDescent="0.45">
      <c r="A430" t="s">
        <v>2505</v>
      </c>
      <c r="B430" s="18">
        <v>280.37</v>
      </c>
      <c r="C430" s="18">
        <v>276.13</v>
      </c>
      <c r="D430" s="18">
        <v>258.16000000000003</v>
      </c>
      <c r="E430" s="18">
        <v>180.4</v>
      </c>
      <c r="F430" s="18">
        <v>204.95</v>
      </c>
      <c r="G430" s="18">
        <v>275.988</v>
      </c>
      <c r="H430" s="18">
        <v>235.00890000000001</v>
      </c>
      <c r="I430" s="8">
        <v>1.535508637236083E-2</v>
      </c>
      <c r="J430" s="8">
        <v>8.6031918190269563E-2</v>
      </c>
      <c r="K430" s="8">
        <v>0.55415742793791578</v>
      </c>
      <c r="L430" s="8">
        <v>0.36799219321785798</v>
      </c>
      <c r="M430" s="18">
        <v>1.023536625718404</v>
      </c>
    </row>
    <row r="431" spans="1:13" x14ac:dyDescent="0.45">
      <c r="A431" t="s">
        <v>1457</v>
      </c>
      <c r="B431" s="18">
        <v>2.89</v>
      </c>
      <c r="C431" s="18">
        <v>2.9</v>
      </c>
      <c r="D431" s="18">
        <v>2.2235</v>
      </c>
      <c r="E431" s="18">
        <v>1.86</v>
      </c>
      <c r="F431" s="18">
        <v>2.2400000000000002</v>
      </c>
      <c r="G431" s="18">
        <v>2.838498</v>
      </c>
      <c r="H431" s="18">
        <v>2.3347125000000002</v>
      </c>
      <c r="I431" s="8">
        <v>-3.448275862068861E-3</v>
      </c>
      <c r="J431" s="8">
        <v>0.29975264223071729</v>
      </c>
      <c r="K431" s="8">
        <v>0.55376344086021501</v>
      </c>
      <c r="L431" s="8">
        <v>0.2901785714285714</v>
      </c>
      <c r="M431" s="18">
        <v>1.1402463786574351</v>
      </c>
    </row>
    <row r="432" spans="1:13" x14ac:dyDescent="0.45">
      <c r="A432" t="s">
        <v>2105</v>
      </c>
      <c r="B432" s="18">
        <v>7.44</v>
      </c>
      <c r="C432" s="18">
        <v>5.97</v>
      </c>
      <c r="D432" s="18">
        <v>4.49</v>
      </c>
      <c r="E432" s="18">
        <v>4.79</v>
      </c>
      <c r="F432" s="18">
        <v>8.7899999999999991</v>
      </c>
      <c r="G432" s="18">
        <v>5.8130000000000006</v>
      </c>
      <c r="H432" s="18">
        <v>5.5919000000000008</v>
      </c>
      <c r="I432" s="8">
        <v>0.24623115577889451</v>
      </c>
      <c r="J432" s="8">
        <v>0.65701559020044553</v>
      </c>
      <c r="K432" s="8">
        <v>0.55323590814196244</v>
      </c>
      <c r="L432" s="8">
        <v>-0.15358361774744009</v>
      </c>
      <c r="M432" s="18">
        <v>1.302899036373862</v>
      </c>
    </row>
    <row r="433" spans="1:13" x14ac:dyDescent="0.45">
      <c r="A433" t="s">
        <v>2066</v>
      </c>
      <c r="B433" s="18">
        <v>3.4</v>
      </c>
      <c r="C433" s="18">
        <v>3.14</v>
      </c>
      <c r="D433" s="18">
        <v>2.89</v>
      </c>
      <c r="E433" s="18">
        <v>2.19</v>
      </c>
      <c r="F433" s="18">
        <v>4.67</v>
      </c>
      <c r="G433" s="18">
        <v>3.1366000000000001</v>
      </c>
      <c r="H433" s="18">
        <v>3.060750000000001</v>
      </c>
      <c r="I433" s="8">
        <v>8.2802547770700619E-2</v>
      </c>
      <c r="J433" s="8">
        <v>0.17647058823529391</v>
      </c>
      <c r="K433" s="8">
        <v>0.55251141552511407</v>
      </c>
      <c r="L433" s="8">
        <v>-0.27194860813704502</v>
      </c>
      <c r="M433" s="18">
        <v>0.5398359433940636</v>
      </c>
    </row>
    <row r="434" spans="1:13" x14ac:dyDescent="0.45">
      <c r="A434" t="s">
        <v>1030</v>
      </c>
      <c r="B434" s="18">
        <v>57.5</v>
      </c>
      <c r="C434" s="18">
        <v>60.75</v>
      </c>
      <c r="D434" s="18">
        <v>60.21</v>
      </c>
      <c r="E434" s="18">
        <v>37.04</v>
      </c>
      <c r="F434" s="18">
        <v>44.26</v>
      </c>
      <c r="G434" s="18">
        <v>59.266399999999997</v>
      </c>
      <c r="H434" s="18">
        <v>50.032899999999998</v>
      </c>
      <c r="I434" s="8">
        <v>-5.3497942386831247E-2</v>
      </c>
      <c r="J434" s="8">
        <v>-4.5009134695233377E-2</v>
      </c>
      <c r="K434" s="8">
        <v>0.55237580993520519</v>
      </c>
      <c r="L434" s="8">
        <v>0.29914143696339818</v>
      </c>
      <c r="M434" s="18">
        <v>0.75301016981653879</v>
      </c>
    </row>
    <row r="435" spans="1:13" x14ac:dyDescent="0.45">
      <c r="A435" t="s">
        <v>369</v>
      </c>
      <c r="B435" s="18">
        <v>155.65</v>
      </c>
      <c r="C435" s="18">
        <v>152.22</v>
      </c>
      <c r="D435" s="18">
        <v>143.09</v>
      </c>
      <c r="E435" s="18">
        <v>100.31</v>
      </c>
      <c r="F435" s="18">
        <v>107.88</v>
      </c>
      <c r="G435" s="18">
        <v>150.97</v>
      </c>
      <c r="H435" s="18">
        <v>133.68854999999999</v>
      </c>
      <c r="I435" s="8">
        <v>2.253317566679813E-2</v>
      </c>
      <c r="J435" s="8">
        <v>8.7776923614508284E-2</v>
      </c>
      <c r="K435" s="8">
        <v>0.55168976173861028</v>
      </c>
      <c r="L435" s="8">
        <v>0.44280682239525421</v>
      </c>
      <c r="M435" s="18">
        <v>1.1048066834151711</v>
      </c>
    </row>
    <row r="436" spans="1:13" x14ac:dyDescent="0.45">
      <c r="A436" t="s">
        <v>1370</v>
      </c>
      <c r="B436" s="18">
        <v>5.91</v>
      </c>
      <c r="C436" s="18">
        <v>6.19</v>
      </c>
      <c r="D436" s="18">
        <v>5.2</v>
      </c>
      <c r="E436" s="18">
        <v>3.81</v>
      </c>
      <c r="F436" s="18">
        <v>7.5</v>
      </c>
      <c r="G436" s="18">
        <v>5.9396000000000004</v>
      </c>
      <c r="H436" s="18">
        <v>5.2224500000000003</v>
      </c>
      <c r="I436" s="8">
        <v>-4.5234248788368348E-2</v>
      </c>
      <c r="J436" s="8">
        <v>0.1365384615384615</v>
      </c>
      <c r="K436" s="8">
        <v>0.55118110236220463</v>
      </c>
      <c r="L436" s="8">
        <v>-0.21199999999999999</v>
      </c>
      <c r="M436" s="18">
        <v>0.43048531511229782</v>
      </c>
    </row>
    <row r="437" spans="1:13" x14ac:dyDescent="0.45">
      <c r="A437" t="s">
        <v>301</v>
      </c>
      <c r="B437" s="18">
        <v>290.83</v>
      </c>
      <c r="C437" s="18">
        <v>267.07</v>
      </c>
      <c r="D437" s="18">
        <v>258.11</v>
      </c>
      <c r="E437" s="18">
        <v>187.54</v>
      </c>
      <c r="F437" s="18">
        <v>258.3</v>
      </c>
      <c r="G437" s="18">
        <v>273.08699999999999</v>
      </c>
      <c r="H437" s="18">
        <v>227.62549999999999</v>
      </c>
      <c r="I437" s="8">
        <v>8.8965439772344279E-2</v>
      </c>
      <c r="J437" s="8">
        <v>0.12676765720041841</v>
      </c>
      <c r="K437" s="8">
        <v>0.55076250399914684</v>
      </c>
      <c r="L437" s="8">
        <v>0.1259388308168794</v>
      </c>
      <c r="M437" s="18">
        <v>0.8924344317887889</v>
      </c>
    </row>
    <row r="438" spans="1:13" x14ac:dyDescent="0.45">
      <c r="A438" t="s">
        <v>1830</v>
      </c>
      <c r="B438" s="18">
        <v>15.46</v>
      </c>
      <c r="C438" s="18">
        <v>15.46</v>
      </c>
      <c r="D438" s="18">
        <v>13.03</v>
      </c>
      <c r="E438" s="18">
        <v>9.9700000000000006</v>
      </c>
      <c r="F438" s="18">
        <v>13.23</v>
      </c>
      <c r="G438" s="18">
        <v>14.4092</v>
      </c>
      <c r="H438" s="18">
        <v>12.594900000000001</v>
      </c>
      <c r="I438" s="8">
        <v>0</v>
      </c>
      <c r="J438" s="8">
        <v>0.18649270913277061</v>
      </c>
      <c r="K438" s="8">
        <v>0.55065195586760285</v>
      </c>
      <c r="L438" s="8">
        <v>0.16855631141345431</v>
      </c>
      <c r="M438" s="18">
        <v>0.90570097641382774</v>
      </c>
    </row>
    <row r="439" spans="1:13" x14ac:dyDescent="0.45">
      <c r="A439" t="s">
        <v>448</v>
      </c>
      <c r="B439" s="18">
        <v>116.69</v>
      </c>
      <c r="C439" s="18">
        <v>112.05</v>
      </c>
      <c r="D439" s="18">
        <v>110.21</v>
      </c>
      <c r="E439" s="18">
        <v>75.33</v>
      </c>
      <c r="F439" s="18">
        <v>87.31</v>
      </c>
      <c r="G439" s="18">
        <v>113.0442</v>
      </c>
      <c r="H439" s="18">
        <v>100.4473</v>
      </c>
      <c r="I439" s="8">
        <v>4.1410084783578771E-2</v>
      </c>
      <c r="J439" s="8">
        <v>5.8796842391797499E-2</v>
      </c>
      <c r="K439" s="8">
        <v>0.54905084295765305</v>
      </c>
      <c r="L439" s="8">
        <v>0.33650211888672538</v>
      </c>
      <c r="M439" s="18">
        <v>0.98575988901975475</v>
      </c>
    </row>
    <row r="440" spans="1:13" x14ac:dyDescent="0.45">
      <c r="A440" t="s">
        <v>383</v>
      </c>
      <c r="B440" s="18">
        <v>130.75</v>
      </c>
      <c r="C440" s="18">
        <v>128.88</v>
      </c>
      <c r="D440" s="18">
        <v>126.62</v>
      </c>
      <c r="E440" s="18">
        <v>84.45</v>
      </c>
      <c r="F440" s="18">
        <v>90.46</v>
      </c>
      <c r="G440" s="18">
        <v>129.51519999999999</v>
      </c>
      <c r="H440" s="18">
        <v>112.79395</v>
      </c>
      <c r="I440" s="8">
        <v>1.4509621353196779E-2</v>
      </c>
      <c r="J440" s="8">
        <v>3.2617280050544872E-2</v>
      </c>
      <c r="K440" s="8">
        <v>0.54825340438129055</v>
      </c>
      <c r="L440" s="8">
        <v>0.44539022772496151</v>
      </c>
      <c r="M440" s="18">
        <v>1.0407705335099939</v>
      </c>
    </row>
    <row r="441" spans="1:13" x14ac:dyDescent="0.45">
      <c r="A441" t="s">
        <v>2456</v>
      </c>
      <c r="B441" s="18">
        <v>12.09</v>
      </c>
      <c r="C441" s="18">
        <v>12.98</v>
      </c>
      <c r="D441" s="18">
        <v>13.49</v>
      </c>
      <c r="E441" s="18">
        <v>7.81</v>
      </c>
      <c r="F441" s="18">
        <v>13.7</v>
      </c>
      <c r="G441" s="18">
        <v>12.8744</v>
      </c>
      <c r="H441" s="18">
        <v>11.8055</v>
      </c>
      <c r="I441" s="8">
        <v>-6.8567026194144898E-2</v>
      </c>
      <c r="J441" s="8">
        <v>-0.1037805782060786</v>
      </c>
      <c r="K441" s="8">
        <v>0.54801536491677338</v>
      </c>
      <c r="L441" s="8">
        <v>-0.1175182481751824</v>
      </c>
      <c r="M441" s="18">
        <v>0.25814951234136752</v>
      </c>
    </row>
    <row r="442" spans="1:13" x14ac:dyDescent="0.45">
      <c r="A442" t="s">
        <v>228</v>
      </c>
      <c r="B442" s="18">
        <v>92.08</v>
      </c>
      <c r="C442" s="18">
        <v>92.454999999999998</v>
      </c>
      <c r="D442" s="18">
        <v>77.22</v>
      </c>
      <c r="E442" s="18">
        <v>59.52</v>
      </c>
      <c r="F442" s="18">
        <v>66.290000000000006</v>
      </c>
      <c r="G442" s="18">
        <v>92.89370000000001</v>
      </c>
      <c r="H442" s="18">
        <v>75.525900000000007</v>
      </c>
      <c r="I442" s="8">
        <v>-4.0560272565031141E-3</v>
      </c>
      <c r="J442" s="8">
        <v>0.1924371924371924</v>
      </c>
      <c r="K442" s="8">
        <v>0.54704301075268802</v>
      </c>
      <c r="L442" s="8">
        <v>0.38904812188867077</v>
      </c>
      <c r="M442" s="18">
        <v>1.1244722978220481</v>
      </c>
    </row>
    <row r="443" spans="1:13" x14ac:dyDescent="0.45">
      <c r="A443" t="s">
        <v>2011</v>
      </c>
      <c r="B443" s="18">
        <v>27.89</v>
      </c>
      <c r="C443" s="18">
        <v>26.72</v>
      </c>
      <c r="D443" s="18">
        <v>25.03</v>
      </c>
      <c r="E443" s="18">
        <v>18.03</v>
      </c>
      <c r="F443" s="18">
        <v>18.739999999999998</v>
      </c>
      <c r="G443" s="18">
        <v>26.896999999999998</v>
      </c>
      <c r="H443" s="18">
        <v>22.152950000000001</v>
      </c>
      <c r="I443" s="8">
        <v>4.3787425149700583E-2</v>
      </c>
      <c r="J443" s="8">
        <v>0.1142628845385536</v>
      </c>
      <c r="K443" s="8">
        <v>0.54686633388796446</v>
      </c>
      <c r="L443" s="8">
        <v>0.48826040554962669</v>
      </c>
      <c r="M443" s="18">
        <v>1.1931770491258451</v>
      </c>
    </row>
    <row r="444" spans="1:13" x14ac:dyDescent="0.45">
      <c r="A444" t="s">
        <v>440</v>
      </c>
      <c r="B444" s="18">
        <v>76.099999999999994</v>
      </c>
      <c r="C444" s="18">
        <v>75.06</v>
      </c>
      <c r="D444" s="18">
        <v>77.7</v>
      </c>
      <c r="E444" s="18">
        <v>49.2</v>
      </c>
      <c r="F444" s="18">
        <v>96.83</v>
      </c>
      <c r="G444" s="18">
        <v>74.682100000000005</v>
      </c>
      <c r="H444" s="18">
        <v>73.233574999999988</v>
      </c>
      <c r="I444" s="8">
        <v>1.385558220090588E-2</v>
      </c>
      <c r="J444" s="8">
        <v>-2.0592020592020699E-2</v>
      </c>
      <c r="K444" s="8">
        <v>0.54674796747967469</v>
      </c>
      <c r="L444" s="8">
        <v>-0.214086543426624</v>
      </c>
      <c r="M444" s="18">
        <v>0.32592498566193578</v>
      </c>
    </row>
    <row r="445" spans="1:13" x14ac:dyDescent="0.45">
      <c r="A445" t="s">
        <v>1600</v>
      </c>
      <c r="B445" s="18">
        <v>35.83</v>
      </c>
      <c r="C445" s="18">
        <v>36.72</v>
      </c>
      <c r="D445" s="18">
        <v>32.549999999999997</v>
      </c>
      <c r="E445" s="18">
        <v>23.17</v>
      </c>
      <c r="F445" s="18">
        <v>47.08</v>
      </c>
      <c r="G445" s="18">
        <v>35.412799999999997</v>
      </c>
      <c r="H445" s="18">
        <v>31.985949999999999</v>
      </c>
      <c r="I445" s="8">
        <v>-2.423747276688459E-2</v>
      </c>
      <c r="J445" s="8">
        <v>0.10076804915514589</v>
      </c>
      <c r="K445" s="8">
        <v>0.54639620198532568</v>
      </c>
      <c r="L445" s="8">
        <v>-0.2389549702633815</v>
      </c>
      <c r="M445" s="18">
        <v>0.38397180811020548</v>
      </c>
    </row>
    <row r="446" spans="1:13" x14ac:dyDescent="0.45">
      <c r="A446" t="s">
        <v>2431</v>
      </c>
      <c r="B446" s="18">
        <v>409.07</v>
      </c>
      <c r="C446" s="18">
        <v>372.02</v>
      </c>
      <c r="D446" s="18">
        <v>340.1</v>
      </c>
      <c r="E446" s="18">
        <v>264.7</v>
      </c>
      <c r="F446" s="18">
        <v>290.54000000000002</v>
      </c>
      <c r="G446" s="18">
        <v>376.0582</v>
      </c>
      <c r="H446" s="18">
        <v>333.54145000000011</v>
      </c>
      <c r="I446" s="8">
        <v>9.9591419816138949E-2</v>
      </c>
      <c r="J446" s="8">
        <v>0.20279329608938551</v>
      </c>
      <c r="K446" s="8">
        <v>0.54540989799773332</v>
      </c>
      <c r="L446" s="8">
        <v>0.40796447993391588</v>
      </c>
      <c r="M446" s="18">
        <v>1.2557590938371741</v>
      </c>
    </row>
    <row r="447" spans="1:13" x14ac:dyDescent="0.45">
      <c r="A447" t="s">
        <v>2311</v>
      </c>
      <c r="B447" s="18">
        <v>14.03</v>
      </c>
      <c r="C447" s="18">
        <v>11.69</v>
      </c>
      <c r="D447" s="18">
        <v>11.75</v>
      </c>
      <c r="E447" s="18">
        <v>9.08</v>
      </c>
      <c r="F447" s="18"/>
      <c r="G447" s="18">
        <v>11.644399999999999</v>
      </c>
      <c r="H447" s="18"/>
      <c r="I447" s="8">
        <v>0.20017108639863121</v>
      </c>
      <c r="J447" s="8">
        <v>0.1940425531914893</v>
      </c>
      <c r="K447" s="8">
        <v>0.54515418502202628</v>
      </c>
      <c r="L447" s="8"/>
      <c r="M447" s="18">
        <v>0.93936782461214685</v>
      </c>
    </row>
    <row r="448" spans="1:13" x14ac:dyDescent="0.45">
      <c r="A448" t="s">
        <v>485</v>
      </c>
      <c r="B448" s="18">
        <v>162.44</v>
      </c>
      <c r="C448" s="18">
        <v>161.83000000000001</v>
      </c>
      <c r="D448" s="18">
        <v>154.81</v>
      </c>
      <c r="E448" s="18">
        <v>105.18</v>
      </c>
      <c r="F448" s="18">
        <v>142.41999999999999</v>
      </c>
      <c r="G448" s="18">
        <v>152.1996</v>
      </c>
      <c r="H448" s="18">
        <v>135.85104999999999</v>
      </c>
      <c r="I448" s="8">
        <v>3.7693876289932589E-3</v>
      </c>
      <c r="J448" s="8">
        <v>4.928622182029585E-2</v>
      </c>
      <c r="K448" s="8">
        <v>0.54440007606008733</v>
      </c>
      <c r="L448" s="8">
        <v>0.14057014464260639</v>
      </c>
      <c r="M448" s="18">
        <v>0.73802583015198286</v>
      </c>
    </row>
    <row r="449" spans="1:13" x14ac:dyDescent="0.45">
      <c r="A449" t="s">
        <v>2356</v>
      </c>
      <c r="B449" s="18">
        <v>2.4700000000000002</v>
      </c>
      <c r="C449" s="18">
        <v>2.8</v>
      </c>
      <c r="D449" s="18">
        <v>2.16</v>
      </c>
      <c r="E449" s="18">
        <v>1.6</v>
      </c>
      <c r="F449" s="18">
        <v>2.6</v>
      </c>
      <c r="G449" s="18">
        <v>2.6309999999999998</v>
      </c>
      <c r="H449" s="18">
        <v>2.12615</v>
      </c>
      <c r="I449" s="8">
        <v>-0.1178571428571428</v>
      </c>
      <c r="J449" s="8">
        <v>0.1435185185185186</v>
      </c>
      <c r="K449" s="8">
        <v>0.54374999999999996</v>
      </c>
      <c r="L449" s="8">
        <v>-4.9999999999999933E-2</v>
      </c>
      <c r="M449" s="18">
        <v>0.51941137566137585</v>
      </c>
    </row>
    <row r="450" spans="1:13" x14ac:dyDescent="0.45">
      <c r="A450" t="s">
        <v>881</v>
      </c>
      <c r="B450" s="18">
        <v>26.67</v>
      </c>
      <c r="C450" s="18">
        <v>27.33</v>
      </c>
      <c r="D450" s="18">
        <v>28.67</v>
      </c>
      <c r="E450" s="18">
        <v>17.28</v>
      </c>
      <c r="F450" s="18">
        <v>13.51</v>
      </c>
      <c r="G450" s="18">
        <v>27.271000000000001</v>
      </c>
      <c r="H450" s="18">
        <v>24.313700000000001</v>
      </c>
      <c r="I450" s="8">
        <v>-2.4149286498353351E-2</v>
      </c>
      <c r="J450" s="8">
        <v>-6.9759330310429024E-2</v>
      </c>
      <c r="K450" s="8">
        <v>0.54340277777777768</v>
      </c>
      <c r="L450" s="8">
        <v>0.97409326424870479</v>
      </c>
      <c r="M450" s="18">
        <v>1.4235874252177001</v>
      </c>
    </row>
    <row r="451" spans="1:13" x14ac:dyDescent="0.45">
      <c r="A451" t="s">
        <v>1634</v>
      </c>
      <c r="B451" s="18">
        <v>75.489999999999995</v>
      </c>
      <c r="C451" s="18">
        <v>78.569999999999993</v>
      </c>
      <c r="D451" s="18">
        <v>73.75</v>
      </c>
      <c r="E451" s="18">
        <v>48.93</v>
      </c>
      <c r="F451" s="18">
        <v>53.63</v>
      </c>
      <c r="G451" s="18">
        <v>75.380600000000001</v>
      </c>
      <c r="H451" s="18">
        <v>65.674249999999986</v>
      </c>
      <c r="I451" s="8">
        <v>-3.9200712740231618E-2</v>
      </c>
      <c r="J451" s="8">
        <v>2.3593220338983031E-2</v>
      </c>
      <c r="K451" s="8">
        <v>0.54281626813815653</v>
      </c>
      <c r="L451" s="8">
        <v>0.40760768226738753</v>
      </c>
      <c r="M451" s="18">
        <v>0.93481645800429547</v>
      </c>
    </row>
    <row r="452" spans="1:13" x14ac:dyDescent="0.45">
      <c r="A452" t="s">
        <v>1445</v>
      </c>
      <c r="B452" s="18">
        <v>243.16</v>
      </c>
      <c r="C452" s="18">
        <v>266.14</v>
      </c>
      <c r="D452" s="18">
        <v>202.34</v>
      </c>
      <c r="E452" s="18">
        <v>157.66</v>
      </c>
      <c r="F452" s="18">
        <v>238.77</v>
      </c>
      <c r="G452" s="18">
        <v>254.1114</v>
      </c>
      <c r="H452" s="18">
        <v>195.99449999999999</v>
      </c>
      <c r="I452" s="8">
        <v>-8.6345532426542415E-2</v>
      </c>
      <c r="J452" s="8">
        <v>0.20173964614016021</v>
      </c>
      <c r="K452" s="8">
        <v>0.54230622859317523</v>
      </c>
      <c r="L452" s="8">
        <v>1.8385894375340332E-2</v>
      </c>
      <c r="M452" s="18">
        <v>0.6760862366821333</v>
      </c>
    </row>
    <row r="453" spans="1:13" x14ac:dyDescent="0.45">
      <c r="A453" t="s">
        <v>2329</v>
      </c>
      <c r="B453" s="18">
        <v>85.12</v>
      </c>
      <c r="C453" s="18">
        <v>99.51</v>
      </c>
      <c r="D453" s="18">
        <v>72.67</v>
      </c>
      <c r="E453" s="18">
        <v>55.2</v>
      </c>
      <c r="F453" s="18">
        <v>41.75</v>
      </c>
      <c r="G453" s="18">
        <v>96.403800000000004</v>
      </c>
      <c r="H453" s="18">
        <v>73.731800000000007</v>
      </c>
      <c r="I453" s="8">
        <v>-0.1446085820520551</v>
      </c>
      <c r="J453" s="8">
        <v>0.1713224164029172</v>
      </c>
      <c r="K453" s="8">
        <v>0.54202898550724643</v>
      </c>
      <c r="L453" s="8">
        <v>1.0388023952095811</v>
      </c>
      <c r="M453" s="18">
        <v>1.6075452150676901</v>
      </c>
    </row>
    <row r="454" spans="1:13" x14ac:dyDescent="0.45">
      <c r="A454" t="s">
        <v>2415</v>
      </c>
      <c r="B454" s="18">
        <v>8.3699999999999992</v>
      </c>
      <c r="C454" s="18">
        <v>7.35</v>
      </c>
      <c r="D454" s="18">
        <v>7.85</v>
      </c>
      <c r="E454" s="18">
        <v>5.43</v>
      </c>
      <c r="F454" s="18">
        <v>10.31</v>
      </c>
      <c r="G454" s="18">
        <v>7.726</v>
      </c>
      <c r="H454" s="18">
        <v>7.8759499999999996</v>
      </c>
      <c r="I454" s="8">
        <v>0.13877551020408149</v>
      </c>
      <c r="J454" s="8">
        <v>6.6242038216560495E-2</v>
      </c>
      <c r="K454" s="8">
        <v>0.54143646408839774</v>
      </c>
      <c r="L454" s="8">
        <v>-0.18816682832201759</v>
      </c>
      <c r="M454" s="18">
        <v>0.55828718418702217</v>
      </c>
    </row>
    <row r="455" spans="1:13" x14ac:dyDescent="0.45">
      <c r="A455" t="s">
        <v>162</v>
      </c>
      <c r="B455" s="18">
        <v>134.04</v>
      </c>
      <c r="C455" s="18">
        <v>126.05</v>
      </c>
      <c r="D455" s="18">
        <v>100.84</v>
      </c>
      <c r="E455" s="18">
        <v>86.965000000000003</v>
      </c>
      <c r="F455" s="18">
        <v>106.73</v>
      </c>
      <c r="G455" s="18">
        <v>126.6182</v>
      </c>
      <c r="H455" s="18">
        <v>105.0949</v>
      </c>
      <c r="I455" s="8">
        <v>6.3387544625148617E-2</v>
      </c>
      <c r="J455" s="8">
        <v>0.32923443078143588</v>
      </c>
      <c r="K455" s="8">
        <v>0.5413097223020753</v>
      </c>
      <c r="L455" s="8">
        <v>0.25587932165276861</v>
      </c>
      <c r="M455" s="18">
        <v>1.189811019361428</v>
      </c>
    </row>
    <row r="456" spans="1:13" x14ac:dyDescent="0.45">
      <c r="A456" t="s">
        <v>1690</v>
      </c>
      <c r="B456" s="18">
        <v>17.52</v>
      </c>
      <c r="C456" s="18">
        <v>19.940000000000001</v>
      </c>
      <c r="D456" s="18">
        <v>21.79</v>
      </c>
      <c r="E456" s="18">
        <v>11.37</v>
      </c>
      <c r="F456" s="18">
        <v>10.96</v>
      </c>
      <c r="G456" s="18">
        <v>21.271999999999998</v>
      </c>
      <c r="H456" s="18">
        <v>16.689272500000001</v>
      </c>
      <c r="I456" s="8">
        <v>-0.1213640922768305</v>
      </c>
      <c r="J456" s="8">
        <v>-0.19596145020651681</v>
      </c>
      <c r="K456" s="8">
        <v>0.54089709762532978</v>
      </c>
      <c r="L456" s="8">
        <v>0.5985401459854014</v>
      </c>
      <c r="M456" s="18">
        <v>0.82211170112738385</v>
      </c>
    </row>
    <row r="457" spans="1:13" x14ac:dyDescent="0.45">
      <c r="A457" t="s">
        <v>1564</v>
      </c>
      <c r="B457" s="18">
        <v>80.41</v>
      </c>
      <c r="C457" s="18">
        <v>78.53</v>
      </c>
      <c r="D457" s="18">
        <v>70.510000000000005</v>
      </c>
      <c r="E457" s="18">
        <v>52.22</v>
      </c>
      <c r="F457" s="18">
        <v>80.010000000000005</v>
      </c>
      <c r="G457" s="18">
        <v>74.874800000000008</v>
      </c>
      <c r="H457" s="18">
        <v>72.086700000000008</v>
      </c>
      <c r="I457" s="8">
        <v>2.3939895581306381E-2</v>
      </c>
      <c r="J457" s="8">
        <v>0.14040561622464881</v>
      </c>
      <c r="K457" s="8">
        <v>0.53983148219073152</v>
      </c>
      <c r="L457" s="8">
        <v>4.9993750781152091E-3</v>
      </c>
      <c r="M457" s="18">
        <v>0.70917636907480186</v>
      </c>
    </row>
    <row r="458" spans="1:13" x14ac:dyDescent="0.45">
      <c r="A458" t="s">
        <v>1603</v>
      </c>
      <c r="B458" s="18">
        <v>27.54</v>
      </c>
      <c r="C458" s="18">
        <v>31.41</v>
      </c>
      <c r="D458" s="18">
        <v>27.73</v>
      </c>
      <c r="E458" s="18">
        <v>17.91</v>
      </c>
      <c r="F458" s="18">
        <v>35.81</v>
      </c>
      <c r="G458" s="18">
        <v>30.654</v>
      </c>
      <c r="H458" s="18">
        <v>25.218250000000001</v>
      </c>
      <c r="I458" s="8">
        <v>-0.12320916905444119</v>
      </c>
      <c r="J458" s="8">
        <v>-6.8517850703210259E-3</v>
      </c>
      <c r="K458" s="8">
        <v>0.53768844221105527</v>
      </c>
      <c r="L458" s="8">
        <v>-0.23094107791119811</v>
      </c>
      <c r="M458" s="18">
        <v>0.1766864101750949</v>
      </c>
    </row>
    <row r="459" spans="1:13" x14ac:dyDescent="0.45">
      <c r="A459" t="s">
        <v>612</v>
      </c>
      <c r="B459" s="18">
        <v>25.25</v>
      </c>
      <c r="C459" s="18">
        <v>23.71</v>
      </c>
      <c r="D459" s="18">
        <v>24.02</v>
      </c>
      <c r="E459" s="18">
        <v>16.43</v>
      </c>
      <c r="F459" s="18">
        <v>26.47</v>
      </c>
      <c r="G459" s="18">
        <v>24.39</v>
      </c>
      <c r="H459" s="18">
        <v>21.95645</v>
      </c>
      <c r="I459" s="8">
        <v>6.4951497258540769E-2</v>
      </c>
      <c r="J459" s="8">
        <v>5.1207327227310577E-2</v>
      </c>
      <c r="K459" s="8">
        <v>0.53682288496652464</v>
      </c>
      <c r="L459" s="8">
        <v>-4.6089913109180203E-2</v>
      </c>
      <c r="M459" s="18">
        <v>0.60689179634319579</v>
      </c>
    </row>
    <row r="460" spans="1:13" x14ac:dyDescent="0.45">
      <c r="A460" t="s">
        <v>841</v>
      </c>
      <c r="B460" s="18">
        <v>13.03</v>
      </c>
      <c r="C460" s="18">
        <v>15.82</v>
      </c>
      <c r="D460" s="18">
        <v>13.15</v>
      </c>
      <c r="E460" s="18">
        <v>8.5</v>
      </c>
      <c r="F460" s="18">
        <v>15.64</v>
      </c>
      <c r="G460" s="18">
        <v>14.944599999999999</v>
      </c>
      <c r="H460" s="18">
        <v>12.34285</v>
      </c>
      <c r="I460" s="8">
        <v>-0.17635903919089771</v>
      </c>
      <c r="J460" s="8">
        <v>-9.1254752851711585E-3</v>
      </c>
      <c r="K460" s="8">
        <v>0.53294117647058825</v>
      </c>
      <c r="L460" s="8">
        <v>-0.16687979539641951</v>
      </c>
      <c r="M460" s="18">
        <v>0.18057686659809991</v>
      </c>
    </row>
    <row r="461" spans="1:13" x14ac:dyDescent="0.45">
      <c r="A461" t="s">
        <v>1424</v>
      </c>
      <c r="B461" s="18">
        <v>71.5</v>
      </c>
      <c r="C461" s="18">
        <v>66.53</v>
      </c>
      <c r="D461" s="18">
        <v>62.78</v>
      </c>
      <c r="E461" s="18">
        <v>46.68</v>
      </c>
      <c r="F461" s="18">
        <v>45.86</v>
      </c>
      <c r="G461" s="18">
        <v>66.673600000000008</v>
      </c>
      <c r="H461" s="18">
        <v>58.955150000000003</v>
      </c>
      <c r="I461" s="8">
        <v>7.4703141439951937E-2</v>
      </c>
      <c r="J461" s="8">
        <v>0.13889773813316331</v>
      </c>
      <c r="K461" s="8">
        <v>0.53170522707797763</v>
      </c>
      <c r="L461" s="8">
        <v>0.55909289140863505</v>
      </c>
      <c r="M461" s="18">
        <v>1.3043989980597279</v>
      </c>
    </row>
    <row r="462" spans="1:13" x14ac:dyDescent="0.45">
      <c r="A462" t="s">
        <v>1731</v>
      </c>
      <c r="B462" s="18">
        <v>30.02</v>
      </c>
      <c r="C462" s="18">
        <v>24.91</v>
      </c>
      <c r="D462" s="18">
        <v>26.22</v>
      </c>
      <c r="E462" s="18">
        <v>19.62</v>
      </c>
      <c r="F462" s="18">
        <v>36.049999999999997</v>
      </c>
      <c r="G462" s="18">
        <v>25.744599999999998</v>
      </c>
      <c r="H462" s="18">
        <v>25.501999999999999</v>
      </c>
      <c r="I462" s="8">
        <v>0.20513849859494179</v>
      </c>
      <c r="J462" s="8">
        <v>0.14492753623188401</v>
      </c>
      <c r="K462" s="8">
        <v>0.53007135575942899</v>
      </c>
      <c r="L462" s="8">
        <v>-0.16726768377253809</v>
      </c>
      <c r="M462" s="18">
        <v>0.71286970681371675</v>
      </c>
    </row>
    <row r="463" spans="1:13" x14ac:dyDescent="0.45">
      <c r="A463" t="s">
        <v>1502</v>
      </c>
      <c r="B463" s="18">
        <v>45.09</v>
      </c>
      <c r="C463" s="18">
        <v>44.33</v>
      </c>
      <c r="D463" s="18">
        <v>41.41</v>
      </c>
      <c r="E463" s="18">
        <v>29.47</v>
      </c>
      <c r="F463" s="18">
        <v>38.94</v>
      </c>
      <c r="G463" s="18">
        <v>44.121000000000002</v>
      </c>
      <c r="H463" s="18">
        <v>40.173050000000003</v>
      </c>
      <c r="I463" s="8">
        <v>1.7144146176404359E-2</v>
      </c>
      <c r="J463" s="8">
        <v>8.8867423327698702E-2</v>
      </c>
      <c r="K463" s="8">
        <v>0.5300305395317273</v>
      </c>
      <c r="L463" s="8">
        <v>0.15793528505392929</v>
      </c>
      <c r="M463" s="18">
        <v>0.79397739408975965</v>
      </c>
    </row>
    <row r="464" spans="1:13" x14ac:dyDescent="0.45">
      <c r="A464" t="s">
        <v>370</v>
      </c>
      <c r="B464" s="18">
        <v>34.79</v>
      </c>
      <c r="C464" s="18">
        <v>32.159999999999997</v>
      </c>
      <c r="D464" s="18">
        <v>35.94</v>
      </c>
      <c r="E464" s="18">
        <v>22.76</v>
      </c>
      <c r="F464" s="18">
        <v>26.93</v>
      </c>
      <c r="G464" s="18">
        <v>33.628599999999999</v>
      </c>
      <c r="H464" s="18">
        <v>30.897849999999998</v>
      </c>
      <c r="I464" s="8">
        <v>8.177860696517425E-2</v>
      </c>
      <c r="J464" s="8">
        <v>-3.1997774067890838E-2</v>
      </c>
      <c r="K464" s="8">
        <v>0.52855887521968348</v>
      </c>
      <c r="L464" s="8">
        <v>0.29186780542146301</v>
      </c>
      <c r="M464" s="18">
        <v>0.87020751353842984</v>
      </c>
    </row>
    <row r="465" spans="1:13" x14ac:dyDescent="0.45">
      <c r="A465" t="s">
        <v>332</v>
      </c>
      <c r="B465" s="18">
        <v>306.76</v>
      </c>
      <c r="C465" s="18">
        <v>270.70999999999998</v>
      </c>
      <c r="D465" s="18">
        <v>260.10000000000002</v>
      </c>
      <c r="E465" s="18">
        <v>200.75</v>
      </c>
      <c r="F465" s="18">
        <v>243.66</v>
      </c>
      <c r="G465" s="18">
        <v>280.93740000000003</v>
      </c>
      <c r="H465" s="18">
        <v>239.08425</v>
      </c>
      <c r="I465" s="8">
        <v>0.1331683351187618</v>
      </c>
      <c r="J465" s="8">
        <v>0.1793925413302575</v>
      </c>
      <c r="K465" s="8">
        <v>0.52806973848069738</v>
      </c>
      <c r="L465" s="8">
        <v>0.25896741360912762</v>
      </c>
      <c r="M465" s="18">
        <v>1.099598028538844</v>
      </c>
    </row>
    <row r="466" spans="1:13" x14ac:dyDescent="0.45">
      <c r="A466" t="s">
        <v>1491</v>
      </c>
      <c r="B466" s="18">
        <v>9.9600000000000009</v>
      </c>
      <c r="C466" s="18">
        <v>10.01</v>
      </c>
      <c r="D466" s="18">
        <v>9.17</v>
      </c>
      <c r="E466" s="18">
        <v>6.52</v>
      </c>
      <c r="F466" s="18">
        <v>9.7899999999999991</v>
      </c>
      <c r="G466" s="18">
        <v>9.9646000000000008</v>
      </c>
      <c r="H466" s="18">
        <v>8.4267000000000003</v>
      </c>
      <c r="I466" s="8">
        <v>-4.9950049950049369E-3</v>
      </c>
      <c r="J466" s="8">
        <v>8.6150490730643403E-2</v>
      </c>
      <c r="K466" s="8">
        <v>0.52760736196319047</v>
      </c>
      <c r="L466" s="8">
        <v>1.736465781409624E-2</v>
      </c>
      <c r="M466" s="18">
        <v>0.62612750551292518</v>
      </c>
    </row>
    <row r="467" spans="1:13" x14ac:dyDescent="0.45">
      <c r="A467" t="s">
        <v>476</v>
      </c>
      <c r="B467" s="18">
        <v>99.28</v>
      </c>
      <c r="C467" s="18">
        <v>95.45</v>
      </c>
      <c r="D467" s="18">
        <v>96.4</v>
      </c>
      <c r="E467" s="18">
        <v>65.069999999999993</v>
      </c>
      <c r="F467" s="18">
        <v>74.28</v>
      </c>
      <c r="G467" s="18">
        <v>94.423999999999992</v>
      </c>
      <c r="H467" s="18">
        <v>82.43610000000001</v>
      </c>
      <c r="I467" s="8">
        <v>4.0125720272393917E-2</v>
      </c>
      <c r="J467" s="8">
        <v>2.9875518672199061E-2</v>
      </c>
      <c r="K467" s="8">
        <v>0.52574150914399898</v>
      </c>
      <c r="L467" s="8">
        <v>0.33656435110393113</v>
      </c>
      <c r="M467" s="18">
        <v>0.93230709919252308</v>
      </c>
    </row>
    <row r="468" spans="1:13" x14ac:dyDescent="0.45">
      <c r="A468" t="s">
        <v>1215</v>
      </c>
      <c r="B468" s="18">
        <v>2.7000999999999999</v>
      </c>
      <c r="C468" s="18">
        <v>2.4815</v>
      </c>
      <c r="D468" s="18">
        <v>2.25</v>
      </c>
      <c r="E468" s="18">
        <v>1.77</v>
      </c>
      <c r="F468" s="18">
        <v>3.24</v>
      </c>
      <c r="G468" s="18">
        <v>2.4706440000000001</v>
      </c>
      <c r="H468" s="18">
        <v>2.2773539999999999</v>
      </c>
      <c r="I468" s="8">
        <v>8.8091879911343929E-2</v>
      </c>
      <c r="J468" s="8">
        <v>0.2000444444444445</v>
      </c>
      <c r="K468" s="8">
        <v>0.52548022598870059</v>
      </c>
      <c r="L468" s="8">
        <v>-0.1666358024691359</v>
      </c>
      <c r="M468" s="18">
        <v>0.64698074787535309</v>
      </c>
    </row>
    <row r="469" spans="1:13" x14ac:dyDescent="0.45">
      <c r="A469" t="s">
        <v>321</v>
      </c>
      <c r="B469" s="18">
        <v>108.43</v>
      </c>
      <c r="C469" s="18">
        <v>106.29</v>
      </c>
      <c r="D469" s="18">
        <v>106.33</v>
      </c>
      <c r="E469" s="18">
        <v>71.14</v>
      </c>
      <c r="F469" s="18">
        <v>75.680000000000007</v>
      </c>
      <c r="G469" s="18">
        <v>106.88339999999999</v>
      </c>
      <c r="H469" s="18">
        <v>93.854900000000001</v>
      </c>
      <c r="I469" s="8">
        <v>2.0133596763571401E-2</v>
      </c>
      <c r="J469" s="8">
        <v>1.974983541803832E-2</v>
      </c>
      <c r="K469" s="8">
        <v>0.52417767781838642</v>
      </c>
      <c r="L469" s="8">
        <v>0.43274312896405909</v>
      </c>
      <c r="M469" s="18">
        <v>0.99680423896405523</v>
      </c>
    </row>
    <row r="470" spans="1:13" x14ac:dyDescent="0.45">
      <c r="A470" t="s">
        <v>385</v>
      </c>
      <c r="B470" s="18">
        <v>23.68</v>
      </c>
      <c r="C470" s="18">
        <v>25.37</v>
      </c>
      <c r="D470" s="18">
        <v>23.15</v>
      </c>
      <c r="E470" s="18">
        <v>15.54</v>
      </c>
      <c r="F470" s="18">
        <v>20.39</v>
      </c>
      <c r="G470" s="18">
        <v>24.8492</v>
      </c>
      <c r="H470" s="18">
        <v>22.311599999999999</v>
      </c>
      <c r="I470" s="8">
        <v>-6.6614111154907452E-2</v>
      </c>
      <c r="J470" s="8">
        <v>2.2894168466522698E-2</v>
      </c>
      <c r="K470" s="8">
        <v>0.52380952380952395</v>
      </c>
      <c r="L470" s="8">
        <v>0.1613536047081903</v>
      </c>
      <c r="M470" s="18">
        <v>0.64144318582932947</v>
      </c>
    </row>
    <row r="471" spans="1:13" x14ac:dyDescent="0.45">
      <c r="A471" t="s">
        <v>563</v>
      </c>
      <c r="B471" s="18">
        <v>13.62</v>
      </c>
      <c r="C471" s="18">
        <v>12.3</v>
      </c>
      <c r="D471" s="18">
        <v>11.25</v>
      </c>
      <c r="E471" s="18">
        <v>8.94</v>
      </c>
      <c r="F471" s="18">
        <v>10.44</v>
      </c>
      <c r="G471" s="18">
        <v>12.282400000000001</v>
      </c>
      <c r="H471" s="18">
        <v>10.773075</v>
      </c>
      <c r="I471" s="8">
        <v>0.10731707317073159</v>
      </c>
      <c r="J471" s="8">
        <v>0.21066666666666661</v>
      </c>
      <c r="K471" s="8">
        <v>0.52348993288590595</v>
      </c>
      <c r="L471" s="8">
        <v>0.30459770114942519</v>
      </c>
      <c r="M471" s="18">
        <v>1.1460713738727291</v>
      </c>
    </row>
    <row r="472" spans="1:13" x14ac:dyDescent="0.45">
      <c r="A472" t="s">
        <v>2244</v>
      </c>
      <c r="B472" s="18">
        <v>22.16</v>
      </c>
      <c r="C472" s="18">
        <v>20.27</v>
      </c>
      <c r="D472" s="18">
        <v>20.059999999999999</v>
      </c>
      <c r="E472" s="18">
        <v>14.55</v>
      </c>
      <c r="F472" s="18">
        <v>32.700000000000003</v>
      </c>
      <c r="G472" s="18">
        <v>20.922999999999998</v>
      </c>
      <c r="H472" s="18">
        <v>21.526399999999999</v>
      </c>
      <c r="I472" s="8">
        <v>9.3241243216576342E-2</v>
      </c>
      <c r="J472" s="8">
        <v>0.1046859421734796</v>
      </c>
      <c r="K472" s="8">
        <v>0.52302405498281779</v>
      </c>
      <c r="L472" s="8">
        <v>-0.32232415902140682</v>
      </c>
      <c r="M472" s="18">
        <v>0.39862708135146702</v>
      </c>
    </row>
    <row r="473" spans="1:13" x14ac:dyDescent="0.45">
      <c r="A473" t="s">
        <v>795</v>
      </c>
      <c r="B473" s="18">
        <v>68.06</v>
      </c>
      <c r="C473" s="18">
        <v>66.209999999999994</v>
      </c>
      <c r="D473" s="18">
        <v>63.83</v>
      </c>
      <c r="E473" s="18">
        <v>44.7</v>
      </c>
      <c r="F473" s="18">
        <v>53.1</v>
      </c>
      <c r="G473" s="18">
        <v>67.196799999999996</v>
      </c>
      <c r="H473" s="18">
        <v>59.799590000000009</v>
      </c>
      <c r="I473" s="8">
        <v>2.7941398580275001E-2</v>
      </c>
      <c r="J473" s="8">
        <v>6.6269779100736503E-2</v>
      </c>
      <c r="K473" s="8">
        <v>0.52259507829977614</v>
      </c>
      <c r="L473" s="8">
        <v>0.28173258003766488</v>
      </c>
      <c r="M473" s="18">
        <v>0.89853883601845252</v>
      </c>
    </row>
    <row r="474" spans="1:13" x14ac:dyDescent="0.45">
      <c r="A474" t="s">
        <v>789</v>
      </c>
      <c r="B474" s="18">
        <v>68.040000000000006</v>
      </c>
      <c r="C474" s="18">
        <v>66.19</v>
      </c>
      <c r="D474" s="18">
        <v>63.96</v>
      </c>
      <c r="E474" s="18">
        <v>44.69</v>
      </c>
      <c r="F474" s="18">
        <v>53.1</v>
      </c>
      <c r="G474" s="18">
        <v>67.168000000000006</v>
      </c>
      <c r="H474" s="18">
        <v>59.832149999999999</v>
      </c>
      <c r="I474" s="8">
        <v>2.7949841365765279E-2</v>
      </c>
      <c r="J474" s="8">
        <v>6.3789868667917471E-2</v>
      </c>
      <c r="K474" s="8">
        <v>0.52248825240546015</v>
      </c>
      <c r="L474" s="8">
        <v>0.28135593220338978</v>
      </c>
      <c r="M474" s="18">
        <v>0.89558389464253274</v>
      </c>
    </row>
    <row r="475" spans="1:13" x14ac:dyDescent="0.45">
      <c r="A475" t="s">
        <v>537</v>
      </c>
      <c r="B475" s="18">
        <v>132.63999999999999</v>
      </c>
      <c r="C475" s="18">
        <v>124.3</v>
      </c>
      <c r="D475" s="18">
        <v>115.64</v>
      </c>
      <c r="E475" s="18">
        <v>87.19</v>
      </c>
      <c r="F475" s="18">
        <v>103.74</v>
      </c>
      <c r="G475" s="18">
        <v>124.5492</v>
      </c>
      <c r="H475" s="18">
        <v>109.46550000000001</v>
      </c>
      <c r="I475" s="8">
        <v>6.709573612228481E-2</v>
      </c>
      <c r="J475" s="8">
        <v>0.1470079557246626</v>
      </c>
      <c r="K475" s="8">
        <v>0.52127537561646964</v>
      </c>
      <c r="L475" s="8">
        <v>0.27858106805475219</v>
      </c>
      <c r="M475" s="18">
        <v>1.0139601355181691</v>
      </c>
    </row>
    <row r="476" spans="1:13" x14ac:dyDescent="0.45">
      <c r="A476" t="s">
        <v>2495</v>
      </c>
      <c r="B476" s="18">
        <v>107.21</v>
      </c>
      <c r="C476" s="18">
        <v>104.61</v>
      </c>
      <c r="D476" s="18">
        <v>89.89</v>
      </c>
      <c r="E476" s="18">
        <v>70.56</v>
      </c>
      <c r="F476" s="18">
        <v>60.31</v>
      </c>
      <c r="G476" s="18">
        <v>101.7268</v>
      </c>
      <c r="H476" s="18">
        <v>82.942399999999992</v>
      </c>
      <c r="I476" s="8">
        <v>2.4854220437816599E-2</v>
      </c>
      <c r="J476" s="8">
        <v>0.1926799421515184</v>
      </c>
      <c r="K476" s="8">
        <v>0.51941609977324243</v>
      </c>
      <c r="L476" s="8">
        <v>0.77764881445863021</v>
      </c>
      <c r="M476" s="18">
        <v>1.5145990768212081</v>
      </c>
    </row>
    <row r="477" spans="1:13" x14ac:dyDescent="0.45">
      <c r="A477" t="s">
        <v>2445</v>
      </c>
      <c r="B477" s="18">
        <v>16.059999999999999</v>
      </c>
      <c r="C477" s="18">
        <v>15.25</v>
      </c>
      <c r="D477" s="18">
        <v>17.88</v>
      </c>
      <c r="E477" s="18">
        <v>10.57</v>
      </c>
      <c r="F477" s="18">
        <v>18</v>
      </c>
      <c r="G477" s="18">
        <v>15.3086</v>
      </c>
      <c r="H477" s="18">
        <v>15.68755</v>
      </c>
      <c r="I477" s="8">
        <v>5.3114754098360528E-2</v>
      </c>
      <c r="J477" s="8">
        <v>-0.1017897091722595</v>
      </c>
      <c r="K477" s="8">
        <v>0.51939451277199611</v>
      </c>
      <c r="L477" s="8">
        <v>-0.1077777777777779</v>
      </c>
      <c r="M477" s="18">
        <v>0.36294177992031929</v>
      </c>
    </row>
    <row r="478" spans="1:13" x14ac:dyDescent="0.45">
      <c r="A478" t="s">
        <v>2290</v>
      </c>
      <c r="B478" s="18">
        <v>21.26</v>
      </c>
      <c r="C478" s="18">
        <v>22.43</v>
      </c>
      <c r="D478" s="18">
        <v>20.399999999999999</v>
      </c>
      <c r="E478" s="18">
        <v>14</v>
      </c>
      <c r="F478" s="18">
        <v>26.17</v>
      </c>
      <c r="G478" s="18">
        <v>21.5748</v>
      </c>
      <c r="H478" s="18">
        <v>18.709949999999999</v>
      </c>
      <c r="I478" s="8">
        <v>-5.2162282657155501E-2</v>
      </c>
      <c r="J478" s="8">
        <v>4.2156862745098111E-2</v>
      </c>
      <c r="K478" s="8">
        <v>0.51857142857142868</v>
      </c>
      <c r="L478" s="8">
        <v>-0.1876194115399312</v>
      </c>
      <c r="M478" s="18">
        <v>0.32094659711944012</v>
      </c>
    </row>
    <row r="479" spans="1:13" x14ac:dyDescent="0.45">
      <c r="A479" t="s">
        <v>1871</v>
      </c>
      <c r="B479" s="18">
        <v>24.21</v>
      </c>
      <c r="C479" s="18">
        <v>23.88</v>
      </c>
      <c r="D479" s="18">
        <v>21.73</v>
      </c>
      <c r="E479" s="18">
        <v>15.95</v>
      </c>
      <c r="F479" s="18">
        <v>26.54</v>
      </c>
      <c r="G479" s="18">
        <v>23.656600000000001</v>
      </c>
      <c r="H479" s="18">
        <v>22.17605</v>
      </c>
      <c r="I479" s="8">
        <v>1.381909547738691E-2</v>
      </c>
      <c r="J479" s="8">
        <v>0.11412793373216749</v>
      </c>
      <c r="K479" s="8">
        <v>0.51786833855799386</v>
      </c>
      <c r="L479" s="8">
        <v>-8.779201205727194E-2</v>
      </c>
      <c r="M479" s="18">
        <v>0.55802335571027628</v>
      </c>
    </row>
    <row r="480" spans="1:13" x14ac:dyDescent="0.45">
      <c r="A480" t="s">
        <v>1494</v>
      </c>
      <c r="B480" s="18">
        <v>145</v>
      </c>
      <c r="C480" s="18">
        <v>139.11000000000001</v>
      </c>
      <c r="D480" s="18">
        <v>134.13</v>
      </c>
      <c r="E480" s="18">
        <v>95.53</v>
      </c>
      <c r="F480" s="18"/>
      <c r="G480" s="18">
        <v>139.7602</v>
      </c>
      <c r="H480" s="18"/>
      <c r="I480" s="8">
        <v>4.2340593774710562E-2</v>
      </c>
      <c r="J480" s="8">
        <v>8.1040781331544132E-2</v>
      </c>
      <c r="K480" s="8">
        <v>0.51784779650371604</v>
      </c>
      <c r="L480" s="8"/>
      <c r="M480" s="18">
        <v>0.64122917160997073</v>
      </c>
    </row>
    <row r="481" spans="1:13" x14ac:dyDescent="0.45">
      <c r="A481" t="s">
        <v>2522</v>
      </c>
      <c r="B481" s="18">
        <v>8.51</v>
      </c>
      <c r="C481" s="18">
        <v>8.64</v>
      </c>
      <c r="D481" s="18">
        <v>8.19</v>
      </c>
      <c r="E481" s="18">
        <v>5.61</v>
      </c>
      <c r="F481" s="18">
        <v>6.72</v>
      </c>
      <c r="G481" s="18">
        <v>8.5640000000000001</v>
      </c>
      <c r="H481" s="18">
        <v>7.3362999999999996</v>
      </c>
      <c r="I481" s="8">
        <v>-1.5046296296296389E-2</v>
      </c>
      <c r="J481" s="8">
        <v>3.9072039072039162E-2</v>
      </c>
      <c r="K481" s="8">
        <v>0.51693404634581097</v>
      </c>
      <c r="L481" s="8">
        <v>0.26636904761904773</v>
      </c>
      <c r="M481" s="18">
        <v>0.80732883674060141</v>
      </c>
    </row>
    <row r="482" spans="1:13" x14ac:dyDescent="0.45">
      <c r="A482" t="s">
        <v>714</v>
      </c>
      <c r="B482" s="18">
        <v>63.6</v>
      </c>
      <c r="C482" s="18">
        <v>65.319999999999993</v>
      </c>
      <c r="D482" s="18">
        <v>61.5</v>
      </c>
      <c r="E482" s="18">
        <v>41.93</v>
      </c>
      <c r="F482" s="18">
        <v>82.38</v>
      </c>
      <c r="G482" s="18">
        <v>63.108999999999988</v>
      </c>
      <c r="H482" s="18">
        <v>58.874499999999998</v>
      </c>
      <c r="I482" s="8">
        <v>-2.6331904470299979E-2</v>
      </c>
      <c r="J482" s="8">
        <v>3.4146341463414658E-2</v>
      </c>
      <c r="K482" s="8">
        <v>0.51681373718101598</v>
      </c>
      <c r="L482" s="8">
        <v>-0.22796795338674419</v>
      </c>
      <c r="M482" s="18">
        <v>0.29666022078738641</v>
      </c>
    </row>
    <row r="483" spans="1:13" x14ac:dyDescent="0.45">
      <c r="A483" t="s">
        <v>1689</v>
      </c>
      <c r="B483" s="18">
        <v>21.69</v>
      </c>
      <c r="C483" s="18">
        <v>25.88</v>
      </c>
      <c r="D483" s="18">
        <v>18.09</v>
      </c>
      <c r="E483" s="18">
        <v>14.31</v>
      </c>
      <c r="F483" s="18">
        <v>20.62</v>
      </c>
      <c r="G483" s="18">
        <v>22.680399999999999</v>
      </c>
      <c r="H483" s="18">
        <v>20.568650000000002</v>
      </c>
      <c r="I483" s="8">
        <v>-0.16190108191653771</v>
      </c>
      <c r="J483" s="8">
        <v>0.19900497512437809</v>
      </c>
      <c r="K483" s="8">
        <v>0.51572327044025168</v>
      </c>
      <c r="L483" s="8">
        <v>5.1891367604267602E-2</v>
      </c>
      <c r="M483" s="18">
        <v>0.60471853125235964</v>
      </c>
    </row>
    <row r="484" spans="1:13" x14ac:dyDescent="0.45">
      <c r="A484" t="s">
        <v>607</v>
      </c>
      <c r="B484" s="18">
        <v>169.75</v>
      </c>
      <c r="C484" s="18">
        <v>138.72</v>
      </c>
      <c r="D484" s="18">
        <v>117.49</v>
      </c>
      <c r="E484" s="18">
        <v>112.12</v>
      </c>
      <c r="F484" s="18">
        <v>233.4</v>
      </c>
      <c r="G484" s="18">
        <v>149.03059999999999</v>
      </c>
      <c r="H484" s="18">
        <v>142.52709999999999</v>
      </c>
      <c r="I484" s="8">
        <v>0.2236880046136103</v>
      </c>
      <c r="J484" s="8">
        <v>0.4448038130904759</v>
      </c>
      <c r="K484" s="8">
        <v>0.51400285408490887</v>
      </c>
      <c r="L484" s="8">
        <v>-0.27270779777206511</v>
      </c>
      <c r="M484" s="18">
        <v>0.90978687401692993</v>
      </c>
    </row>
    <row r="485" spans="1:13" x14ac:dyDescent="0.45">
      <c r="A485" t="s">
        <v>930</v>
      </c>
      <c r="B485" s="18">
        <v>59.31</v>
      </c>
      <c r="C485" s="18">
        <v>58.4</v>
      </c>
      <c r="D485" s="18">
        <v>52.78</v>
      </c>
      <c r="E485" s="18">
        <v>39.200000000000003</v>
      </c>
      <c r="F485" s="18">
        <v>53.35</v>
      </c>
      <c r="G485" s="18">
        <v>56.856400000000001</v>
      </c>
      <c r="H485" s="18">
        <v>50.393949999999997</v>
      </c>
      <c r="I485" s="8">
        <v>1.5582191780821869E-2</v>
      </c>
      <c r="J485" s="8">
        <v>0.1237211064797272</v>
      </c>
      <c r="K485" s="8">
        <v>0.51301020408163267</v>
      </c>
      <c r="L485" s="8">
        <v>0.11171508903467681</v>
      </c>
      <c r="M485" s="18">
        <v>0.76402859137685852</v>
      </c>
    </row>
    <row r="486" spans="1:13" x14ac:dyDescent="0.45">
      <c r="A486" t="s">
        <v>1110</v>
      </c>
      <c r="B486" s="18">
        <v>28.45</v>
      </c>
      <c r="C486" s="18">
        <v>28.26</v>
      </c>
      <c r="D486" s="18">
        <v>23.45</v>
      </c>
      <c r="E486" s="18">
        <v>18.809999999999999</v>
      </c>
      <c r="F486" s="18">
        <v>34.450000000000003</v>
      </c>
      <c r="G486" s="18">
        <v>27.475200000000001</v>
      </c>
      <c r="H486" s="18">
        <v>23.88655</v>
      </c>
      <c r="I486" s="8">
        <v>6.7232837933473011E-3</v>
      </c>
      <c r="J486" s="8">
        <v>0.2132196162046909</v>
      </c>
      <c r="K486" s="8">
        <v>0.51249335459861789</v>
      </c>
      <c r="L486" s="8">
        <v>-0.17416545718432519</v>
      </c>
      <c r="M486" s="18">
        <v>0.55827079741233088</v>
      </c>
    </row>
    <row r="487" spans="1:13" x14ac:dyDescent="0.45">
      <c r="A487" t="s">
        <v>187</v>
      </c>
      <c r="B487" s="18">
        <v>52.01</v>
      </c>
      <c r="C487" s="18">
        <v>51.71</v>
      </c>
      <c r="D487" s="18">
        <v>47.9</v>
      </c>
      <c r="E487" s="18">
        <v>34.4</v>
      </c>
      <c r="F487" s="18">
        <v>41.18</v>
      </c>
      <c r="G487" s="18">
        <v>50.843400000000003</v>
      </c>
      <c r="H487" s="18">
        <v>44.848849999999999</v>
      </c>
      <c r="I487" s="8">
        <v>5.8015857667761406E-3</v>
      </c>
      <c r="J487" s="8">
        <v>8.5803757828810001E-2</v>
      </c>
      <c r="K487" s="8">
        <v>0.51191860465116279</v>
      </c>
      <c r="L487" s="8">
        <v>0.26299174356483718</v>
      </c>
      <c r="M487" s="18">
        <v>0.86651569181158616</v>
      </c>
    </row>
    <row r="488" spans="1:13" x14ac:dyDescent="0.45">
      <c r="A488" t="s">
        <v>1792</v>
      </c>
      <c r="B488" s="18">
        <v>44.65</v>
      </c>
      <c r="C488" s="18">
        <v>49</v>
      </c>
      <c r="D488" s="18">
        <v>38.69</v>
      </c>
      <c r="E488" s="18">
        <v>29.54</v>
      </c>
      <c r="F488" s="18">
        <v>63.33</v>
      </c>
      <c r="G488" s="18">
        <v>45.984400000000008</v>
      </c>
      <c r="H488" s="18">
        <v>41.349899999999998</v>
      </c>
      <c r="I488" s="8">
        <v>-8.8775510204081698E-2</v>
      </c>
      <c r="J488" s="8">
        <v>0.15404497286120461</v>
      </c>
      <c r="K488" s="8">
        <v>0.51150981719702093</v>
      </c>
      <c r="L488" s="8">
        <v>-0.2949628927838307</v>
      </c>
      <c r="M488" s="18">
        <v>0.28181638707031309</v>
      </c>
    </row>
    <row r="489" spans="1:13" x14ac:dyDescent="0.45">
      <c r="A489" t="s">
        <v>22</v>
      </c>
      <c r="B489" s="18">
        <v>350</v>
      </c>
      <c r="C489" s="18">
        <v>361.77</v>
      </c>
      <c r="D489" s="18">
        <v>322.66000000000003</v>
      </c>
      <c r="E489" s="18">
        <v>231.64</v>
      </c>
      <c r="F489" s="18">
        <v>268.64999999999998</v>
      </c>
      <c r="G489" s="18">
        <v>353.00479999999999</v>
      </c>
      <c r="H489" s="18">
        <v>306.27834999999999</v>
      </c>
      <c r="I489" s="8">
        <v>-3.2534483235204692E-2</v>
      </c>
      <c r="J489" s="8">
        <v>8.4733155643711644E-2</v>
      </c>
      <c r="K489" s="8">
        <v>0.51096529096874477</v>
      </c>
      <c r="L489" s="8">
        <v>0.30281034803647883</v>
      </c>
      <c r="M489" s="18">
        <v>0.86597431141373049</v>
      </c>
    </row>
    <row r="490" spans="1:13" x14ac:dyDescent="0.45">
      <c r="A490" t="s">
        <v>999</v>
      </c>
      <c r="B490" s="18">
        <v>64.53</v>
      </c>
      <c r="C490" s="18">
        <v>67.38</v>
      </c>
      <c r="D490" s="18">
        <v>63.87</v>
      </c>
      <c r="E490" s="18">
        <v>42.75</v>
      </c>
      <c r="F490" s="18">
        <v>45.34</v>
      </c>
      <c r="G490" s="18">
        <v>66.500999999999991</v>
      </c>
      <c r="H490" s="18">
        <v>56.374750000000013</v>
      </c>
      <c r="I490" s="8">
        <v>-4.2297417631344543E-2</v>
      </c>
      <c r="J490" s="8">
        <v>1.033348990136229E-2</v>
      </c>
      <c r="K490" s="8">
        <v>0.5094736842105263</v>
      </c>
      <c r="L490" s="8">
        <v>0.4232465813850903</v>
      </c>
      <c r="M490" s="18">
        <v>0.90075633786563436</v>
      </c>
    </row>
    <row r="491" spans="1:13" x14ac:dyDescent="0.45">
      <c r="A491" t="s">
        <v>38</v>
      </c>
      <c r="B491" s="18">
        <v>200.01</v>
      </c>
      <c r="C491" s="18">
        <v>166.04</v>
      </c>
      <c r="D491" s="18">
        <v>151.30000000000001</v>
      </c>
      <c r="E491" s="18">
        <v>132.53</v>
      </c>
      <c r="F491" s="18">
        <v>142.69999999999999</v>
      </c>
      <c r="G491" s="18">
        <v>175.02189999999999</v>
      </c>
      <c r="H491" s="18">
        <v>151.246475</v>
      </c>
      <c r="I491" s="8">
        <v>0.20458925560106</v>
      </c>
      <c r="J491" s="8">
        <v>0.32194315928618628</v>
      </c>
      <c r="K491" s="8">
        <v>0.50916773560703232</v>
      </c>
      <c r="L491" s="8">
        <v>0.4016117729502453</v>
      </c>
      <c r="M491" s="18">
        <v>1.437311923444524</v>
      </c>
    </row>
    <row r="492" spans="1:13" x14ac:dyDescent="0.45">
      <c r="A492" t="s">
        <v>1801</v>
      </c>
      <c r="B492" s="18">
        <v>11.92</v>
      </c>
      <c r="C492" s="18">
        <v>12</v>
      </c>
      <c r="D492" s="18">
        <v>12.04</v>
      </c>
      <c r="E492" s="18">
        <v>7.91</v>
      </c>
      <c r="F492" s="18">
        <v>13.23</v>
      </c>
      <c r="G492" s="18">
        <v>11.904999999999999</v>
      </c>
      <c r="H492" s="18">
        <v>11.0671</v>
      </c>
      <c r="I492" s="8">
        <v>-6.6666666666667096E-3</v>
      </c>
      <c r="J492" s="8">
        <v>-9.966777408637828E-3</v>
      </c>
      <c r="K492" s="8">
        <v>0.50695322376738305</v>
      </c>
      <c r="L492" s="8">
        <v>-9.9017384731670433E-2</v>
      </c>
      <c r="M492" s="18">
        <v>0.39130239496040808</v>
      </c>
    </row>
    <row r="493" spans="1:13" x14ac:dyDescent="0.45">
      <c r="A493" t="s">
        <v>1145</v>
      </c>
      <c r="B493" s="18">
        <v>17</v>
      </c>
      <c r="C493" s="18">
        <v>15.65</v>
      </c>
      <c r="D493" s="18">
        <v>14.95</v>
      </c>
      <c r="E493" s="18">
        <v>11.29</v>
      </c>
      <c r="F493" s="18">
        <v>13.71</v>
      </c>
      <c r="G493" s="18">
        <v>15.813526</v>
      </c>
      <c r="H493" s="18">
        <v>13.808814999999999</v>
      </c>
      <c r="I493" s="8">
        <v>8.6261980830670826E-2</v>
      </c>
      <c r="J493" s="8">
        <v>0.1371237458193981</v>
      </c>
      <c r="K493" s="8">
        <v>0.50575730735163882</v>
      </c>
      <c r="L493" s="8">
        <v>0.23997082421590071</v>
      </c>
      <c r="M493" s="18">
        <v>0.96911385821760843</v>
      </c>
    </row>
    <row r="494" spans="1:13" x14ac:dyDescent="0.45">
      <c r="A494" t="s">
        <v>1175</v>
      </c>
      <c r="B494" s="18">
        <v>26.35</v>
      </c>
      <c r="C494" s="18">
        <v>25.74</v>
      </c>
      <c r="D494" s="18">
        <v>25.1</v>
      </c>
      <c r="E494" s="18">
        <v>17.5</v>
      </c>
      <c r="F494" s="18">
        <v>26.43</v>
      </c>
      <c r="G494" s="18">
        <v>25.380400000000002</v>
      </c>
      <c r="H494" s="18">
        <v>23.9572</v>
      </c>
      <c r="I494" s="8">
        <v>2.369852369852388E-2</v>
      </c>
      <c r="J494" s="8">
        <v>4.980079681274896E-2</v>
      </c>
      <c r="K494" s="8">
        <v>0.50571428571428578</v>
      </c>
      <c r="L494" s="8">
        <v>-3.0268634127884608E-3</v>
      </c>
      <c r="M494" s="18">
        <v>0.57618674281277016</v>
      </c>
    </row>
    <row r="495" spans="1:13" x14ac:dyDescent="0.45">
      <c r="A495" t="s">
        <v>1997</v>
      </c>
      <c r="B495" s="18">
        <v>22.97</v>
      </c>
      <c r="C495" s="18">
        <v>15.57</v>
      </c>
      <c r="D495" s="18">
        <v>16.27</v>
      </c>
      <c r="E495" s="18">
        <v>15.26</v>
      </c>
      <c r="F495" s="18">
        <v>18.36</v>
      </c>
      <c r="G495" s="18">
        <v>17.170999999999999</v>
      </c>
      <c r="H495" s="18">
        <v>19.065899999999999</v>
      </c>
      <c r="I495" s="8">
        <v>0.47527296082209358</v>
      </c>
      <c r="J495" s="8">
        <v>0.41180086047940989</v>
      </c>
      <c r="K495" s="8">
        <v>0.50524246395806016</v>
      </c>
      <c r="L495" s="8">
        <v>0.25108932461873651</v>
      </c>
      <c r="M495" s="18">
        <v>1.6434056098783001</v>
      </c>
    </row>
    <row r="496" spans="1:13" x14ac:dyDescent="0.45">
      <c r="A496" t="s">
        <v>870</v>
      </c>
      <c r="B496" s="18">
        <v>32.11</v>
      </c>
      <c r="C496" s="18">
        <v>31.06</v>
      </c>
      <c r="D496" s="18">
        <v>26.99</v>
      </c>
      <c r="E496" s="18">
        <v>21.34</v>
      </c>
      <c r="F496" s="18">
        <v>21.2</v>
      </c>
      <c r="G496" s="18">
        <v>29.777200000000001</v>
      </c>
      <c r="H496" s="18">
        <v>26.061425</v>
      </c>
      <c r="I496" s="8">
        <v>3.3805537669027608E-2</v>
      </c>
      <c r="J496" s="8">
        <v>0.18969988884772149</v>
      </c>
      <c r="K496" s="8">
        <v>0.50468603561387071</v>
      </c>
      <c r="L496" s="8">
        <v>0.51462264150943393</v>
      </c>
      <c r="M496" s="18">
        <v>1.242814103640054</v>
      </c>
    </row>
    <row r="497" spans="1:13" x14ac:dyDescent="0.45">
      <c r="A497" t="s">
        <v>2515</v>
      </c>
      <c r="B497" s="18">
        <v>137.58000000000001</v>
      </c>
      <c r="C497" s="18">
        <v>130.58000000000001</v>
      </c>
      <c r="D497" s="18">
        <v>133.94</v>
      </c>
      <c r="E497" s="18">
        <v>91.46</v>
      </c>
      <c r="F497" s="18">
        <v>106.26</v>
      </c>
      <c r="G497" s="18">
        <v>128.95359999999999</v>
      </c>
      <c r="H497" s="18">
        <v>123.7527</v>
      </c>
      <c r="I497" s="8">
        <v>5.3606984224230381E-2</v>
      </c>
      <c r="J497" s="8">
        <v>2.7176347618336649E-2</v>
      </c>
      <c r="K497" s="8">
        <v>0.50426415919527678</v>
      </c>
      <c r="L497" s="8">
        <v>0.29474872953133818</v>
      </c>
      <c r="M497" s="18">
        <v>0.87979622056918205</v>
      </c>
    </row>
    <row r="498" spans="1:13" x14ac:dyDescent="0.45">
      <c r="A498" t="s">
        <v>2004</v>
      </c>
      <c r="B498" s="18">
        <v>89.29</v>
      </c>
      <c r="C498" s="18">
        <v>74.5</v>
      </c>
      <c r="D498" s="18">
        <v>75.27</v>
      </c>
      <c r="E498" s="18">
        <v>59.36</v>
      </c>
      <c r="F498" s="18">
        <v>106.7</v>
      </c>
      <c r="G498" s="18">
        <v>79.522800000000004</v>
      </c>
      <c r="H498" s="18">
        <v>73.328749999999999</v>
      </c>
      <c r="I498" s="8">
        <v>0.19852348993288599</v>
      </c>
      <c r="J498" s="8">
        <v>0.18626278729905679</v>
      </c>
      <c r="K498" s="8">
        <v>0.50421159029649609</v>
      </c>
      <c r="L498" s="8">
        <v>-0.1631677600749766</v>
      </c>
      <c r="M498" s="18">
        <v>0.72583010745346233</v>
      </c>
    </row>
    <row r="499" spans="1:13" x14ac:dyDescent="0.45">
      <c r="A499" t="s">
        <v>115</v>
      </c>
      <c r="B499" s="18">
        <v>178.27</v>
      </c>
      <c r="C499" s="18">
        <v>169.97</v>
      </c>
      <c r="D499" s="18">
        <v>151.53</v>
      </c>
      <c r="E499" s="18">
        <v>118.52</v>
      </c>
      <c r="F499" s="18">
        <v>145.61000000000001</v>
      </c>
      <c r="G499" s="18">
        <v>171.65299999999999</v>
      </c>
      <c r="H499" s="18">
        <v>144.6439</v>
      </c>
      <c r="I499" s="8">
        <v>4.8832146849444147E-2</v>
      </c>
      <c r="J499" s="8">
        <v>0.17646670626278629</v>
      </c>
      <c r="K499" s="8">
        <v>0.50413432332095853</v>
      </c>
      <c r="L499" s="8">
        <v>0.22429778174575921</v>
      </c>
      <c r="M499" s="18">
        <v>0.95373095817894815</v>
      </c>
    </row>
    <row r="500" spans="1:13" x14ac:dyDescent="0.45">
      <c r="A500" t="s">
        <v>2364</v>
      </c>
      <c r="B500" s="18">
        <v>36.950000000000003</v>
      </c>
      <c r="C500" s="18">
        <v>33.590000000000003</v>
      </c>
      <c r="D500" s="18">
        <v>32.24</v>
      </c>
      <c r="E500" s="18">
        <v>24.63</v>
      </c>
      <c r="F500" s="18">
        <v>36.86</v>
      </c>
      <c r="G500" s="18">
        <v>33.6646</v>
      </c>
      <c r="H500" s="18">
        <v>30.68985</v>
      </c>
      <c r="I500" s="8">
        <v>0.10002977076510849</v>
      </c>
      <c r="J500" s="8">
        <v>0.14609181141439209</v>
      </c>
      <c r="K500" s="8">
        <v>0.50020300446609833</v>
      </c>
      <c r="L500" s="8">
        <v>2.4416711882799809E-3</v>
      </c>
      <c r="M500" s="18">
        <v>0.74876625783387896</v>
      </c>
    </row>
    <row r="501" spans="1:13" x14ac:dyDescent="0.45">
      <c r="A501" t="s">
        <v>964</v>
      </c>
      <c r="B501" s="18">
        <v>124.68</v>
      </c>
      <c r="C501" s="18">
        <v>114.11</v>
      </c>
      <c r="D501" s="18">
        <v>113.65</v>
      </c>
      <c r="E501" s="18">
        <v>83.12</v>
      </c>
      <c r="F501" s="18">
        <v>96.14</v>
      </c>
      <c r="G501" s="18">
        <v>116.99079999999999</v>
      </c>
      <c r="H501" s="18">
        <v>102.2075</v>
      </c>
      <c r="I501" s="8">
        <v>9.2629918499693265E-2</v>
      </c>
      <c r="J501" s="8">
        <v>9.705235371755383E-2</v>
      </c>
      <c r="K501" s="8">
        <v>0.5</v>
      </c>
      <c r="L501" s="8">
        <v>0.29685874765966308</v>
      </c>
      <c r="M501" s="18">
        <v>0.98654101987691023</v>
      </c>
    </row>
    <row r="502" spans="1:13" x14ac:dyDescent="0.45">
      <c r="A502" t="s">
        <v>915</v>
      </c>
      <c r="B502" s="18">
        <v>6.96</v>
      </c>
      <c r="C502" s="18">
        <v>6.94</v>
      </c>
      <c r="D502" s="18">
        <v>5.66</v>
      </c>
      <c r="E502" s="18">
        <v>4.6399999999999997</v>
      </c>
      <c r="F502" s="18">
        <v>5.75</v>
      </c>
      <c r="G502" s="18">
        <v>6.942800000000001</v>
      </c>
      <c r="H502" s="18">
        <v>5.6306000000000003</v>
      </c>
      <c r="I502" s="8">
        <v>2.8818443804032872E-3</v>
      </c>
      <c r="J502" s="8">
        <v>0.2296819787985864</v>
      </c>
      <c r="K502" s="8">
        <v>0.5</v>
      </c>
      <c r="L502" s="8">
        <v>0.21043478260869561</v>
      </c>
      <c r="M502" s="18">
        <v>0.94299860578768535</v>
      </c>
    </row>
    <row r="503" spans="1:13" x14ac:dyDescent="0.45">
      <c r="A503" t="s">
        <v>1174</v>
      </c>
      <c r="B503" s="18">
        <v>209.68</v>
      </c>
      <c r="C503" s="18">
        <v>200.86</v>
      </c>
      <c r="D503" s="18">
        <v>191.29</v>
      </c>
      <c r="E503" s="18">
        <v>139.86000000000001</v>
      </c>
      <c r="F503" s="18">
        <v>124.94</v>
      </c>
      <c r="G503" s="18">
        <v>201.62039999999999</v>
      </c>
      <c r="H503" s="18">
        <v>172.92994999999999</v>
      </c>
      <c r="I503" s="8">
        <v>4.3911181917753561E-2</v>
      </c>
      <c r="J503" s="8">
        <v>9.613675571122382E-2</v>
      </c>
      <c r="K503" s="8">
        <v>0.49921349921349911</v>
      </c>
      <c r="L503" s="8">
        <v>0.67824555786777663</v>
      </c>
      <c r="M503" s="18">
        <v>1.3175069947102529</v>
      </c>
    </row>
    <row r="504" spans="1:13" x14ac:dyDescent="0.45">
      <c r="A504" t="s">
        <v>1469</v>
      </c>
      <c r="B504" s="18">
        <v>21.9</v>
      </c>
      <c r="C504" s="18">
        <v>20.440000000000001</v>
      </c>
      <c r="D504" s="18">
        <v>21.15</v>
      </c>
      <c r="E504" s="18">
        <v>14.61</v>
      </c>
      <c r="F504" s="18"/>
      <c r="G504" s="18">
        <v>20.2212</v>
      </c>
      <c r="H504" s="18">
        <v>20.108499999999999</v>
      </c>
      <c r="I504" s="8">
        <v>7.1428571428571397E-2</v>
      </c>
      <c r="J504" s="8">
        <v>3.5460992907801359E-2</v>
      </c>
      <c r="K504" s="8">
        <v>0.49897330595482542</v>
      </c>
      <c r="L504" s="8"/>
      <c r="M504" s="18">
        <v>0.60586287029119812</v>
      </c>
    </row>
    <row r="505" spans="1:13" x14ac:dyDescent="0.45">
      <c r="A505" t="s">
        <v>1655</v>
      </c>
      <c r="B505" s="18">
        <v>46.19</v>
      </c>
      <c r="C505" s="18">
        <v>45.99</v>
      </c>
      <c r="D505" s="18">
        <v>42.51</v>
      </c>
      <c r="E505" s="18">
        <v>30.82</v>
      </c>
      <c r="F505" s="18">
        <v>41.08</v>
      </c>
      <c r="G505" s="18">
        <v>45.345599999999997</v>
      </c>
      <c r="H505" s="18">
        <v>39.689450000000001</v>
      </c>
      <c r="I505" s="8">
        <v>4.3487714720591431E-3</v>
      </c>
      <c r="J505" s="8">
        <v>8.6567866384380077E-2</v>
      </c>
      <c r="K505" s="8">
        <v>0.49870214146657998</v>
      </c>
      <c r="L505" s="8">
        <v>0.12439143135345659</v>
      </c>
      <c r="M505" s="18">
        <v>0.71401021067647585</v>
      </c>
    </row>
    <row r="506" spans="1:13" x14ac:dyDescent="0.45">
      <c r="A506" t="s">
        <v>305</v>
      </c>
      <c r="B506" s="18">
        <v>85.38</v>
      </c>
      <c r="C506" s="18">
        <v>85.6</v>
      </c>
      <c r="D506" s="18">
        <v>70.34</v>
      </c>
      <c r="E506" s="18">
        <v>56.97</v>
      </c>
      <c r="F506" s="18">
        <v>67.489999999999995</v>
      </c>
      <c r="G506" s="18">
        <v>83.819900000000004</v>
      </c>
      <c r="H506" s="18">
        <v>71.211624999999998</v>
      </c>
      <c r="I506" s="8">
        <v>-2.570093457943901E-3</v>
      </c>
      <c r="J506" s="8">
        <v>0.21381859539380141</v>
      </c>
      <c r="K506" s="8">
        <v>0.49868351764086349</v>
      </c>
      <c r="L506" s="8">
        <v>0.26507630760112622</v>
      </c>
      <c r="M506" s="18">
        <v>0.97500832717784724</v>
      </c>
    </row>
    <row r="507" spans="1:13" x14ac:dyDescent="0.45">
      <c r="A507" t="s">
        <v>1933</v>
      </c>
      <c r="B507" s="18">
        <v>57</v>
      </c>
      <c r="C507" s="18">
        <v>56.67</v>
      </c>
      <c r="D507" s="18">
        <v>51.22</v>
      </c>
      <c r="E507" s="18">
        <v>38.04</v>
      </c>
      <c r="F507" s="18">
        <v>64.88</v>
      </c>
      <c r="G507" s="18">
        <v>56.4876</v>
      </c>
      <c r="H507" s="18">
        <v>51.663600000000002</v>
      </c>
      <c r="I507" s="8">
        <v>5.8231868713605186E-3</v>
      </c>
      <c r="J507" s="8">
        <v>0.11284654431862549</v>
      </c>
      <c r="K507" s="8">
        <v>0.49842271293375401</v>
      </c>
      <c r="L507" s="8">
        <v>-0.1214549938347719</v>
      </c>
      <c r="M507" s="18">
        <v>0.49563745028896811</v>
      </c>
    </row>
    <row r="508" spans="1:13" x14ac:dyDescent="0.45">
      <c r="A508" t="s">
        <v>227</v>
      </c>
      <c r="B508" s="18">
        <v>376.7</v>
      </c>
      <c r="C508" s="18">
        <v>348.23</v>
      </c>
      <c r="D508" s="18">
        <v>357.64</v>
      </c>
      <c r="E508" s="18">
        <v>251.5</v>
      </c>
      <c r="F508" s="18">
        <v>333.05</v>
      </c>
      <c r="G508" s="18">
        <v>362.58280000000002</v>
      </c>
      <c r="H508" s="18">
        <v>329.9846</v>
      </c>
      <c r="I508" s="8">
        <v>8.1756310484449868E-2</v>
      </c>
      <c r="J508" s="8">
        <v>5.3293815009506813E-2</v>
      </c>
      <c r="K508" s="8">
        <v>0.49781312127236582</v>
      </c>
      <c r="L508" s="8">
        <v>0.13106140219186299</v>
      </c>
      <c r="M508" s="18">
        <v>0.76392464895818546</v>
      </c>
    </row>
    <row r="509" spans="1:13" x14ac:dyDescent="0.45">
      <c r="A509" t="s">
        <v>2228</v>
      </c>
      <c r="B509" s="18">
        <v>2.86</v>
      </c>
      <c r="C509" s="18">
        <v>1.59</v>
      </c>
      <c r="D509" s="18">
        <v>1.6950000000000001</v>
      </c>
      <c r="E509" s="18">
        <v>1.91</v>
      </c>
      <c r="F509" s="18">
        <v>2.84</v>
      </c>
      <c r="G509" s="18">
        <v>1.7065999999999999</v>
      </c>
      <c r="H509" s="18">
        <v>2.0902750000000001</v>
      </c>
      <c r="I509" s="8">
        <v>0.7987421383647797</v>
      </c>
      <c r="J509" s="8">
        <v>0.6873156342182889</v>
      </c>
      <c r="K509" s="8">
        <v>0.4973821989528795</v>
      </c>
      <c r="L509" s="8">
        <v>7.0422535211267512E-3</v>
      </c>
      <c r="M509" s="18">
        <v>1.9904822250570751</v>
      </c>
    </row>
    <row r="510" spans="1:13" x14ac:dyDescent="0.45">
      <c r="A510" t="s">
        <v>1251</v>
      </c>
      <c r="B510" s="18">
        <v>214.09</v>
      </c>
      <c r="C510" s="18">
        <v>196.15</v>
      </c>
      <c r="D510" s="18">
        <v>158.94999999999999</v>
      </c>
      <c r="E510" s="18">
        <v>143.04</v>
      </c>
      <c r="F510" s="18">
        <v>120.86</v>
      </c>
      <c r="G510" s="18">
        <v>192.87979999999999</v>
      </c>
      <c r="H510" s="18">
        <v>162.21414999999999</v>
      </c>
      <c r="I510" s="8">
        <v>9.1460616874840639E-2</v>
      </c>
      <c r="J510" s="8">
        <v>0.34690154136520918</v>
      </c>
      <c r="K510" s="8">
        <v>0.49671420581655501</v>
      </c>
      <c r="L510" s="8">
        <v>0.77138838325335102</v>
      </c>
      <c r="M510" s="18">
        <v>1.7064647473099559</v>
      </c>
    </row>
    <row r="511" spans="1:13" x14ac:dyDescent="0.45">
      <c r="A511" t="s">
        <v>1</v>
      </c>
      <c r="B511" s="18">
        <v>258.06</v>
      </c>
      <c r="C511" s="18">
        <v>234.35</v>
      </c>
      <c r="D511" s="18">
        <v>212.41</v>
      </c>
      <c r="E511" s="18">
        <v>172.42</v>
      </c>
      <c r="F511" s="18">
        <v>226.8</v>
      </c>
      <c r="G511" s="18">
        <v>235.36500000000001</v>
      </c>
      <c r="H511" s="18">
        <v>222.27969999999999</v>
      </c>
      <c r="I511" s="8">
        <v>0.1011734585022404</v>
      </c>
      <c r="J511" s="8">
        <v>0.21491455204557219</v>
      </c>
      <c r="K511" s="8">
        <v>0.49669411901171578</v>
      </c>
      <c r="L511" s="8">
        <v>0.13783068783068789</v>
      </c>
      <c r="M511" s="18">
        <v>0.95061281739021619</v>
      </c>
    </row>
    <row r="512" spans="1:13" x14ac:dyDescent="0.45">
      <c r="A512" t="s">
        <v>858</v>
      </c>
      <c r="B512" s="18">
        <v>39.53</v>
      </c>
      <c r="C512" s="18">
        <v>37.270000000000003</v>
      </c>
      <c r="D512" s="18">
        <v>35.65</v>
      </c>
      <c r="E512" s="18">
        <v>26.42</v>
      </c>
      <c r="F512" s="18">
        <v>31.24</v>
      </c>
      <c r="G512" s="18">
        <v>36.711399999999998</v>
      </c>
      <c r="H512" s="18">
        <v>33.2926</v>
      </c>
      <c r="I512" s="8">
        <v>6.0638583310973937E-2</v>
      </c>
      <c r="J512" s="8">
        <v>0.10883590462833111</v>
      </c>
      <c r="K512" s="8">
        <v>0.49621498864496583</v>
      </c>
      <c r="L512" s="8">
        <v>0.2653649167733676</v>
      </c>
      <c r="M512" s="18">
        <v>0.93105439335763851</v>
      </c>
    </row>
    <row r="513" spans="1:13" x14ac:dyDescent="0.45">
      <c r="A513" t="s">
        <v>269</v>
      </c>
      <c r="B513" s="18">
        <v>259.77</v>
      </c>
      <c r="C513" s="18">
        <v>238.5</v>
      </c>
      <c r="D513" s="18">
        <v>217.8</v>
      </c>
      <c r="E513" s="18">
        <v>173.63</v>
      </c>
      <c r="F513" s="18">
        <v>170.03</v>
      </c>
      <c r="G513" s="18">
        <v>237.13820000000001</v>
      </c>
      <c r="H513" s="18">
        <v>216.25460000000001</v>
      </c>
      <c r="I513" s="8">
        <v>8.9182389937106921E-2</v>
      </c>
      <c r="J513" s="8">
        <v>0.19269972451790629</v>
      </c>
      <c r="K513" s="8">
        <v>0.49611242296838087</v>
      </c>
      <c r="L513" s="8">
        <v>0.5277892136681761</v>
      </c>
      <c r="M513" s="18">
        <v>1.30578375109157</v>
      </c>
    </row>
    <row r="514" spans="1:13" x14ac:dyDescent="0.45">
      <c r="A514" t="s">
        <v>675</v>
      </c>
      <c r="B514" s="18">
        <v>3.47</v>
      </c>
      <c r="C514" s="18">
        <v>3.38</v>
      </c>
      <c r="D514" s="18">
        <v>2.86</v>
      </c>
      <c r="E514" s="18">
        <v>2.3199999999999998</v>
      </c>
      <c r="F514" s="18">
        <v>2.0310000000000001</v>
      </c>
      <c r="G514" s="18">
        <v>3.2349999999999999</v>
      </c>
      <c r="H514" s="18">
        <v>2.8417750000000002</v>
      </c>
      <c r="I514" s="8">
        <v>2.6627218934911271E-2</v>
      </c>
      <c r="J514" s="8">
        <v>0.21328671328671331</v>
      </c>
      <c r="K514" s="8">
        <v>0.49568965517241392</v>
      </c>
      <c r="L514" s="8">
        <v>0.70851797144263906</v>
      </c>
      <c r="M514" s="18">
        <v>1.444121558836678</v>
      </c>
    </row>
    <row r="515" spans="1:13" x14ac:dyDescent="0.45">
      <c r="A515" t="s">
        <v>707</v>
      </c>
      <c r="B515" s="18">
        <v>2.78</v>
      </c>
      <c r="C515" s="18">
        <v>2.76</v>
      </c>
      <c r="D515" s="18">
        <v>2.56</v>
      </c>
      <c r="E515" s="18">
        <v>1.86</v>
      </c>
      <c r="F515" s="18">
        <v>2.41</v>
      </c>
      <c r="G515" s="18">
        <v>2.7093820000000002</v>
      </c>
      <c r="H515" s="18">
        <v>2.3122664999999998</v>
      </c>
      <c r="I515" s="8">
        <v>7.2463768115942351E-3</v>
      </c>
      <c r="J515" s="8">
        <v>8.59375E-2</v>
      </c>
      <c r="K515" s="8">
        <v>0.49462365591397828</v>
      </c>
      <c r="L515" s="8">
        <v>0.15352697095435669</v>
      </c>
      <c r="M515" s="18">
        <v>0.74133450367992926</v>
      </c>
    </row>
    <row r="516" spans="1:13" x14ac:dyDescent="0.45">
      <c r="A516" t="s">
        <v>775</v>
      </c>
      <c r="B516" s="18">
        <v>23.76</v>
      </c>
      <c r="C516" s="18">
        <v>21.59</v>
      </c>
      <c r="D516" s="18">
        <v>22.35</v>
      </c>
      <c r="E516" s="18">
        <v>15.9</v>
      </c>
      <c r="F516" s="18">
        <v>18.05</v>
      </c>
      <c r="G516" s="18">
        <v>22.119399999999999</v>
      </c>
      <c r="H516" s="18">
        <v>21.788499999999999</v>
      </c>
      <c r="I516" s="8">
        <v>0.1005094951366374</v>
      </c>
      <c r="J516" s="8">
        <v>6.3087248322147627E-2</v>
      </c>
      <c r="K516" s="8">
        <v>0.49433962264150949</v>
      </c>
      <c r="L516" s="8">
        <v>0.3163434903047091</v>
      </c>
      <c r="M516" s="18">
        <v>0.9742798564050037</v>
      </c>
    </row>
    <row r="517" spans="1:13" x14ac:dyDescent="0.45">
      <c r="A517" t="s">
        <v>1376</v>
      </c>
      <c r="B517" s="18">
        <v>64.89</v>
      </c>
      <c r="C517" s="18">
        <v>58.29</v>
      </c>
      <c r="D517" s="18">
        <v>51.19</v>
      </c>
      <c r="E517" s="18">
        <v>43.44</v>
      </c>
      <c r="F517" s="18">
        <v>63.93</v>
      </c>
      <c r="G517" s="18">
        <v>59.959200000000003</v>
      </c>
      <c r="H517" s="18">
        <v>52.10410000000001</v>
      </c>
      <c r="I517" s="8">
        <v>0.1132269686052496</v>
      </c>
      <c r="J517" s="8">
        <v>0.26763039656182852</v>
      </c>
      <c r="K517" s="8">
        <v>0.49378453038674047</v>
      </c>
      <c r="L517" s="8">
        <v>1.5016424213984079E-2</v>
      </c>
      <c r="M517" s="18">
        <v>0.88965831976780274</v>
      </c>
    </row>
    <row r="518" spans="1:13" x14ac:dyDescent="0.45">
      <c r="A518" t="s">
        <v>1190</v>
      </c>
      <c r="B518" s="18">
        <v>4.78</v>
      </c>
      <c r="C518" s="18">
        <v>3.75</v>
      </c>
      <c r="D518" s="18">
        <v>7.08</v>
      </c>
      <c r="E518" s="18">
        <v>3.2</v>
      </c>
      <c r="F518" s="18">
        <v>3.31</v>
      </c>
      <c r="G518" s="18">
        <v>4.5453999999999999</v>
      </c>
      <c r="H518" s="18">
        <v>4.7268499999999998</v>
      </c>
      <c r="I518" s="8">
        <v>0.27466666666666678</v>
      </c>
      <c r="J518" s="8">
        <v>-0.32485875706214679</v>
      </c>
      <c r="K518" s="8">
        <v>0.49374999999999991</v>
      </c>
      <c r="L518" s="8">
        <v>0.4441087613293051</v>
      </c>
      <c r="M518" s="18">
        <v>0.88766667093382501</v>
      </c>
    </row>
    <row r="519" spans="1:13" x14ac:dyDescent="0.45">
      <c r="A519" t="s">
        <v>1528</v>
      </c>
      <c r="B519" s="18">
        <v>47.2</v>
      </c>
      <c r="C519" s="18">
        <v>45.95</v>
      </c>
      <c r="D519" s="18">
        <v>45.4</v>
      </c>
      <c r="E519" s="18">
        <v>31.61</v>
      </c>
      <c r="F519" s="18">
        <v>26.86</v>
      </c>
      <c r="G519" s="18">
        <v>44.670600000000007</v>
      </c>
      <c r="H519" s="18">
        <v>37.024662999999997</v>
      </c>
      <c r="I519" s="8">
        <v>2.7203482045701891E-2</v>
      </c>
      <c r="J519" s="8">
        <v>3.9647577092511099E-2</v>
      </c>
      <c r="K519" s="8">
        <v>0.49319835495096509</v>
      </c>
      <c r="L519" s="8">
        <v>0.75725986597170536</v>
      </c>
      <c r="M519" s="18">
        <v>1.317309280060883</v>
      </c>
    </row>
    <row r="520" spans="1:13" x14ac:dyDescent="0.45">
      <c r="A520" t="s">
        <v>1723</v>
      </c>
      <c r="B520" s="18">
        <v>10.81</v>
      </c>
      <c r="C520" s="18">
        <v>9.98</v>
      </c>
      <c r="D520" s="18">
        <v>13.39</v>
      </c>
      <c r="E520" s="18">
        <v>7.24</v>
      </c>
      <c r="F520" s="18">
        <v>9.41</v>
      </c>
      <c r="G520" s="18">
        <v>10.348800000000001</v>
      </c>
      <c r="H520" s="18">
        <v>10.1899</v>
      </c>
      <c r="I520" s="8">
        <v>8.3166332665330689E-2</v>
      </c>
      <c r="J520" s="8">
        <v>-0.19268110530246449</v>
      </c>
      <c r="K520" s="8">
        <v>0.49309392265193369</v>
      </c>
      <c r="L520" s="8">
        <v>0.14877789585547291</v>
      </c>
      <c r="M520" s="18">
        <v>0.53235704587027277</v>
      </c>
    </row>
    <row r="521" spans="1:13" x14ac:dyDescent="0.45">
      <c r="A521" t="s">
        <v>285</v>
      </c>
      <c r="B521" s="18">
        <v>75.569999999999993</v>
      </c>
      <c r="C521" s="18">
        <v>78.64</v>
      </c>
      <c r="D521" s="18">
        <v>77.099999999999994</v>
      </c>
      <c r="E521" s="18">
        <v>50.71</v>
      </c>
      <c r="F521" s="18">
        <v>72.31</v>
      </c>
      <c r="G521" s="18">
        <v>77.693299999999994</v>
      </c>
      <c r="H521" s="18">
        <v>67.037525000000002</v>
      </c>
      <c r="I521" s="8">
        <v>-3.9038657171922793E-2</v>
      </c>
      <c r="J521" s="8">
        <v>-1.984435797665374E-2</v>
      </c>
      <c r="K521" s="8">
        <v>0.49023861171366589</v>
      </c>
      <c r="L521" s="8">
        <v>4.5083667542525019E-2</v>
      </c>
      <c r="M521" s="18">
        <v>0.47643926410761439</v>
      </c>
    </row>
    <row r="522" spans="1:13" x14ac:dyDescent="0.45">
      <c r="A522" t="s">
        <v>677</v>
      </c>
      <c r="B522" s="18">
        <v>5.17</v>
      </c>
      <c r="C522" s="18">
        <v>5.39</v>
      </c>
      <c r="D522" s="18">
        <v>3.97</v>
      </c>
      <c r="E522" s="18">
        <v>3.47</v>
      </c>
      <c r="F522" s="18">
        <v>5.19</v>
      </c>
      <c r="G522" s="18">
        <v>5.2256000000000009</v>
      </c>
      <c r="H522" s="18">
        <v>4.6874000000000002</v>
      </c>
      <c r="I522" s="8">
        <v>-4.0816326530612179E-2</v>
      </c>
      <c r="J522" s="8">
        <v>0.3022670025188916</v>
      </c>
      <c r="K522" s="8">
        <v>0.48991354466858777</v>
      </c>
      <c r="L522" s="8">
        <v>-3.8535645472062008E-3</v>
      </c>
      <c r="M522" s="18">
        <v>0.74751065610966105</v>
      </c>
    </row>
    <row r="523" spans="1:13" x14ac:dyDescent="0.45">
      <c r="A523" t="s">
        <v>1474</v>
      </c>
      <c r="B523" s="18">
        <v>44.11</v>
      </c>
      <c r="C523" s="18">
        <v>47.29</v>
      </c>
      <c r="D523" s="18">
        <v>39.81</v>
      </c>
      <c r="E523" s="18">
        <v>29.61</v>
      </c>
      <c r="F523" s="18">
        <v>53.5</v>
      </c>
      <c r="G523" s="18">
        <v>45.020200000000003</v>
      </c>
      <c r="H523" s="18">
        <v>38.691249999999997</v>
      </c>
      <c r="I523" s="8">
        <v>-6.7244660604779072E-2</v>
      </c>
      <c r="J523" s="8">
        <v>0.10801306204471239</v>
      </c>
      <c r="K523" s="8">
        <v>0.48969942586963849</v>
      </c>
      <c r="L523" s="8">
        <v>-0.17551401869158881</v>
      </c>
      <c r="M523" s="18">
        <v>0.35495380861798309</v>
      </c>
    </row>
    <row r="524" spans="1:13" x14ac:dyDescent="0.45">
      <c r="A524" t="s">
        <v>133</v>
      </c>
      <c r="B524" s="18">
        <v>62.22</v>
      </c>
      <c r="C524" s="18">
        <v>62.19</v>
      </c>
      <c r="D524" s="18">
        <v>54.89</v>
      </c>
      <c r="E524" s="18">
        <v>41.79</v>
      </c>
      <c r="F524" s="18">
        <v>59.23</v>
      </c>
      <c r="G524" s="18">
        <v>60.3504</v>
      </c>
      <c r="H524" s="18">
        <v>52.162100000000002</v>
      </c>
      <c r="I524" s="8">
        <v>4.8239266763139282E-4</v>
      </c>
      <c r="J524" s="8">
        <v>0.13353980688650011</v>
      </c>
      <c r="K524" s="8">
        <v>0.48887293610911708</v>
      </c>
      <c r="L524" s="8">
        <v>5.0481175080195888E-2</v>
      </c>
      <c r="M524" s="18">
        <v>0.67337631074344451</v>
      </c>
    </row>
    <row r="525" spans="1:13" x14ac:dyDescent="0.45">
      <c r="A525" t="s">
        <v>1364</v>
      </c>
      <c r="B525" s="18">
        <v>107.06</v>
      </c>
      <c r="C525" s="18">
        <v>107.45</v>
      </c>
      <c r="D525" s="18">
        <v>94.12</v>
      </c>
      <c r="E525" s="18">
        <v>71.92</v>
      </c>
      <c r="F525" s="18">
        <v>81.290000000000006</v>
      </c>
      <c r="G525" s="18">
        <v>106.8672</v>
      </c>
      <c r="H525" s="18">
        <v>90.88600000000001</v>
      </c>
      <c r="I525" s="8">
        <v>-3.6295951605398451E-3</v>
      </c>
      <c r="J525" s="8">
        <v>0.13748406289842749</v>
      </c>
      <c r="K525" s="8">
        <v>0.48859844271412678</v>
      </c>
      <c r="L525" s="8">
        <v>0.31701316275064578</v>
      </c>
      <c r="M525" s="18">
        <v>0.93946607320266029</v>
      </c>
    </row>
    <row r="526" spans="1:13" x14ac:dyDescent="0.45">
      <c r="A526" t="s">
        <v>414</v>
      </c>
      <c r="B526" s="18">
        <v>203.43</v>
      </c>
      <c r="C526" s="18">
        <v>204.03</v>
      </c>
      <c r="D526" s="18">
        <v>194.59</v>
      </c>
      <c r="E526" s="18">
        <v>136.74</v>
      </c>
      <c r="F526" s="18">
        <v>179.6</v>
      </c>
      <c r="G526" s="18">
        <v>208.03800000000001</v>
      </c>
      <c r="H526" s="18">
        <v>180.31447499999999</v>
      </c>
      <c r="I526" s="8">
        <v>-2.9407440082340748E-3</v>
      </c>
      <c r="J526" s="8">
        <v>4.542885040341238E-2</v>
      </c>
      <c r="K526" s="8">
        <v>0.4877139096094778</v>
      </c>
      <c r="L526" s="8">
        <v>0.13268374164810701</v>
      </c>
      <c r="M526" s="18">
        <v>0.66288575765276314</v>
      </c>
    </row>
    <row r="527" spans="1:13" x14ac:dyDescent="0.45">
      <c r="A527" t="s">
        <v>2292</v>
      </c>
      <c r="B527" s="18">
        <v>20.21</v>
      </c>
      <c r="C527" s="18">
        <v>19.68</v>
      </c>
      <c r="D527" s="18">
        <v>16.53</v>
      </c>
      <c r="E527" s="18">
        <v>13.59</v>
      </c>
      <c r="F527" s="18">
        <v>17.489999999999998</v>
      </c>
      <c r="G527" s="18">
        <v>18.293600000000001</v>
      </c>
      <c r="H527" s="18">
        <v>17.472300000000001</v>
      </c>
      <c r="I527" s="8">
        <v>2.6930894308943239E-2</v>
      </c>
      <c r="J527" s="8">
        <v>0.22262552934059279</v>
      </c>
      <c r="K527" s="8">
        <v>0.48712288447387803</v>
      </c>
      <c r="L527" s="8">
        <v>0.15551743853630651</v>
      </c>
      <c r="M527" s="18">
        <v>0.89219674665972049</v>
      </c>
    </row>
    <row r="528" spans="1:13" x14ac:dyDescent="0.45">
      <c r="A528" t="s">
        <v>1607</v>
      </c>
      <c r="B528" s="18">
        <v>11.97</v>
      </c>
      <c r="C528" s="18">
        <v>12.13</v>
      </c>
      <c r="D528" s="18">
        <v>11.74</v>
      </c>
      <c r="E528" s="18">
        <v>8.0500000000000007</v>
      </c>
      <c r="F528" s="18">
        <v>16.100000000000001</v>
      </c>
      <c r="G528" s="18">
        <v>12.13</v>
      </c>
      <c r="H528" s="18">
        <v>11.953849999999999</v>
      </c>
      <c r="I528" s="8">
        <v>-1.319043693322342E-2</v>
      </c>
      <c r="J528" s="8">
        <v>1.9591141396933631E-2</v>
      </c>
      <c r="K528" s="8">
        <v>0.48695652173913029</v>
      </c>
      <c r="L528" s="8">
        <v>-0.25652173913043491</v>
      </c>
      <c r="M528" s="18">
        <v>0.23683548707240559</v>
      </c>
    </row>
    <row r="529" spans="1:13" x14ac:dyDescent="0.45">
      <c r="A529" t="s">
        <v>672</v>
      </c>
      <c r="B529" s="18">
        <v>36.1</v>
      </c>
      <c r="C529" s="18">
        <v>35.130000000000003</v>
      </c>
      <c r="D529" s="18">
        <v>33.67</v>
      </c>
      <c r="E529" s="18">
        <v>24.28</v>
      </c>
      <c r="F529" s="18">
        <v>37</v>
      </c>
      <c r="G529" s="18">
        <v>34.576999999999998</v>
      </c>
      <c r="H529" s="18">
        <v>33.078000000000003</v>
      </c>
      <c r="I529" s="8">
        <v>2.76117278679191E-2</v>
      </c>
      <c r="J529" s="8">
        <v>7.2171072171072215E-2</v>
      </c>
      <c r="K529" s="8">
        <v>0.48682042833607908</v>
      </c>
      <c r="L529" s="8">
        <v>-2.4324324324324301E-2</v>
      </c>
      <c r="M529" s="18">
        <v>0.5622789040507461</v>
      </c>
    </row>
    <row r="530" spans="1:13" x14ac:dyDescent="0.45">
      <c r="A530" t="s">
        <v>1273</v>
      </c>
      <c r="B530" s="18">
        <v>3.88</v>
      </c>
      <c r="C530" s="18">
        <v>4.09</v>
      </c>
      <c r="D530" s="18">
        <v>3.47</v>
      </c>
      <c r="E530" s="18">
        <v>2.61</v>
      </c>
      <c r="F530" s="18">
        <v>1.5</v>
      </c>
      <c r="G530" s="18">
        <v>3.8963999999999999</v>
      </c>
      <c r="H530" s="18">
        <v>3.43465</v>
      </c>
      <c r="I530" s="8">
        <v>-5.1344743276283578E-2</v>
      </c>
      <c r="J530" s="8">
        <v>0.1181556195965416</v>
      </c>
      <c r="K530" s="8">
        <v>0.48659003831417641</v>
      </c>
      <c r="L530" s="8">
        <v>1.586666666666666</v>
      </c>
      <c r="M530" s="18">
        <v>2.1400675813011012</v>
      </c>
    </row>
    <row r="531" spans="1:13" x14ac:dyDescent="0.45">
      <c r="A531" t="s">
        <v>336</v>
      </c>
      <c r="B531" s="18">
        <v>198.23</v>
      </c>
      <c r="C531" s="18">
        <v>179.03</v>
      </c>
      <c r="D531" s="18">
        <v>163</v>
      </c>
      <c r="E531" s="18">
        <v>133.36000000000001</v>
      </c>
      <c r="F531" s="18">
        <v>166.39</v>
      </c>
      <c r="G531" s="18">
        <v>181.32660000000001</v>
      </c>
      <c r="H531" s="18">
        <v>155.05215000000001</v>
      </c>
      <c r="I531" s="8">
        <v>0.1072445958777857</v>
      </c>
      <c r="J531" s="8">
        <v>0.2161349693251533</v>
      </c>
      <c r="K531" s="8">
        <v>0.48642771445710831</v>
      </c>
      <c r="L531" s="8">
        <v>0.1913576537051507</v>
      </c>
      <c r="M531" s="18">
        <v>1.001164933365198</v>
      </c>
    </row>
    <row r="532" spans="1:13" x14ac:dyDescent="0.45">
      <c r="A532" t="s">
        <v>2042</v>
      </c>
      <c r="B532" s="18">
        <v>35.54</v>
      </c>
      <c r="C532" s="18">
        <v>35.51</v>
      </c>
      <c r="D532" s="18">
        <v>32.869999999999997</v>
      </c>
      <c r="E532" s="18">
        <v>23.92</v>
      </c>
      <c r="F532" s="18">
        <v>39.01</v>
      </c>
      <c r="G532" s="18">
        <v>35.060200000000002</v>
      </c>
      <c r="H532" s="18">
        <v>29.888750000000002</v>
      </c>
      <c r="I532" s="8">
        <v>8.44832441565746E-4</v>
      </c>
      <c r="J532" s="8">
        <v>8.1229084271372098E-2</v>
      </c>
      <c r="K532" s="8">
        <v>0.48578595317725748</v>
      </c>
      <c r="L532" s="8">
        <v>-8.8951550884388553E-2</v>
      </c>
      <c r="M532" s="18">
        <v>0.47890831900580683</v>
      </c>
    </row>
    <row r="533" spans="1:13" x14ac:dyDescent="0.45">
      <c r="A533" t="s">
        <v>1722</v>
      </c>
      <c r="B533" s="18">
        <v>17.010000000000002</v>
      </c>
      <c r="C533" s="18">
        <v>16.32</v>
      </c>
      <c r="D533" s="18">
        <v>16.34</v>
      </c>
      <c r="E533" s="18">
        <v>11.45</v>
      </c>
      <c r="F533" s="18">
        <v>14.31</v>
      </c>
      <c r="G533" s="18">
        <v>16.331399999999999</v>
      </c>
      <c r="H533" s="18">
        <v>14.7828</v>
      </c>
      <c r="I533" s="8">
        <v>4.2279411764706072E-2</v>
      </c>
      <c r="J533" s="8">
        <v>4.1003671970624378E-2</v>
      </c>
      <c r="K533" s="8">
        <v>0.48558951965065522</v>
      </c>
      <c r="L533" s="8">
        <v>0.1886792452830188</v>
      </c>
      <c r="M533" s="18">
        <v>0.75755184866900449</v>
      </c>
    </row>
    <row r="534" spans="1:13" x14ac:dyDescent="0.45">
      <c r="A534" t="s">
        <v>1490</v>
      </c>
      <c r="B534" s="18">
        <v>21.32</v>
      </c>
      <c r="C534" s="18">
        <v>23.2</v>
      </c>
      <c r="D534" s="18">
        <v>18.34</v>
      </c>
      <c r="E534" s="18">
        <v>14.37</v>
      </c>
      <c r="F534" s="18">
        <v>17.68</v>
      </c>
      <c r="G534" s="18">
        <v>21.646599999999999</v>
      </c>
      <c r="H534" s="18">
        <v>17.458449999999999</v>
      </c>
      <c r="I534" s="8">
        <v>-8.1034482758620685E-2</v>
      </c>
      <c r="J534" s="8">
        <v>0.16248636859323901</v>
      </c>
      <c r="K534" s="8">
        <v>0.48364648573416852</v>
      </c>
      <c r="L534" s="8">
        <v>0.20588235294117641</v>
      </c>
      <c r="M534" s="18">
        <v>0.77098072450996313</v>
      </c>
    </row>
    <row r="535" spans="1:13" x14ac:dyDescent="0.45">
      <c r="A535" t="s">
        <v>1118</v>
      </c>
      <c r="B535" s="18">
        <v>4.88</v>
      </c>
      <c r="C535" s="18">
        <v>4.9800000000000004</v>
      </c>
      <c r="D535" s="18">
        <v>5.29</v>
      </c>
      <c r="E535" s="18">
        <v>3.29</v>
      </c>
      <c r="F535" s="18">
        <v>4.4000000000000004</v>
      </c>
      <c r="G535" s="18">
        <v>5.0069999999999997</v>
      </c>
      <c r="H535" s="18">
        <v>4.5984999999999996</v>
      </c>
      <c r="I535" s="8">
        <v>-2.0080321285140701E-2</v>
      </c>
      <c r="J535" s="8">
        <v>-7.7504725897920679E-2</v>
      </c>
      <c r="K535" s="8">
        <v>0.48328267477203651</v>
      </c>
      <c r="L535" s="8">
        <v>0.10909090909090891</v>
      </c>
      <c r="M535" s="18">
        <v>0.49478853667988398</v>
      </c>
    </row>
    <row r="536" spans="1:13" x14ac:dyDescent="0.45">
      <c r="A536" t="s">
        <v>1204</v>
      </c>
      <c r="B536" s="18">
        <v>59.21</v>
      </c>
      <c r="C536" s="18">
        <v>52.89</v>
      </c>
      <c r="D536" s="18">
        <v>47.39</v>
      </c>
      <c r="E536" s="18">
        <v>39.93</v>
      </c>
      <c r="F536" s="18">
        <v>46.29</v>
      </c>
      <c r="G536" s="18">
        <v>52.725400000000008</v>
      </c>
      <c r="H536" s="18">
        <v>48.573500000000003</v>
      </c>
      <c r="I536" s="8">
        <v>0.11949328795613549</v>
      </c>
      <c r="J536" s="8">
        <v>0.24941970879932479</v>
      </c>
      <c r="K536" s="8">
        <v>0.48284497871274729</v>
      </c>
      <c r="L536" s="8">
        <v>0.27910995895441792</v>
      </c>
      <c r="M536" s="18">
        <v>1.130867934422626</v>
      </c>
    </row>
    <row r="537" spans="1:13" x14ac:dyDescent="0.45">
      <c r="A537" t="s">
        <v>662</v>
      </c>
      <c r="B537" s="18">
        <v>146.32</v>
      </c>
      <c r="C537" s="18">
        <v>136.19999999999999</v>
      </c>
      <c r="D537" s="18">
        <v>118.85</v>
      </c>
      <c r="E537" s="18">
        <v>98.77</v>
      </c>
      <c r="F537" s="18">
        <v>73.099999999999994</v>
      </c>
      <c r="G537" s="18">
        <v>134.5436</v>
      </c>
      <c r="H537" s="18">
        <v>115.5941</v>
      </c>
      <c r="I537" s="8">
        <v>7.4302496328928047E-2</v>
      </c>
      <c r="J537" s="8">
        <v>0.23113167858645339</v>
      </c>
      <c r="K537" s="8">
        <v>0.48142148425635312</v>
      </c>
      <c r="L537" s="8">
        <v>1.001641586867305</v>
      </c>
      <c r="M537" s="18">
        <v>1.78849724603904</v>
      </c>
    </row>
    <row r="538" spans="1:13" x14ac:dyDescent="0.45">
      <c r="A538" t="s">
        <v>686</v>
      </c>
      <c r="B538" s="18">
        <v>83.46</v>
      </c>
      <c r="C538" s="18">
        <v>91.21</v>
      </c>
      <c r="D538" s="18">
        <v>84.71</v>
      </c>
      <c r="E538" s="18">
        <v>56.36</v>
      </c>
      <c r="F538" s="18">
        <v>61.57</v>
      </c>
      <c r="G538" s="18">
        <v>87.94959999999999</v>
      </c>
      <c r="H538" s="18">
        <v>74.575000000000003</v>
      </c>
      <c r="I538" s="8">
        <v>-8.4968753426159394E-2</v>
      </c>
      <c r="J538" s="8">
        <v>-1.475622712784797E-2</v>
      </c>
      <c r="K538" s="8">
        <v>0.48083747338537952</v>
      </c>
      <c r="L538" s="8">
        <v>0.35553029072600267</v>
      </c>
      <c r="M538" s="18">
        <v>0.73664278355737489</v>
      </c>
    </row>
    <row r="539" spans="1:13" x14ac:dyDescent="0.45">
      <c r="A539" t="s">
        <v>2287</v>
      </c>
      <c r="B539" s="18">
        <v>43.01</v>
      </c>
      <c r="C539" s="18">
        <v>39.07</v>
      </c>
      <c r="D539" s="18">
        <v>38.81</v>
      </c>
      <c r="E539" s="18">
        <v>29.05</v>
      </c>
      <c r="F539" s="18">
        <v>51.82</v>
      </c>
      <c r="G539" s="18">
        <v>36.561399999999999</v>
      </c>
      <c r="H539" s="18">
        <v>38.196399999999997</v>
      </c>
      <c r="I539" s="8">
        <v>0.1008446378295367</v>
      </c>
      <c r="J539" s="8">
        <v>0.10821953104869859</v>
      </c>
      <c r="K539" s="8">
        <v>0.48055077452667788</v>
      </c>
      <c r="L539" s="8">
        <v>-0.1700115785411038</v>
      </c>
      <c r="M539" s="18">
        <v>0.51960336486380942</v>
      </c>
    </row>
    <row r="540" spans="1:13" x14ac:dyDescent="0.45">
      <c r="A540" t="s">
        <v>66</v>
      </c>
      <c r="B540" s="18">
        <v>524.85</v>
      </c>
      <c r="C540" s="18">
        <v>498.41</v>
      </c>
      <c r="D540" s="18">
        <v>501.48</v>
      </c>
      <c r="E540" s="18">
        <v>354.56</v>
      </c>
      <c r="F540" s="18">
        <v>416.06</v>
      </c>
      <c r="G540" s="18">
        <v>513.73860000000002</v>
      </c>
      <c r="H540" s="18">
        <v>453.14485000000002</v>
      </c>
      <c r="I540" s="8">
        <v>5.3048694849621818E-2</v>
      </c>
      <c r="J540" s="8">
        <v>4.6602057908590622E-2</v>
      </c>
      <c r="K540" s="8">
        <v>0.48028542418772568</v>
      </c>
      <c r="L540" s="8">
        <v>0.26147671008989087</v>
      </c>
      <c r="M540" s="18">
        <v>0.84141288703582906</v>
      </c>
    </row>
    <row r="541" spans="1:13" x14ac:dyDescent="0.45">
      <c r="A541" t="s">
        <v>853</v>
      </c>
      <c r="B541" s="18">
        <v>9.44</v>
      </c>
      <c r="C541" s="18">
        <v>9.1300000000000008</v>
      </c>
      <c r="D541" s="18">
        <v>6.61</v>
      </c>
      <c r="E541" s="18">
        <v>6.38</v>
      </c>
      <c r="F541" s="18">
        <v>10.66</v>
      </c>
      <c r="G541" s="18">
        <v>8.4458000000000002</v>
      </c>
      <c r="H541" s="18">
        <v>6.5351499999999998</v>
      </c>
      <c r="I541" s="8">
        <v>3.3953997809419427E-2</v>
      </c>
      <c r="J541" s="8">
        <v>0.42813918305597581</v>
      </c>
      <c r="K541" s="8">
        <v>0.47962382445141061</v>
      </c>
      <c r="L541" s="8">
        <v>-0.1144465290806754</v>
      </c>
      <c r="M541" s="18">
        <v>0.82727047623613037</v>
      </c>
    </row>
    <row r="542" spans="1:13" x14ac:dyDescent="0.45">
      <c r="A542" t="s">
        <v>2532</v>
      </c>
      <c r="B542" s="18">
        <v>4.9400000000000004</v>
      </c>
      <c r="C542" s="18">
        <v>5.0199999999999996</v>
      </c>
      <c r="D542" s="18">
        <v>4.78</v>
      </c>
      <c r="E542" s="18">
        <v>3.34</v>
      </c>
      <c r="F542" s="18">
        <v>4.8</v>
      </c>
      <c r="G542" s="18">
        <v>4.8182</v>
      </c>
      <c r="H542" s="18">
        <v>4.3176999999999994</v>
      </c>
      <c r="I542" s="8">
        <v>-1.593625498007956E-2</v>
      </c>
      <c r="J542" s="8">
        <v>3.3472803347280422E-2</v>
      </c>
      <c r="K542" s="8">
        <v>0.47904191616766489</v>
      </c>
      <c r="L542" s="8">
        <v>2.9166666666666789E-2</v>
      </c>
      <c r="M542" s="18">
        <v>0.52574513120153255</v>
      </c>
    </row>
    <row r="543" spans="1:13" x14ac:dyDescent="0.45">
      <c r="A543" t="s">
        <v>1384</v>
      </c>
      <c r="B543" s="18">
        <v>6.6</v>
      </c>
      <c r="C543" s="18">
        <v>6.21</v>
      </c>
      <c r="D543" s="18">
        <v>5.24</v>
      </c>
      <c r="E543" s="18">
        <v>4.47</v>
      </c>
      <c r="F543" s="18">
        <v>6.21</v>
      </c>
      <c r="G543" s="18">
        <v>6.1848800000000006</v>
      </c>
      <c r="H543" s="18">
        <v>5.5038849999999986</v>
      </c>
      <c r="I543" s="8">
        <v>6.2801932367149815E-2</v>
      </c>
      <c r="J543" s="8">
        <v>0.25954198473282442</v>
      </c>
      <c r="K543" s="8">
        <v>0.47651006711409399</v>
      </c>
      <c r="L543" s="8">
        <v>6.2801932367149815E-2</v>
      </c>
      <c r="M543" s="18">
        <v>0.8616559165812181</v>
      </c>
    </row>
    <row r="544" spans="1:13" x14ac:dyDescent="0.45">
      <c r="A544" t="s">
        <v>1710</v>
      </c>
      <c r="B544" s="18">
        <v>42.67</v>
      </c>
      <c r="C544" s="18">
        <v>41.44</v>
      </c>
      <c r="D544" s="18">
        <v>39.159999999999997</v>
      </c>
      <c r="E544" s="18">
        <v>28.9</v>
      </c>
      <c r="F544" s="18">
        <v>41.84</v>
      </c>
      <c r="G544" s="18">
        <v>41.417400000000001</v>
      </c>
      <c r="H544" s="18">
        <v>37.086300000000001</v>
      </c>
      <c r="I544" s="8">
        <v>2.9681467181467362E-2</v>
      </c>
      <c r="J544" s="8">
        <v>8.9632277834525098E-2</v>
      </c>
      <c r="K544" s="8">
        <v>0.4764705882352942</v>
      </c>
      <c r="L544" s="8">
        <v>1.9837476099426429E-2</v>
      </c>
      <c r="M544" s="18">
        <v>0.61562180935071309</v>
      </c>
    </row>
    <row r="545" spans="1:13" x14ac:dyDescent="0.45">
      <c r="A545" t="s">
        <v>1471</v>
      </c>
      <c r="B545" s="18">
        <v>5.52</v>
      </c>
      <c r="C545" s="18">
        <v>5.59</v>
      </c>
      <c r="D545" s="18">
        <v>5.57</v>
      </c>
      <c r="E545" s="18">
        <v>3.74</v>
      </c>
      <c r="F545" s="18">
        <v>7.14</v>
      </c>
      <c r="G545" s="18">
        <v>5.4626000000000001</v>
      </c>
      <c r="H545" s="18">
        <v>5.4526500000000002</v>
      </c>
      <c r="I545" s="8">
        <v>-1.252236135957074E-2</v>
      </c>
      <c r="J545" s="8">
        <v>-8.9766606822263562E-3</v>
      </c>
      <c r="K545" s="8">
        <v>0.47593582887700531</v>
      </c>
      <c r="L545" s="8">
        <v>-0.22689075630252101</v>
      </c>
      <c r="M545" s="18">
        <v>0.2275460505326872</v>
      </c>
    </row>
    <row r="546" spans="1:13" x14ac:dyDescent="0.45">
      <c r="A546" t="s">
        <v>1652</v>
      </c>
      <c r="B546" s="18">
        <v>6.46</v>
      </c>
      <c r="C546" s="18">
        <v>6.63</v>
      </c>
      <c r="D546" s="18">
        <v>5.52</v>
      </c>
      <c r="E546" s="18">
        <v>4.38</v>
      </c>
      <c r="F546" s="18">
        <v>4.1900000000000004</v>
      </c>
      <c r="G546" s="18">
        <v>6.4885999999999999</v>
      </c>
      <c r="H546" s="18">
        <v>5.6436499999999992</v>
      </c>
      <c r="I546" s="8">
        <v>-2.5641025641025661E-2</v>
      </c>
      <c r="J546" s="8">
        <v>0.17028985507246391</v>
      </c>
      <c r="K546" s="8">
        <v>0.47488584474885842</v>
      </c>
      <c r="L546" s="8">
        <v>0.54176610978520268</v>
      </c>
      <c r="M546" s="18">
        <v>1.161300783965499</v>
      </c>
    </row>
    <row r="547" spans="1:13" x14ac:dyDescent="0.45">
      <c r="A547" t="s">
        <v>904</v>
      </c>
      <c r="B547" s="18">
        <v>5.53</v>
      </c>
      <c r="C547" s="18">
        <v>5.23</v>
      </c>
      <c r="D547" s="18">
        <v>3.44</v>
      </c>
      <c r="E547" s="18">
        <v>3.75</v>
      </c>
      <c r="F547" s="18">
        <v>3.87</v>
      </c>
      <c r="G547" s="18">
        <v>5.149</v>
      </c>
      <c r="H547" s="18">
        <v>4.4695499999999999</v>
      </c>
      <c r="I547" s="8">
        <v>5.7361376673040088E-2</v>
      </c>
      <c r="J547" s="8">
        <v>0.60755813953488391</v>
      </c>
      <c r="K547" s="8">
        <v>0.47466666666666679</v>
      </c>
      <c r="L547" s="8">
        <v>0.42894056847545209</v>
      </c>
      <c r="M547" s="18">
        <v>1.5685267513500429</v>
      </c>
    </row>
    <row r="548" spans="1:13" x14ac:dyDescent="0.45">
      <c r="A548" t="s">
        <v>2514</v>
      </c>
      <c r="B548" s="18">
        <v>24.19</v>
      </c>
      <c r="C548" s="18">
        <v>20.75</v>
      </c>
      <c r="D548" s="18">
        <v>17.43</v>
      </c>
      <c r="E548" s="18">
        <v>16.420000000000002</v>
      </c>
      <c r="F548" s="18">
        <v>12.81</v>
      </c>
      <c r="G548" s="18">
        <v>21.224799999999998</v>
      </c>
      <c r="H548" s="18">
        <v>19.089549999999999</v>
      </c>
      <c r="I548" s="8">
        <v>0.16578313253012039</v>
      </c>
      <c r="J548" s="8">
        <v>0.38783706253585781</v>
      </c>
      <c r="K548" s="8">
        <v>0.47320341047503051</v>
      </c>
      <c r="L548" s="8">
        <v>0.88836846213895404</v>
      </c>
      <c r="M548" s="18">
        <v>1.915192067679963</v>
      </c>
    </row>
    <row r="549" spans="1:13" x14ac:dyDescent="0.45">
      <c r="A549" t="s">
        <v>802</v>
      </c>
      <c r="B549" s="18">
        <v>2.71</v>
      </c>
      <c r="C549" s="18">
        <v>3.04</v>
      </c>
      <c r="D549" s="18">
        <v>2.08</v>
      </c>
      <c r="E549" s="18">
        <v>1.84</v>
      </c>
      <c r="F549" s="18">
        <v>5.6</v>
      </c>
      <c r="G549" s="18">
        <v>2.6970000000000001</v>
      </c>
      <c r="H549" s="18">
        <v>2.51735</v>
      </c>
      <c r="I549" s="8">
        <v>-0.1085526315789473</v>
      </c>
      <c r="J549" s="8">
        <v>0.30288461538461542</v>
      </c>
      <c r="K549" s="8">
        <v>0.47282608695652167</v>
      </c>
      <c r="L549" s="8">
        <v>-0.51607142857142851</v>
      </c>
      <c r="M549" s="18">
        <v>0.15108664219076129</v>
      </c>
    </row>
    <row r="550" spans="1:13" x14ac:dyDescent="0.45">
      <c r="A550" t="s">
        <v>927</v>
      </c>
      <c r="B550" s="18">
        <v>80.37</v>
      </c>
      <c r="C550" s="18">
        <v>78.08</v>
      </c>
      <c r="D550" s="18">
        <v>73.44</v>
      </c>
      <c r="E550" s="18">
        <v>54.6</v>
      </c>
      <c r="F550" s="18">
        <v>60.24</v>
      </c>
      <c r="G550" s="18">
        <v>76.904600000000002</v>
      </c>
      <c r="H550" s="18">
        <v>67.118549999999999</v>
      </c>
      <c r="I550" s="8">
        <v>2.932889344262302E-2</v>
      </c>
      <c r="J550" s="8">
        <v>9.4362745098039325E-2</v>
      </c>
      <c r="K550" s="8">
        <v>0.47197802197802208</v>
      </c>
      <c r="L550" s="8">
        <v>0.33416334661354591</v>
      </c>
      <c r="M550" s="18">
        <v>0.92983300713223027</v>
      </c>
    </row>
    <row r="551" spans="1:13" x14ac:dyDescent="0.45">
      <c r="A551" t="s">
        <v>2252</v>
      </c>
      <c r="B551" s="18">
        <v>36.119999999999997</v>
      </c>
      <c r="C551" s="18">
        <v>32.65</v>
      </c>
      <c r="D551" s="18">
        <v>31</v>
      </c>
      <c r="E551" s="18">
        <v>24.54</v>
      </c>
      <c r="F551" s="18">
        <v>33.24</v>
      </c>
      <c r="G551" s="18">
        <v>32.949964000000001</v>
      </c>
      <c r="H551" s="18">
        <v>30.782691</v>
      </c>
      <c r="I551" s="8">
        <v>0.1062787136294028</v>
      </c>
      <c r="J551" s="8">
        <v>0.16516129032258051</v>
      </c>
      <c r="K551" s="8">
        <v>0.47188264058679708</v>
      </c>
      <c r="L551" s="8">
        <v>8.6642599277978238E-2</v>
      </c>
      <c r="M551" s="18">
        <v>0.82996524381675862</v>
      </c>
    </row>
    <row r="552" spans="1:13" x14ac:dyDescent="0.45">
      <c r="A552" t="s">
        <v>1314</v>
      </c>
      <c r="B552" s="18">
        <v>19.940000000000001</v>
      </c>
      <c r="C552" s="18">
        <v>19.97</v>
      </c>
      <c r="D552" s="18">
        <v>19.809999999999999</v>
      </c>
      <c r="E552" s="18">
        <v>13.55</v>
      </c>
      <c r="F552" s="18">
        <v>16.13</v>
      </c>
      <c r="G552" s="18">
        <v>19.930800000000001</v>
      </c>
      <c r="H552" s="18">
        <v>15.87205</v>
      </c>
      <c r="I552" s="8">
        <v>-1.5022533800699289E-3</v>
      </c>
      <c r="J552" s="8">
        <v>6.5623422513882979E-3</v>
      </c>
      <c r="K552" s="8">
        <v>0.47158671586715872</v>
      </c>
      <c r="L552" s="8">
        <v>0.23620582765034109</v>
      </c>
      <c r="M552" s="18">
        <v>0.71285263238881824</v>
      </c>
    </row>
    <row r="553" spans="1:13" x14ac:dyDescent="0.45">
      <c r="A553" t="s">
        <v>2312</v>
      </c>
      <c r="B553" s="18">
        <v>21.37</v>
      </c>
      <c r="C553" s="18">
        <v>20.89</v>
      </c>
      <c r="D553" s="18">
        <v>19.32</v>
      </c>
      <c r="E553" s="18">
        <v>14.53</v>
      </c>
      <c r="F553" s="18">
        <v>16.309999999999999</v>
      </c>
      <c r="G553" s="18">
        <v>20.932400000000001</v>
      </c>
      <c r="H553" s="18">
        <v>17.0627</v>
      </c>
      <c r="I553" s="8">
        <v>2.2977501196744798E-2</v>
      </c>
      <c r="J553" s="8">
        <v>0.1061076604554865</v>
      </c>
      <c r="K553" s="8">
        <v>0.47075017205781161</v>
      </c>
      <c r="L553" s="8">
        <v>0.31023911710607011</v>
      </c>
      <c r="M553" s="18">
        <v>0.91007445081611293</v>
      </c>
    </row>
    <row r="554" spans="1:13" x14ac:dyDescent="0.45">
      <c r="A554" t="s">
        <v>572</v>
      </c>
      <c r="B554" s="18">
        <v>40.18</v>
      </c>
      <c r="C554" s="18">
        <v>42.93</v>
      </c>
      <c r="D554" s="18">
        <v>36.21</v>
      </c>
      <c r="E554" s="18">
        <v>27.32</v>
      </c>
      <c r="F554" s="18">
        <v>25.05</v>
      </c>
      <c r="G554" s="18">
        <v>41.526200000000003</v>
      </c>
      <c r="H554" s="18">
        <v>34.171849999999999</v>
      </c>
      <c r="I554" s="8">
        <v>-6.4057768460284215E-2</v>
      </c>
      <c r="J554" s="8">
        <v>0.1096382214857774</v>
      </c>
      <c r="K554" s="8">
        <v>0.47071742313323561</v>
      </c>
      <c r="L554" s="8">
        <v>0.60399201596806384</v>
      </c>
      <c r="M554" s="18">
        <v>1.120289892126793</v>
      </c>
    </row>
    <row r="555" spans="1:13" x14ac:dyDescent="0.45">
      <c r="A555" t="s">
        <v>1468</v>
      </c>
      <c r="B555" s="18">
        <v>24.44</v>
      </c>
      <c r="C555" s="18">
        <v>24.1</v>
      </c>
      <c r="D555" s="18">
        <v>22.99</v>
      </c>
      <c r="E555" s="18">
        <v>16.62</v>
      </c>
      <c r="F555" s="18">
        <v>17.66</v>
      </c>
      <c r="G555" s="18">
        <v>24.711400000000001</v>
      </c>
      <c r="H555" s="18">
        <v>20.679649999999999</v>
      </c>
      <c r="I555" s="8">
        <v>1.4107883817427339E-2</v>
      </c>
      <c r="J555" s="8">
        <v>6.3070900391474671E-2</v>
      </c>
      <c r="K555" s="8">
        <v>0.47051744885679908</v>
      </c>
      <c r="L555" s="8">
        <v>0.38391845979614958</v>
      </c>
      <c r="M555" s="18">
        <v>0.93161469286185072</v>
      </c>
    </row>
    <row r="556" spans="1:13" x14ac:dyDescent="0.45">
      <c r="A556" t="s">
        <v>1419</v>
      </c>
      <c r="B556" s="18">
        <v>15.98</v>
      </c>
      <c r="C556" s="18">
        <v>14.25</v>
      </c>
      <c r="D556" s="18">
        <v>13.4</v>
      </c>
      <c r="E556" s="18">
        <v>10.87</v>
      </c>
      <c r="F556" s="18">
        <v>14.97</v>
      </c>
      <c r="G556" s="18">
        <v>14.1462</v>
      </c>
      <c r="H556" s="18">
        <v>13.27365</v>
      </c>
      <c r="I556" s="8">
        <v>0.12140350877192981</v>
      </c>
      <c r="J556" s="8">
        <v>0.19253731343283589</v>
      </c>
      <c r="K556" s="8">
        <v>0.47010119595216221</v>
      </c>
      <c r="L556" s="8">
        <v>6.7468269873079523E-2</v>
      </c>
      <c r="M556" s="18">
        <v>0.85151028803000739</v>
      </c>
    </row>
    <row r="557" spans="1:13" x14ac:dyDescent="0.45">
      <c r="A557" t="s">
        <v>71</v>
      </c>
      <c r="B557" s="18">
        <v>225.64</v>
      </c>
      <c r="C557" s="18">
        <v>223.69</v>
      </c>
      <c r="D557" s="18">
        <v>233.19</v>
      </c>
      <c r="E557" s="18">
        <v>153.5</v>
      </c>
      <c r="F557" s="18">
        <v>234.24</v>
      </c>
      <c r="G557" s="18">
        <v>224.3013</v>
      </c>
      <c r="H557" s="18">
        <v>211.76439999999999</v>
      </c>
      <c r="I557" s="8">
        <v>8.7174214314451604E-3</v>
      </c>
      <c r="J557" s="8">
        <v>-3.2377031605128948E-2</v>
      </c>
      <c r="K557" s="8">
        <v>0.46996742671009772</v>
      </c>
      <c r="L557" s="8">
        <v>-3.6714480874317057E-2</v>
      </c>
      <c r="M557" s="18">
        <v>0.40959333566209688</v>
      </c>
    </row>
    <row r="558" spans="1:13" x14ac:dyDescent="0.45">
      <c r="A558" t="s">
        <v>1579</v>
      </c>
      <c r="B558" s="18">
        <v>49.11</v>
      </c>
      <c r="C558" s="18">
        <v>55.22</v>
      </c>
      <c r="D558" s="18">
        <v>52.01</v>
      </c>
      <c r="E558" s="18">
        <v>33.409999999999997</v>
      </c>
      <c r="F558" s="18">
        <v>49.09</v>
      </c>
      <c r="G558" s="18">
        <v>54.168599999999998</v>
      </c>
      <c r="H558" s="18">
        <v>48.733400000000003</v>
      </c>
      <c r="I558" s="8">
        <v>-0.11064831582759869</v>
      </c>
      <c r="J558" s="8">
        <v>-5.5758507979234762E-2</v>
      </c>
      <c r="K558" s="8">
        <v>0.46991918587249337</v>
      </c>
      <c r="L558" s="8">
        <v>4.0741495212870399E-4</v>
      </c>
      <c r="M558" s="18">
        <v>0.30391977701778861</v>
      </c>
    </row>
    <row r="559" spans="1:13" x14ac:dyDescent="0.45">
      <c r="A559" t="s">
        <v>1349</v>
      </c>
      <c r="B559" s="18">
        <v>46.07</v>
      </c>
      <c r="C559" s="18">
        <v>42.07</v>
      </c>
      <c r="D559" s="18">
        <v>38.19</v>
      </c>
      <c r="E559" s="18">
        <v>31.36</v>
      </c>
      <c r="F559" s="18">
        <v>38.74</v>
      </c>
      <c r="G559" s="18">
        <v>43.404400000000003</v>
      </c>
      <c r="H559" s="18">
        <v>38.636200000000002</v>
      </c>
      <c r="I559" s="8">
        <v>9.5079629189446235E-2</v>
      </c>
      <c r="J559" s="8">
        <v>0.20633673736580271</v>
      </c>
      <c r="K559" s="8">
        <v>0.46906887755102028</v>
      </c>
      <c r="L559" s="8">
        <v>0.18921011874032009</v>
      </c>
      <c r="M559" s="18">
        <v>0.95969536284658941</v>
      </c>
    </row>
    <row r="560" spans="1:13" x14ac:dyDescent="0.45">
      <c r="A560" t="s">
        <v>699</v>
      </c>
      <c r="B560" s="18">
        <v>17.71</v>
      </c>
      <c r="C560" s="18">
        <v>16.79</v>
      </c>
      <c r="D560" s="18">
        <v>15.13</v>
      </c>
      <c r="E560" s="18">
        <v>12.06</v>
      </c>
      <c r="F560" s="18">
        <v>13.92</v>
      </c>
      <c r="G560" s="18">
        <v>16.183599999999998</v>
      </c>
      <c r="H560" s="18">
        <v>14.914099999999999</v>
      </c>
      <c r="I560" s="8">
        <v>5.4794520547945202E-2</v>
      </c>
      <c r="J560" s="8">
        <v>0.17052214144084599</v>
      </c>
      <c r="K560" s="8">
        <v>0.46849087893864022</v>
      </c>
      <c r="L560" s="8">
        <v>0.27227011494252878</v>
      </c>
      <c r="M560" s="18">
        <v>0.96607765586996019</v>
      </c>
    </row>
    <row r="561" spans="1:13" x14ac:dyDescent="0.45">
      <c r="A561" t="s">
        <v>398</v>
      </c>
      <c r="B561" s="18">
        <v>111.8</v>
      </c>
      <c r="C561" s="18">
        <v>109.13</v>
      </c>
      <c r="D561" s="18">
        <v>107.68</v>
      </c>
      <c r="E561" s="18">
        <v>76.17</v>
      </c>
      <c r="F561" s="18">
        <v>95.88</v>
      </c>
      <c r="G561" s="18">
        <v>107.96120000000001</v>
      </c>
      <c r="H561" s="18">
        <v>99.105399999999989</v>
      </c>
      <c r="I561" s="8">
        <v>2.446623293319905E-2</v>
      </c>
      <c r="J561" s="8">
        <v>3.8261515601782918E-2</v>
      </c>
      <c r="K561" s="8">
        <v>0.46776946304319278</v>
      </c>
      <c r="L561" s="8">
        <v>0.1660408844388819</v>
      </c>
      <c r="M561" s="18">
        <v>0.69653809601705663</v>
      </c>
    </row>
    <row r="562" spans="1:13" x14ac:dyDescent="0.45">
      <c r="A562" t="s">
        <v>268</v>
      </c>
      <c r="B562" s="18">
        <v>42.85</v>
      </c>
      <c r="C562" s="18">
        <v>43.89</v>
      </c>
      <c r="D562" s="18">
        <v>47.21</v>
      </c>
      <c r="E562" s="18">
        <v>29.21</v>
      </c>
      <c r="F562" s="18">
        <v>50.55</v>
      </c>
      <c r="G562" s="18">
        <v>42.324399999999997</v>
      </c>
      <c r="H562" s="18">
        <v>39.890050000000002</v>
      </c>
      <c r="I562" s="8">
        <v>-2.3695602642970989E-2</v>
      </c>
      <c r="J562" s="8">
        <v>-9.2353314975640699E-2</v>
      </c>
      <c r="K562" s="8">
        <v>0.46696336870934618</v>
      </c>
      <c r="L562" s="8">
        <v>-0.15232443125618189</v>
      </c>
      <c r="M562" s="18">
        <v>0.1985900198345526</v>
      </c>
    </row>
    <row r="563" spans="1:13" x14ac:dyDescent="0.45">
      <c r="A563" t="s">
        <v>2429</v>
      </c>
      <c r="B563" s="18">
        <v>6.85</v>
      </c>
      <c r="C563" s="18">
        <v>5.92</v>
      </c>
      <c r="D563" s="18">
        <v>4.76</v>
      </c>
      <c r="E563" s="18">
        <v>4.67</v>
      </c>
      <c r="F563" s="18">
        <v>6.23</v>
      </c>
      <c r="G563" s="18">
        <v>6.2450000000000001</v>
      </c>
      <c r="H563" s="18">
        <v>5.9040499999999998</v>
      </c>
      <c r="I563" s="8">
        <v>0.15709459459459449</v>
      </c>
      <c r="J563" s="8">
        <v>0.43907563025210078</v>
      </c>
      <c r="K563" s="8">
        <v>0.46680942184154173</v>
      </c>
      <c r="L563" s="8">
        <v>9.9518459069020793E-2</v>
      </c>
      <c r="M563" s="18">
        <v>1.1624981057572581</v>
      </c>
    </row>
    <row r="564" spans="1:13" x14ac:dyDescent="0.45">
      <c r="A564" t="s">
        <v>978</v>
      </c>
      <c r="B564" s="18">
        <v>117.85</v>
      </c>
      <c r="C564" s="18">
        <v>110.72</v>
      </c>
      <c r="D564" s="18">
        <v>95.89</v>
      </c>
      <c r="E564" s="18">
        <v>80.349999999999994</v>
      </c>
      <c r="F564" s="18">
        <v>89.11</v>
      </c>
      <c r="G564" s="18">
        <v>111.2838</v>
      </c>
      <c r="H564" s="18">
        <v>98.883200000000002</v>
      </c>
      <c r="I564" s="8">
        <v>6.4396676300578104E-2</v>
      </c>
      <c r="J564" s="8">
        <v>0.22901241005318579</v>
      </c>
      <c r="K564" s="8">
        <v>0.46670815183571879</v>
      </c>
      <c r="L564" s="8">
        <v>0.3225227247222533</v>
      </c>
      <c r="M564" s="18">
        <v>1.082639962911736</v>
      </c>
    </row>
    <row r="565" spans="1:13" x14ac:dyDescent="0.45">
      <c r="A565" t="s">
        <v>2194</v>
      </c>
      <c r="B565" s="18">
        <v>1.51</v>
      </c>
      <c r="C565" s="18">
        <v>1.46</v>
      </c>
      <c r="D565" s="18">
        <v>1.02</v>
      </c>
      <c r="E565" s="18">
        <v>1.03</v>
      </c>
      <c r="F565" s="18">
        <v>1.7</v>
      </c>
      <c r="G565" s="18">
        <v>1.394916</v>
      </c>
      <c r="H565" s="18">
        <v>1.214809</v>
      </c>
      <c r="I565" s="8">
        <v>3.424657534246589E-2</v>
      </c>
      <c r="J565" s="8">
        <v>0.48039215686274522</v>
      </c>
      <c r="K565" s="8">
        <v>0.46601941747572823</v>
      </c>
      <c r="L565" s="8">
        <v>-0.1117647058823529</v>
      </c>
      <c r="M565" s="18">
        <v>0.86889344379858635</v>
      </c>
    </row>
    <row r="566" spans="1:13" x14ac:dyDescent="0.45">
      <c r="A566" t="s">
        <v>1288</v>
      </c>
      <c r="B566" s="18">
        <v>3.87</v>
      </c>
      <c r="C566" s="18">
        <v>4.0999999999999996</v>
      </c>
      <c r="D566" s="18">
        <v>3.94</v>
      </c>
      <c r="E566" s="18">
        <v>2.64</v>
      </c>
      <c r="F566" s="18">
        <v>5.69</v>
      </c>
      <c r="G566" s="18">
        <v>4.1419999999999986</v>
      </c>
      <c r="H566" s="18">
        <v>3.9018000000000002</v>
      </c>
      <c r="I566" s="8">
        <v>-5.6097560975609688E-2</v>
      </c>
      <c r="J566" s="8">
        <v>-1.7766497461928928E-2</v>
      </c>
      <c r="K566" s="8">
        <v>0.46590909090909077</v>
      </c>
      <c r="L566" s="8">
        <v>-0.31985940246045702</v>
      </c>
      <c r="M566" s="18">
        <v>7.2185630011095236E-2</v>
      </c>
    </row>
    <row r="567" spans="1:13" x14ac:dyDescent="0.45">
      <c r="A567" t="s">
        <v>1679</v>
      </c>
      <c r="B567" s="18">
        <v>100.29</v>
      </c>
      <c r="C567" s="18">
        <v>95.43</v>
      </c>
      <c r="D567" s="18">
        <v>85.62</v>
      </c>
      <c r="E567" s="18">
        <v>68.5</v>
      </c>
      <c r="F567" s="18">
        <v>72.64</v>
      </c>
      <c r="G567" s="18">
        <v>95.388799999999989</v>
      </c>
      <c r="H567" s="18">
        <v>82.92195000000001</v>
      </c>
      <c r="I567" s="8">
        <v>5.0927381326626893E-2</v>
      </c>
      <c r="J567" s="8">
        <v>0.17133847231955149</v>
      </c>
      <c r="K567" s="8">
        <v>0.46408759124087601</v>
      </c>
      <c r="L567" s="8">
        <v>0.38064427312775329</v>
      </c>
      <c r="M567" s="18">
        <v>1.066997718014808</v>
      </c>
    </row>
    <row r="568" spans="1:13" x14ac:dyDescent="0.45">
      <c r="A568" t="s">
        <v>436</v>
      </c>
      <c r="B568" s="18">
        <v>93.36</v>
      </c>
      <c r="C568" s="18">
        <v>80.319999999999993</v>
      </c>
      <c r="D568" s="18">
        <v>74.900000000000006</v>
      </c>
      <c r="E568" s="18">
        <v>63.78</v>
      </c>
      <c r="F568" s="18">
        <v>82.6</v>
      </c>
      <c r="G568" s="18">
        <v>83.898800000000008</v>
      </c>
      <c r="H568" s="18">
        <v>78.544899999999998</v>
      </c>
      <c r="I568" s="8">
        <v>0.1623505976095618</v>
      </c>
      <c r="J568" s="8">
        <v>0.2464619492656874</v>
      </c>
      <c r="K568" s="8">
        <v>0.46378174976481651</v>
      </c>
      <c r="L568" s="8">
        <v>0.1302663438256659</v>
      </c>
      <c r="M568" s="18">
        <v>1.0028606404657321</v>
      </c>
    </row>
    <row r="569" spans="1:13" x14ac:dyDescent="0.45">
      <c r="A569" t="s">
        <v>526</v>
      </c>
      <c r="B569" s="18">
        <v>74.19</v>
      </c>
      <c r="C569" s="18">
        <v>73.38</v>
      </c>
      <c r="D569" s="18">
        <v>67.44</v>
      </c>
      <c r="E569" s="18">
        <v>50.69</v>
      </c>
      <c r="F569" s="18">
        <v>61.71</v>
      </c>
      <c r="G569" s="18">
        <v>72.137600000000006</v>
      </c>
      <c r="H569" s="18">
        <v>64.333500000000001</v>
      </c>
      <c r="I569" s="8">
        <v>1.1038430089942869E-2</v>
      </c>
      <c r="J569" s="8">
        <v>0.1000889679715302</v>
      </c>
      <c r="K569" s="8">
        <v>0.46360228841980677</v>
      </c>
      <c r="L569" s="8">
        <v>0.20223626640738929</v>
      </c>
      <c r="M569" s="18">
        <v>0.77696595288866921</v>
      </c>
    </row>
    <row r="570" spans="1:13" x14ac:dyDescent="0.45">
      <c r="A570" t="s">
        <v>1556</v>
      </c>
      <c r="B570" s="18">
        <v>41.41</v>
      </c>
      <c r="C570" s="18">
        <v>42</v>
      </c>
      <c r="D570" s="18">
        <v>36.47</v>
      </c>
      <c r="E570" s="18">
        <v>28.32</v>
      </c>
      <c r="F570" s="18">
        <v>38.22</v>
      </c>
      <c r="G570" s="18">
        <v>40.9268</v>
      </c>
      <c r="H570" s="18">
        <v>36.366599999999998</v>
      </c>
      <c r="I570" s="8">
        <v>-1.404761904761909E-2</v>
      </c>
      <c r="J570" s="8">
        <v>0.13545379764189749</v>
      </c>
      <c r="K570" s="8">
        <v>0.46221751412429368</v>
      </c>
      <c r="L570" s="8">
        <v>8.3464154892726183E-2</v>
      </c>
      <c r="M570" s="18">
        <v>0.66708784761129825</v>
      </c>
    </row>
    <row r="571" spans="1:13" x14ac:dyDescent="0.45">
      <c r="A571" t="s">
        <v>905</v>
      </c>
      <c r="B571" s="18">
        <v>52.78</v>
      </c>
      <c r="C571" s="18">
        <v>53.29</v>
      </c>
      <c r="D571" s="18">
        <v>44.7</v>
      </c>
      <c r="E571" s="18">
        <v>36.11</v>
      </c>
      <c r="F571" s="18">
        <v>31.37</v>
      </c>
      <c r="G571" s="18">
        <v>50.060600000000001</v>
      </c>
      <c r="H571" s="18">
        <v>42.959449999999997</v>
      </c>
      <c r="I571" s="8">
        <v>-9.5702758491273965E-3</v>
      </c>
      <c r="J571" s="8">
        <v>0.18076062639821019</v>
      </c>
      <c r="K571" s="8">
        <v>0.46164497369149832</v>
      </c>
      <c r="L571" s="8">
        <v>0.68249920306024858</v>
      </c>
      <c r="M571" s="18">
        <v>1.3153345273008299</v>
      </c>
    </row>
    <row r="572" spans="1:13" x14ac:dyDescent="0.45">
      <c r="A572" t="s">
        <v>1225</v>
      </c>
      <c r="B572" s="18">
        <v>52.39</v>
      </c>
      <c r="C572" s="18">
        <v>52.55</v>
      </c>
      <c r="D572" s="18">
        <v>46.32</v>
      </c>
      <c r="E572" s="18">
        <v>35.85</v>
      </c>
      <c r="F572" s="18">
        <v>36.880000000000003</v>
      </c>
      <c r="G572" s="18">
        <v>52.366999999999997</v>
      </c>
      <c r="H572" s="18">
        <v>43.887649999999987</v>
      </c>
      <c r="I572" s="8">
        <v>-3.0447193149381051E-3</v>
      </c>
      <c r="J572" s="8">
        <v>0.1310449050086355</v>
      </c>
      <c r="K572" s="8">
        <v>0.46136680613668052</v>
      </c>
      <c r="L572" s="8">
        <v>0.42055314533622551</v>
      </c>
      <c r="M572" s="18">
        <v>1.0099201371666029</v>
      </c>
    </row>
    <row r="573" spans="1:13" x14ac:dyDescent="0.45">
      <c r="A573" t="s">
        <v>2426</v>
      </c>
      <c r="B573" s="18">
        <v>12.1</v>
      </c>
      <c r="C573" s="18">
        <v>12.33</v>
      </c>
      <c r="D573" s="18">
        <v>11.48</v>
      </c>
      <c r="E573" s="18">
        <v>8.2799999999999994</v>
      </c>
      <c r="F573" s="18">
        <v>9.9600000000000009</v>
      </c>
      <c r="G573" s="18">
        <v>12.3192</v>
      </c>
      <c r="H573" s="18">
        <v>10.135199999999999</v>
      </c>
      <c r="I573" s="8">
        <v>-1.865369018653695E-2</v>
      </c>
      <c r="J573" s="8">
        <v>5.4006968641114872E-2</v>
      </c>
      <c r="K573" s="8">
        <v>0.46135265700483102</v>
      </c>
      <c r="L573" s="8">
        <v>0.2148594377510038</v>
      </c>
      <c r="M573" s="18">
        <v>0.71156537321041269</v>
      </c>
    </row>
    <row r="574" spans="1:13" x14ac:dyDescent="0.45">
      <c r="A574" t="s">
        <v>2152</v>
      </c>
      <c r="B574" s="18">
        <v>111.73</v>
      </c>
      <c r="C574" s="18">
        <v>112.6</v>
      </c>
      <c r="D574" s="18">
        <v>109.6</v>
      </c>
      <c r="E574" s="18">
        <v>76.489999999999995</v>
      </c>
      <c r="F574" s="18">
        <v>95.85</v>
      </c>
      <c r="G574" s="18">
        <v>113.5056</v>
      </c>
      <c r="H574" s="18">
        <v>103.80459999999999</v>
      </c>
      <c r="I574" s="8">
        <v>-7.7264653641206937E-3</v>
      </c>
      <c r="J574" s="8">
        <v>1.9434306569343199E-2</v>
      </c>
      <c r="K574" s="8">
        <v>0.46071381879984319</v>
      </c>
      <c r="L574" s="8">
        <v>0.16567553468961929</v>
      </c>
      <c r="M574" s="18">
        <v>0.63809719469468495</v>
      </c>
    </row>
    <row r="575" spans="1:13" x14ac:dyDescent="0.45">
      <c r="A575" t="s">
        <v>1067</v>
      </c>
      <c r="B575" s="18">
        <v>37.840000000000003</v>
      </c>
      <c r="C575" s="18">
        <v>34.32</v>
      </c>
      <c r="D575" s="18">
        <v>29.55</v>
      </c>
      <c r="E575" s="18">
        <v>25.91</v>
      </c>
      <c r="F575" s="18">
        <v>42.9</v>
      </c>
      <c r="G575" s="18">
        <v>33.56</v>
      </c>
      <c r="H575" s="18">
        <v>33.461000000000013</v>
      </c>
      <c r="I575" s="8">
        <v>0.1025641025641026</v>
      </c>
      <c r="J575" s="8">
        <v>0.28054145516074458</v>
      </c>
      <c r="K575" s="8">
        <v>0.46043998456194529</v>
      </c>
      <c r="L575" s="8">
        <v>-0.1179487179487179</v>
      </c>
      <c r="M575" s="18">
        <v>0.72559682433807471</v>
      </c>
    </row>
    <row r="576" spans="1:13" x14ac:dyDescent="0.45">
      <c r="A576" t="s">
        <v>2327</v>
      </c>
      <c r="B576" s="18">
        <v>132.15</v>
      </c>
      <c r="C576" s="18">
        <v>144.82</v>
      </c>
      <c r="D576" s="18">
        <v>122.63</v>
      </c>
      <c r="E576" s="18">
        <v>90.5</v>
      </c>
      <c r="F576" s="18">
        <v>149.88999999999999</v>
      </c>
      <c r="G576" s="18">
        <v>135.63820000000001</v>
      </c>
      <c r="H576" s="18">
        <v>119.15264999999999</v>
      </c>
      <c r="I576" s="8">
        <v>-8.7487916033696878E-2</v>
      </c>
      <c r="J576" s="8">
        <v>7.7631900839925105E-2</v>
      </c>
      <c r="K576" s="8">
        <v>0.46022099447513809</v>
      </c>
      <c r="L576" s="8">
        <v>-0.1183534592034157</v>
      </c>
      <c r="M576" s="18">
        <v>0.33201152007795071</v>
      </c>
    </row>
    <row r="577" spans="1:13" x14ac:dyDescent="0.45">
      <c r="A577" t="s">
        <v>2378</v>
      </c>
      <c r="B577" s="18">
        <v>4.03</v>
      </c>
      <c r="C577" s="18">
        <v>3.73</v>
      </c>
      <c r="D577" s="18">
        <v>3.21</v>
      </c>
      <c r="E577" s="18">
        <v>2.76</v>
      </c>
      <c r="F577" s="18">
        <v>3.88</v>
      </c>
      <c r="G577" s="18">
        <v>3.5893999999999999</v>
      </c>
      <c r="H577" s="18">
        <v>3.1110000000000002</v>
      </c>
      <c r="I577" s="8">
        <v>8.0428954423592547E-2</v>
      </c>
      <c r="J577" s="8">
        <v>0.25545171339563871</v>
      </c>
      <c r="K577" s="8">
        <v>0.46014492753623221</v>
      </c>
      <c r="L577" s="8">
        <v>3.8659793814433067E-2</v>
      </c>
      <c r="M577" s="18">
        <v>0.83468538916989643</v>
      </c>
    </row>
    <row r="578" spans="1:13" x14ac:dyDescent="0.45">
      <c r="A578" t="s">
        <v>471</v>
      </c>
      <c r="B578" s="18">
        <v>80.47</v>
      </c>
      <c r="C578" s="18">
        <v>80.06</v>
      </c>
      <c r="D578" s="18">
        <v>80.83</v>
      </c>
      <c r="E578" s="18">
        <v>55.12</v>
      </c>
      <c r="F578" s="18">
        <v>62.14</v>
      </c>
      <c r="G578" s="18">
        <v>81.587400000000002</v>
      </c>
      <c r="H578" s="18">
        <v>73.752375000000001</v>
      </c>
      <c r="I578" s="8">
        <v>5.12115913065192E-3</v>
      </c>
      <c r="J578" s="8">
        <v>-4.453791908944682E-3</v>
      </c>
      <c r="K578" s="8">
        <v>0.45990566037735858</v>
      </c>
      <c r="L578" s="8">
        <v>0.29497907949790791</v>
      </c>
      <c r="M578" s="18">
        <v>0.75555210709697374</v>
      </c>
    </row>
    <row r="579" spans="1:13" x14ac:dyDescent="0.45">
      <c r="A579" t="s">
        <v>1155</v>
      </c>
      <c r="B579" s="18">
        <v>114.58</v>
      </c>
      <c r="C579" s="18">
        <v>103.77</v>
      </c>
      <c r="D579" s="18">
        <v>88.8</v>
      </c>
      <c r="E579" s="18">
        <v>78.52</v>
      </c>
      <c r="F579" s="18">
        <v>100.43</v>
      </c>
      <c r="G579" s="18">
        <v>103.7124</v>
      </c>
      <c r="H579" s="18">
        <v>94.902899999999988</v>
      </c>
      <c r="I579" s="8">
        <v>0.1041726896020045</v>
      </c>
      <c r="J579" s="8">
        <v>0.29031531531531529</v>
      </c>
      <c r="K579" s="8">
        <v>0.45924605196128382</v>
      </c>
      <c r="L579" s="8">
        <v>0.14089415513292841</v>
      </c>
      <c r="M579" s="18">
        <v>0.99462821201153195</v>
      </c>
    </row>
    <row r="580" spans="1:13" x14ac:dyDescent="0.45">
      <c r="A580" t="s">
        <v>2251</v>
      </c>
      <c r="B580" s="18">
        <v>8.09</v>
      </c>
      <c r="C580" s="18">
        <v>8.9499999999999993</v>
      </c>
      <c r="D580" s="18">
        <v>7.46</v>
      </c>
      <c r="E580" s="18">
        <v>5.55</v>
      </c>
      <c r="F580" s="18">
        <v>5.94</v>
      </c>
      <c r="G580" s="18">
        <v>8.921365999999999</v>
      </c>
      <c r="H580" s="18">
        <v>6.9777855000000004</v>
      </c>
      <c r="I580" s="8">
        <v>-9.6089385474860234E-2</v>
      </c>
      <c r="J580" s="8">
        <v>8.4450402144772063E-2</v>
      </c>
      <c r="K580" s="8">
        <v>0.45765765765765759</v>
      </c>
      <c r="L580" s="8">
        <v>0.3619528619528618</v>
      </c>
      <c r="M580" s="18">
        <v>0.80797153628043128</v>
      </c>
    </row>
    <row r="581" spans="1:13" x14ac:dyDescent="0.45">
      <c r="A581" t="s">
        <v>2519</v>
      </c>
      <c r="B581" s="18">
        <v>7.31</v>
      </c>
      <c r="C581" s="18">
        <v>7.7</v>
      </c>
      <c r="D581" s="18">
        <v>7.47</v>
      </c>
      <c r="E581" s="18">
        <v>5.0199999999999996</v>
      </c>
      <c r="F581" s="18">
        <v>4.74</v>
      </c>
      <c r="G581" s="18">
        <v>7.7859999999999996</v>
      </c>
      <c r="H581" s="18">
        <v>6.2492999999999999</v>
      </c>
      <c r="I581" s="8">
        <v>-5.0649350649350722E-2</v>
      </c>
      <c r="J581" s="8">
        <v>-2.1419009370816641E-2</v>
      </c>
      <c r="K581" s="8">
        <v>0.45617529880478092</v>
      </c>
      <c r="L581" s="8">
        <v>0.54219409282700415</v>
      </c>
      <c r="M581" s="18">
        <v>0.9263010316116177</v>
      </c>
    </row>
    <row r="582" spans="1:13" x14ac:dyDescent="0.45">
      <c r="A582" t="s">
        <v>2086</v>
      </c>
      <c r="B582" s="18">
        <v>84.53</v>
      </c>
      <c r="C582" s="18">
        <v>79.38</v>
      </c>
      <c r="D582" s="18">
        <v>73.69</v>
      </c>
      <c r="E582" s="18">
        <v>58.09</v>
      </c>
      <c r="F582" s="18">
        <v>104.98</v>
      </c>
      <c r="G582" s="18">
        <v>77.753799999999998</v>
      </c>
      <c r="H582" s="18">
        <v>76.215150000000008</v>
      </c>
      <c r="I582" s="8">
        <v>6.4877802973041243E-2</v>
      </c>
      <c r="J582" s="8">
        <v>0.14710272764282811</v>
      </c>
      <c r="K582" s="8">
        <v>0.4551557927354104</v>
      </c>
      <c r="L582" s="8">
        <v>-0.19479900933511149</v>
      </c>
      <c r="M582" s="18">
        <v>0.47233731401616819</v>
      </c>
    </row>
    <row r="583" spans="1:13" x14ac:dyDescent="0.45">
      <c r="A583" t="s">
        <v>2488</v>
      </c>
      <c r="B583" s="18">
        <v>140.81</v>
      </c>
      <c r="C583" s="18">
        <v>138.19999999999999</v>
      </c>
      <c r="D583" s="18">
        <v>122.19</v>
      </c>
      <c r="E583" s="18">
        <v>96.79</v>
      </c>
      <c r="F583" s="18">
        <v>155.47999999999999</v>
      </c>
      <c r="G583" s="18">
        <v>138.28100000000001</v>
      </c>
      <c r="H583" s="18">
        <v>120.56965</v>
      </c>
      <c r="I583" s="8">
        <v>1.8885672937771551E-2</v>
      </c>
      <c r="J583" s="8">
        <v>0.15238562893853841</v>
      </c>
      <c r="K583" s="8">
        <v>0.45479904948858341</v>
      </c>
      <c r="L583" s="8">
        <v>-9.4352971443272371E-2</v>
      </c>
      <c r="M583" s="18">
        <v>0.53171737992162094</v>
      </c>
    </row>
    <row r="584" spans="1:13" x14ac:dyDescent="0.45">
      <c r="A584" t="s">
        <v>1339</v>
      </c>
      <c r="B584" s="18">
        <v>81.83</v>
      </c>
      <c r="C584" s="18">
        <v>75.739999999999995</v>
      </c>
      <c r="D584" s="18">
        <v>78.25</v>
      </c>
      <c r="E584" s="18">
        <v>56.27</v>
      </c>
      <c r="F584" s="18">
        <v>62.58</v>
      </c>
      <c r="G584" s="18">
        <v>77.401200000000003</v>
      </c>
      <c r="H584" s="18">
        <v>71.350700000000003</v>
      </c>
      <c r="I584" s="8">
        <v>8.0406654343807782E-2</v>
      </c>
      <c r="J584" s="8">
        <v>4.5750798722044683E-2</v>
      </c>
      <c r="K584" s="8">
        <v>0.45423849298027358</v>
      </c>
      <c r="L584" s="8">
        <v>0.30760626398210289</v>
      </c>
      <c r="M584" s="18">
        <v>0.88800221002822899</v>
      </c>
    </row>
    <row r="585" spans="1:13" x14ac:dyDescent="0.45">
      <c r="A585" t="s">
        <v>1333</v>
      </c>
      <c r="B585" s="18">
        <v>16.52</v>
      </c>
      <c r="C585" s="18">
        <v>17.96</v>
      </c>
      <c r="D585" s="18">
        <v>14.71</v>
      </c>
      <c r="E585" s="18">
        <v>11.36</v>
      </c>
      <c r="F585" s="18">
        <v>18.420000000000002</v>
      </c>
      <c r="G585" s="18">
        <v>17.257000000000001</v>
      </c>
      <c r="H585" s="18">
        <v>14.7181</v>
      </c>
      <c r="I585" s="8">
        <v>-8.0178173719376411E-2</v>
      </c>
      <c r="J585" s="8">
        <v>0.1230455472467709</v>
      </c>
      <c r="K585" s="8">
        <v>0.45422535211267601</v>
      </c>
      <c r="L585" s="8">
        <v>-0.1031487513572206</v>
      </c>
      <c r="M585" s="18">
        <v>0.39394397428284988</v>
      </c>
    </row>
    <row r="586" spans="1:13" x14ac:dyDescent="0.45">
      <c r="A586" t="s">
        <v>1554</v>
      </c>
      <c r="B586" s="18">
        <v>3.3</v>
      </c>
      <c r="C586" s="18">
        <v>2.2351000000000001</v>
      </c>
      <c r="D586" s="18">
        <v>2.5651999999999999</v>
      </c>
      <c r="E586" s="18">
        <v>2.27</v>
      </c>
      <c r="F586" s="18">
        <v>2.1800000000000002</v>
      </c>
      <c r="G586" s="18">
        <v>2.363524</v>
      </c>
      <c r="H586" s="18">
        <v>2.3953644999999999</v>
      </c>
      <c r="I586" s="8">
        <v>0.47644400697955319</v>
      </c>
      <c r="J586" s="8">
        <v>0.28644939965694682</v>
      </c>
      <c r="K586" s="8">
        <v>0.45374449339207051</v>
      </c>
      <c r="L586" s="8">
        <v>0.51376146788990806</v>
      </c>
      <c r="M586" s="18">
        <v>1.730399367918479</v>
      </c>
    </row>
    <row r="587" spans="1:13" x14ac:dyDescent="0.45">
      <c r="A587" t="s">
        <v>2334</v>
      </c>
      <c r="B587" s="18">
        <v>43.14</v>
      </c>
      <c r="C587" s="18">
        <v>41.2</v>
      </c>
      <c r="D587" s="18">
        <v>34.68</v>
      </c>
      <c r="E587" s="18">
        <v>29.7</v>
      </c>
      <c r="F587" s="18">
        <v>28.8447</v>
      </c>
      <c r="G587" s="18">
        <v>40.326799999999999</v>
      </c>
      <c r="H587" s="18">
        <v>34.452326999999997</v>
      </c>
      <c r="I587" s="8">
        <v>4.7087378640776612E-2</v>
      </c>
      <c r="J587" s="8">
        <v>0.24394463667820079</v>
      </c>
      <c r="K587" s="8">
        <v>0.45252525252525261</v>
      </c>
      <c r="L587" s="8">
        <v>0.49559537800705172</v>
      </c>
      <c r="M587" s="18">
        <v>1.239152645851282</v>
      </c>
    </row>
    <row r="588" spans="1:13" x14ac:dyDescent="0.45">
      <c r="A588" t="s">
        <v>1704</v>
      </c>
      <c r="B588" s="18">
        <v>32.69</v>
      </c>
      <c r="C588" s="18">
        <v>35</v>
      </c>
      <c r="D588" s="18">
        <v>29.5</v>
      </c>
      <c r="E588" s="18">
        <v>22.51</v>
      </c>
      <c r="F588" s="18"/>
      <c r="G588" s="18">
        <v>33.2896</v>
      </c>
      <c r="H588" s="18"/>
      <c r="I588" s="8">
        <v>-6.6000000000000059E-2</v>
      </c>
      <c r="J588" s="8">
        <v>0.1081355932203389</v>
      </c>
      <c r="K588" s="8">
        <v>0.45224344735673011</v>
      </c>
      <c r="L588" s="8"/>
      <c r="M588" s="18">
        <v>0.49437904057706888</v>
      </c>
    </row>
    <row r="589" spans="1:13" x14ac:dyDescent="0.45">
      <c r="A589" t="s">
        <v>1387</v>
      </c>
      <c r="B589" s="18">
        <v>12.11</v>
      </c>
      <c r="C589" s="18">
        <v>12.13</v>
      </c>
      <c r="D589" s="18">
        <v>10.039999999999999</v>
      </c>
      <c r="E589" s="18">
        <v>8.34</v>
      </c>
      <c r="F589" s="18">
        <v>10.67</v>
      </c>
      <c r="G589" s="18">
        <v>11.545199999999999</v>
      </c>
      <c r="H589" s="18">
        <v>10.104900000000001</v>
      </c>
      <c r="I589" s="8">
        <v>-1.6488046166530661E-3</v>
      </c>
      <c r="J589" s="8">
        <v>0.20617529880478089</v>
      </c>
      <c r="K589" s="8">
        <v>0.45203836930455621</v>
      </c>
      <c r="L589" s="8">
        <v>0.13495782567947501</v>
      </c>
      <c r="M589" s="18">
        <v>0.79152268917215907</v>
      </c>
    </row>
    <row r="590" spans="1:13" x14ac:dyDescent="0.45">
      <c r="A590" t="s">
        <v>788</v>
      </c>
      <c r="B590" s="18">
        <v>127.09</v>
      </c>
      <c r="C590" s="18">
        <v>126.49</v>
      </c>
      <c r="D590" s="18">
        <v>114.53</v>
      </c>
      <c r="E590" s="18">
        <v>87.54</v>
      </c>
      <c r="F590" s="18">
        <v>91.64</v>
      </c>
      <c r="G590" s="18">
        <v>121.6264</v>
      </c>
      <c r="H590" s="18">
        <v>106.5468</v>
      </c>
      <c r="I590" s="8">
        <v>4.7434579808680599E-3</v>
      </c>
      <c r="J590" s="8">
        <v>0.10966558980179859</v>
      </c>
      <c r="K590" s="8">
        <v>0.45179346584418562</v>
      </c>
      <c r="L590" s="8">
        <v>0.38683980794412931</v>
      </c>
      <c r="M590" s="18">
        <v>0.95304232157098157</v>
      </c>
    </row>
    <row r="591" spans="1:13" x14ac:dyDescent="0.45">
      <c r="A591" t="s">
        <v>1406</v>
      </c>
      <c r="B591" s="18">
        <v>18.809999999999999</v>
      </c>
      <c r="C591" s="18">
        <v>14.72</v>
      </c>
      <c r="D591" s="18">
        <v>14.38</v>
      </c>
      <c r="E591" s="18">
        <v>12.97</v>
      </c>
      <c r="F591" s="18">
        <v>9.85</v>
      </c>
      <c r="G591" s="18">
        <v>15.816800000000001</v>
      </c>
      <c r="H591" s="18">
        <v>13.748250000000001</v>
      </c>
      <c r="I591" s="8">
        <v>0.27785326086956502</v>
      </c>
      <c r="J591" s="8">
        <v>0.30806675938803879</v>
      </c>
      <c r="K591" s="8">
        <v>0.45026985350809529</v>
      </c>
      <c r="L591" s="8">
        <v>0.90964467005076144</v>
      </c>
      <c r="M591" s="18">
        <v>1.945834543816461</v>
      </c>
    </row>
    <row r="592" spans="1:13" x14ac:dyDescent="0.45">
      <c r="A592" t="s">
        <v>1068</v>
      </c>
      <c r="B592" s="18">
        <v>73.53</v>
      </c>
      <c r="C592" s="18">
        <v>69.510000000000005</v>
      </c>
      <c r="D592" s="18">
        <v>60.08</v>
      </c>
      <c r="E592" s="18">
        <v>50.71</v>
      </c>
      <c r="F592" s="18">
        <v>43.83</v>
      </c>
      <c r="G592" s="18">
        <v>67.814399999999992</v>
      </c>
      <c r="H592" s="18">
        <v>61.534050000000008</v>
      </c>
      <c r="I592" s="8">
        <v>5.7833405265429461E-2</v>
      </c>
      <c r="J592" s="8">
        <v>0.2238681757656458</v>
      </c>
      <c r="K592" s="8">
        <v>0.45000985998816811</v>
      </c>
      <c r="L592" s="8">
        <v>0.67761806981519523</v>
      </c>
      <c r="M592" s="18">
        <v>1.409329510834439</v>
      </c>
    </row>
    <row r="593" spans="1:13" x14ac:dyDescent="0.45">
      <c r="A593" t="s">
        <v>1345</v>
      </c>
      <c r="B593" s="18">
        <v>2.74</v>
      </c>
      <c r="C593" s="18">
        <v>3.03</v>
      </c>
      <c r="D593" s="18">
        <v>2.56</v>
      </c>
      <c r="E593" s="18">
        <v>1.89</v>
      </c>
      <c r="F593" s="18">
        <v>3.02</v>
      </c>
      <c r="G593" s="18">
        <v>2.8607999999999998</v>
      </c>
      <c r="H593" s="18">
        <v>2.6363500000000002</v>
      </c>
      <c r="I593" s="8">
        <v>-9.5709570957095536E-2</v>
      </c>
      <c r="J593" s="8">
        <v>7.03125E-2</v>
      </c>
      <c r="K593" s="8">
        <v>0.44973544973544999</v>
      </c>
      <c r="L593" s="8">
        <v>-9.2715231788079389E-2</v>
      </c>
      <c r="M593" s="18">
        <v>0.33162314699027512</v>
      </c>
    </row>
    <row r="594" spans="1:13" x14ac:dyDescent="0.45">
      <c r="A594" t="s">
        <v>2146</v>
      </c>
      <c r="B594" s="18">
        <v>34.630000000000003</v>
      </c>
      <c r="C594" s="18">
        <v>33.36</v>
      </c>
      <c r="D594" s="18">
        <v>32.700000000000003</v>
      </c>
      <c r="E594" s="18">
        <v>23.93</v>
      </c>
      <c r="F594" s="18">
        <v>35.43</v>
      </c>
      <c r="G594" s="18">
        <v>32.476200000000013</v>
      </c>
      <c r="H594" s="18">
        <v>31.678999999999998</v>
      </c>
      <c r="I594" s="8">
        <v>3.806954436450849E-2</v>
      </c>
      <c r="J594" s="8">
        <v>5.902140672782874E-2</v>
      </c>
      <c r="K594" s="8">
        <v>0.4471374843292939</v>
      </c>
      <c r="L594" s="8">
        <v>-2.2579734688117359E-2</v>
      </c>
      <c r="M594" s="18">
        <v>0.52164870073351377</v>
      </c>
    </row>
    <row r="595" spans="1:13" x14ac:dyDescent="0.45">
      <c r="A595" t="s">
        <v>1793</v>
      </c>
      <c r="B595" s="18">
        <v>7.16</v>
      </c>
      <c r="C595" s="18">
        <v>7.4</v>
      </c>
      <c r="D595" s="18">
        <v>6.41</v>
      </c>
      <c r="E595" s="18">
        <v>4.95</v>
      </c>
      <c r="F595" s="18">
        <v>5.48</v>
      </c>
      <c r="G595" s="18">
        <v>7.2435999999999998</v>
      </c>
      <c r="H595" s="18">
        <v>6.4168500000000002</v>
      </c>
      <c r="I595" s="8">
        <v>-3.2432432432432427E-2</v>
      </c>
      <c r="J595" s="8">
        <v>0.1170046801872076</v>
      </c>
      <c r="K595" s="8">
        <v>0.44646464646464651</v>
      </c>
      <c r="L595" s="8">
        <v>0.30656934306569328</v>
      </c>
      <c r="M595" s="18">
        <v>0.83760623728511485</v>
      </c>
    </row>
    <row r="596" spans="1:13" x14ac:dyDescent="0.45">
      <c r="A596" t="s">
        <v>16</v>
      </c>
      <c r="B596" s="18">
        <v>727.41</v>
      </c>
      <c r="C596" s="18">
        <v>731.98</v>
      </c>
      <c r="D596" s="18">
        <v>732.99</v>
      </c>
      <c r="E596" s="18">
        <v>504.03</v>
      </c>
      <c r="F596" s="18">
        <v>421.8</v>
      </c>
      <c r="G596" s="18">
        <v>756.81479999999999</v>
      </c>
      <c r="H596" s="18">
        <v>675.57580000000007</v>
      </c>
      <c r="I596" s="8">
        <v>-6.2433399819668001E-3</v>
      </c>
      <c r="J596" s="8">
        <v>-7.6126550157574746E-3</v>
      </c>
      <c r="K596" s="8">
        <v>0.44318790548181658</v>
      </c>
      <c r="L596" s="8">
        <v>0.7245376955903271</v>
      </c>
      <c r="M596" s="18">
        <v>1.1538696060744189</v>
      </c>
    </row>
    <row r="597" spans="1:13" x14ac:dyDescent="0.45">
      <c r="A597" t="s">
        <v>1171</v>
      </c>
      <c r="B597" s="18">
        <v>58.31</v>
      </c>
      <c r="C597" s="18">
        <v>60.19</v>
      </c>
      <c r="D597" s="18">
        <v>54.54</v>
      </c>
      <c r="E597" s="18">
        <v>40.42</v>
      </c>
      <c r="F597" s="18">
        <v>33.93</v>
      </c>
      <c r="G597" s="18">
        <v>58.030600000000007</v>
      </c>
      <c r="H597" s="18">
        <v>49.270700000000012</v>
      </c>
      <c r="I597" s="8">
        <v>-3.123442432297718E-2</v>
      </c>
      <c r="J597" s="8">
        <v>6.9123579024569226E-2</v>
      </c>
      <c r="K597" s="8">
        <v>0.44260267194458192</v>
      </c>
      <c r="L597" s="8">
        <v>0.71853816681402893</v>
      </c>
      <c r="M597" s="18">
        <v>1.1990299934602029</v>
      </c>
    </row>
    <row r="598" spans="1:13" x14ac:dyDescent="0.45">
      <c r="A598" t="s">
        <v>152</v>
      </c>
      <c r="B598" s="18">
        <v>106.01</v>
      </c>
      <c r="C598" s="18">
        <v>104.77</v>
      </c>
      <c r="D598" s="18">
        <v>93.66</v>
      </c>
      <c r="E598" s="18">
        <v>73.5</v>
      </c>
      <c r="F598" s="18">
        <v>71.98</v>
      </c>
      <c r="G598" s="18">
        <v>104.8314</v>
      </c>
      <c r="H598" s="18">
        <v>90.464249999999993</v>
      </c>
      <c r="I598" s="8">
        <v>1.1835449078934969E-2</v>
      </c>
      <c r="J598" s="8">
        <v>0.1318599188554346</v>
      </c>
      <c r="K598" s="8">
        <v>0.44231292517006809</v>
      </c>
      <c r="L598" s="8">
        <v>0.47277021394831897</v>
      </c>
      <c r="M598" s="18">
        <v>1.0587785070527569</v>
      </c>
    </row>
    <row r="599" spans="1:13" x14ac:dyDescent="0.45">
      <c r="A599" t="s">
        <v>2281</v>
      </c>
      <c r="B599" s="18">
        <v>11.85</v>
      </c>
      <c r="C599" s="18">
        <v>11.34</v>
      </c>
      <c r="D599" s="18">
        <v>9.99</v>
      </c>
      <c r="E599" s="18">
        <v>8.2200000000000006</v>
      </c>
      <c r="F599" s="18">
        <v>10.06</v>
      </c>
      <c r="G599" s="18">
        <v>11.107100000000001</v>
      </c>
      <c r="H599" s="18">
        <v>9.8299834999999991</v>
      </c>
      <c r="I599" s="8">
        <v>4.4973544973544888E-2</v>
      </c>
      <c r="J599" s="8">
        <v>0.18618618618618621</v>
      </c>
      <c r="K599" s="8">
        <v>0.44160583941605819</v>
      </c>
      <c r="L599" s="8">
        <v>0.17793240556660031</v>
      </c>
      <c r="M599" s="18">
        <v>0.85069797614238962</v>
      </c>
    </row>
    <row r="600" spans="1:13" x14ac:dyDescent="0.45">
      <c r="A600" t="s">
        <v>2413</v>
      </c>
      <c r="B600" s="18">
        <v>301.8</v>
      </c>
      <c r="C600" s="18">
        <v>282.68</v>
      </c>
      <c r="D600" s="18">
        <v>281.64</v>
      </c>
      <c r="E600" s="18">
        <v>209.39</v>
      </c>
      <c r="F600" s="18">
        <v>204.67</v>
      </c>
      <c r="G600" s="18">
        <v>282.79880000000003</v>
      </c>
      <c r="H600" s="18">
        <v>253.1643</v>
      </c>
      <c r="I600" s="8">
        <v>6.7638318947219389E-2</v>
      </c>
      <c r="J600" s="8">
        <v>7.158074137196424E-2</v>
      </c>
      <c r="K600" s="8">
        <v>0.44132957638855741</v>
      </c>
      <c r="L600" s="8">
        <v>0.47456881809742518</v>
      </c>
      <c r="M600" s="18">
        <v>1.0551174548051661</v>
      </c>
    </row>
    <row r="601" spans="1:13" x14ac:dyDescent="0.45">
      <c r="A601" t="s">
        <v>2027</v>
      </c>
      <c r="B601" s="18">
        <v>187.52</v>
      </c>
      <c r="C601" s="18">
        <v>185.66</v>
      </c>
      <c r="D601" s="18">
        <v>176.01</v>
      </c>
      <c r="E601" s="18">
        <v>130.13999999999999</v>
      </c>
      <c r="F601" s="18">
        <v>143.68</v>
      </c>
      <c r="G601" s="18">
        <v>184.28579999999999</v>
      </c>
      <c r="H601" s="18">
        <v>161.9922</v>
      </c>
      <c r="I601" s="8">
        <v>1.001831304535172E-2</v>
      </c>
      <c r="J601" s="8">
        <v>6.5394011703880484E-2</v>
      </c>
      <c r="K601" s="8">
        <v>0.44090978945750758</v>
      </c>
      <c r="L601" s="8">
        <v>0.30512249443207118</v>
      </c>
      <c r="M601" s="18">
        <v>0.82144460863881097</v>
      </c>
    </row>
    <row r="602" spans="1:13" x14ac:dyDescent="0.45">
      <c r="A602" t="s">
        <v>513</v>
      </c>
      <c r="B602" s="18">
        <v>148.19</v>
      </c>
      <c r="C602" s="18">
        <v>137.55000000000001</v>
      </c>
      <c r="D602" s="18">
        <v>131.6</v>
      </c>
      <c r="E602" s="18">
        <v>102.86</v>
      </c>
      <c r="F602" s="18">
        <v>133.47</v>
      </c>
      <c r="G602" s="18">
        <v>142.77279999999999</v>
      </c>
      <c r="H602" s="18">
        <v>128.25415000000001</v>
      </c>
      <c r="I602" s="8">
        <v>7.7353689567429829E-2</v>
      </c>
      <c r="J602" s="8">
        <v>0.1260638297872341</v>
      </c>
      <c r="K602" s="8">
        <v>0.4406960917752285</v>
      </c>
      <c r="L602" s="8">
        <v>0.1102869558702331</v>
      </c>
      <c r="M602" s="18">
        <v>0.75440056700012548</v>
      </c>
    </row>
    <row r="603" spans="1:13" x14ac:dyDescent="0.45">
      <c r="A603" t="s">
        <v>562</v>
      </c>
      <c r="B603" s="18">
        <v>109.1</v>
      </c>
      <c r="C603" s="18">
        <v>107.61</v>
      </c>
      <c r="D603" s="18">
        <v>113.77</v>
      </c>
      <c r="E603" s="18">
        <v>75.77</v>
      </c>
      <c r="F603" s="18">
        <v>97.45</v>
      </c>
      <c r="G603" s="18">
        <v>110.6096</v>
      </c>
      <c r="H603" s="18">
        <v>101.1626</v>
      </c>
      <c r="I603" s="8">
        <v>1.384629681256389E-2</v>
      </c>
      <c r="J603" s="8">
        <v>-4.1047727872022488E-2</v>
      </c>
      <c r="K603" s="8">
        <v>0.43988385904711641</v>
      </c>
      <c r="L603" s="8">
        <v>0.1195484864032836</v>
      </c>
      <c r="M603" s="18">
        <v>0.53223091439094139</v>
      </c>
    </row>
    <row r="604" spans="1:13" x14ac:dyDescent="0.45">
      <c r="A604" t="s">
        <v>107</v>
      </c>
      <c r="B604" s="18">
        <v>14.73</v>
      </c>
      <c r="C604" s="18">
        <v>12.72</v>
      </c>
      <c r="D604" s="18">
        <v>12.41</v>
      </c>
      <c r="E604" s="18">
        <v>10.23</v>
      </c>
      <c r="F604" s="18">
        <v>18.91</v>
      </c>
      <c r="G604" s="18">
        <v>13.266999999999999</v>
      </c>
      <c r="H604" s="18">
        <v>11.896800000000001</v>
      </c>
      <c r="I604" s="8">
        <v>0.15801886792452821</v>
      </c>
      <c r="J604" s="8">
        <v>0.1869460112812249</v>
      </c>
      <c r="K604" s="8">
        <v>0.43988269794721407</v>
      </c>
      <c r="L604" s="8">
        <v>-0.22104706504494981</v>
      </c>
      <c r="M604" s="18">
        <v>0.56380051210801752</v>
      </c>
    </row>
    <row r="605" spans="1:13" x14ac:dyDescent="0.45">
      <c r="A605" t="s">
        <v>860</v>
      </c>
      <c r="B605" s="18">
        <v>16.73</v>
      </c>
      <c r="C605" s="18">
        <v>15.61</v>
      </c>
      <c r="D605" s="18">
        <v>14.04</v>
      </c>
      <c r="E605" s="18">
        <v>11.62</v>
      </c>
      <c r="F605" s="18">
        <v>14.75</v>
      </c>
      <c r="G605" s="18">
        <v>15.384556</v>
      </c>
      <c r="H605" s="18">
        <v>13.5931505</v>
      </c>
      <c r="I605" s="8">
        <v>7.1748878923766801E-2</v>
      </c>
      <c r="J605" s="8">
        <v>0.1915954415954417</v>
      </c>
      <c r="K605" s="8">
        <v>0.43975903614457851</v>
      </c>
      <c r="L605" s="8">
        <v>0.1342372881355933</v>
      </c>
      <c r="M605" s="18">
        <v>0.83734064479938031</v>
      </c>
    </row>
    <row r="606" spans="1:13" x14ac:dyDescent="0.45">
      <c r="A606" t="s">
        <v>1098</v>
      </c>
      <c r="B606" s="18">
        <v>9.7899999999999991</v>
      </c>
      <c r="C606" s="18">
        <v>8.43</v>
      </c>
      <c r="D606" s="18">
        <v>7.16</v>
      </c>
      <c r="E606" s="18">
        <v>6.8</v>
      </c>
      <c r="F606" s="18">
        <v>7.04</v>
      </c>
      <c r="G606" s="18">
        <v>8.5090000000000003</v>
      </c>
      <c r="H606" s="18">
        <v>7.2805499999999999</v>
      </c>
      <c r="I606" s="8">
        <v>0.16132858837485159</v>
      </c>
      <c r="J606" s="8">
        <v>0.36731843575418988</v>
      </c>
      <c r="K606" s="8">
        <v>0.43970588235294122</v>
      </c>
      <c r="L606" s="8">
        <v>0.39062499999999978</v>
      </c>
      <c r="M606" s="18">
        <v>1.358977906481982</v>
      </c>
    </row>
    <row r="607" spans="1:13" x14ac:dyDescent="0.45">
      <c r="A607" t="s">
        <v>2279</v>
      </c>
      <c r="B607" s="18">
        <v>80.45</v>
      </c>
      <c r="C607" s="18">
        <v>75.34</v>
      </c>
      <c r="D607" s="18">
        <v>73.89</v>
      </c>
      <c r="E607" s="18">
        <v>55.89</v>
      </c>
      <c r="F607" s="18">
        <v>63.71</v>
      </c>
      <c r="G607" s="18">
        <v>76.066199999999995</v>
      </c>
      <c r="H607" s="18">
        <v>66.244799999999998</v>
      </c>
      <c r="I607" s="8">
        <v>6.7825856118927552E-2</v>
      </c>
      <c r="J607" s="8">
        <v>8.8780619840303165E-2</v>
      </c>
      <c r="K607" s="8">
        <v>0.43943460368581139</v>
      </c>
      <c r="L607" s="8">
        <v>0.26275309998430402</v>
      </c>
      <c r="M607" s="18">
        <v>0.85879417962934612</v>
      </c>
    </row>
    <row r="608" spans="1:13" x14ac:dyDescent="0.45">
      <c r="A608" t="s">
        <v>515</v>
      </c>
      <c r="B608" s="18">
        <v>307.27999999999997</v>
      </c>
      <c r="C608" s="18">
        <v>312.17</v>
      </c>
      <c r="D608" s="18">
        <v>330.35</v>
      </c>
      <c r="E608" s="18">
        <v>213.54</v>
      </c>
      <c r="F608" s="18">
        <v>366.72</v>
      </c>
      <c r="G608" s="18">
        <v>314.23599999999999</v>
      </c>
      <c r="H608" s="18">
        <v>313.49267500000002</v>
      </c>
      <c r="I608" s="8">
        <v>-1.5664541756094549E-2</v>
      </c>
      <c r="J608" s="8">
        <v>-6.9835023459966838E-2</v>
      </c>
      <c r="K608" s="8">
        <v>0.43898098716868028</v>
      </c>
      <c r="L608" s="8">
        <v>-0.16208551483420611</v>
      </c>
      <c r="M608" s="18">
        <v>0.19139590711841281</v>
      </c>
    </row>
    <row r="609" spans="1:13" x14ac:dyDescent="0.45">
      <c r="A609" t="s">
        <v>2200</v>
      </c>
      <c r="B609" s="18">
        <v>35.93</v>
      </c>
      <c r="C609" s="18">
        <v>38.700000000000003</v>
      </c>
      <c r="D609" s="18">
        <v>31.07</v>
      </c>
      <c r="E609" s="18">
        <v>24.97</v>
      </c>
      <c r="F609" s="18">
        <v>29.99</v>
      </c>
      <c r="G609" s="18">
        <v>36.298400000000001</v>
      </c>
      <c r="H609" s="18">
        <v>29.874099999999999</v>
      </c>
      <c r="I609" s="8">
        <v>-7.1576227390180991E-2</v>
      </c>
      <c r="J609" s="8">
        <v>0.15642098487286771</v>
      </c>
      <c r="K609" s="8">
        <v>0.43892671205446532</v>
      </c>
      <c r="L609" s="8">
        <v>0.19806602200733581</v>
      </c>
      <c r="M609" s="18">
        <v>0.72183749154448784</v>
      </c>
    </row>
    <row r="610" spans="1:13" x14ac:dyDescent="0.45">
      <c r="A610" t="s">
        <v>2416</v>
      </c>
      <c r="B610" s="18">
        <v>14.01</v>
      </c>
      <c r="C610" s="18">
        <v>15.24</v>
      </c>
      <c r="D610" s="18">
        <v>12.93</v>
      </c>
      <c r="E610" s="18">
        <v>9.74</v>
      </c>
      <c r="F610" s="18">
        <v>21.31</v>
      </c>
      <c r="G610" s="18">
        <v>13.987</v>
      </c>
      <c r="H610" s="18">
        <v>16.105399999999999</v>
      </c>
      <c r="I610" s="8">
        <v>-8.0708661417322913E-2</v>
      </c>
      <c r="J610" s="8">
        <v>8.3526682134570818E-2</v>
      </c>
      <c r="K610" s="8">
        <v>0.43839835728952758</v>
      </c>
      <c r="L610" s="8">
        <v>-0.34256217738151101</v>
      </c>
      <c r="M610" s="18">
        <v>9.8654200625264532E-2</v>
      </c>
    </row>
    <row r="611" spans="1:13" x14ac:dyDescent="0.45">
      <c r="A611" t="s">
        <v>1861</v>
      </c>
      <c r="B611" s="18">
        <v>60.67</v>
      </c>
      <c r="C611" s="18">
        <v>65.17</v>
      </c>
      <c r="D611" s="18">
        <v>58.52</v>
      </c>
      <c r="E611" s="18">
        <v>42.18</v>
      </c>
      <c r="F611" s="18">
        <v>33.340000000000003</v>
      </c>
      <c r="G611" s="18">
        <v>61.167200000000001</v>
      </c>
      <c r="H611" s="18">
        <v>51.292675000000003</v>
      </c>
      <c r="I611" s="8">
        <v>-6.9050176461562085E-2</v>
      </c>
      <c r="J611" s="8">
        <v>3.6739576213260287E-2</v>
      </c>
      <c r="K611" s="8">
        <v>0.43835941204362272</v>
      </c>
      <c r="L611" s="8">
        <v>0.81973605278944195</v>
      </c>
      <c r="M611" s="18">
        <v>1.2257848645847631</v>
      </c>
    </row>
    <row r="612" spans="1:13" x14ac:dyDescent="0.45">
      <c r="A612" t="s">
        <v>382</v>
      </c>
      <c r="B612" s="18">
        <v>296.62</v>
      </c>
      <c r="C612" s="18">
        <v>273.45</v>
      </c>
      <c r="D612" s="18">
        <v>263.14</v>
      </c>
      <c r="E612" s="18">
        <v>206.34</v>
      </c>
      <c r="F612" s="18">
        <v>247.92</v>
      </c>
      <c r="G612" s="18">
        <v>283.59780000000001</v>
      </c>
      <c r="H612" s="18">
        <v>253.4452</v>
      </c>
      <c r="I612" s="8">
        <v>8.4732126531358531E-2</v>
      </c>
      <c r="J612" s="8">
        <v>0.12723265182032389</v>
      </c>
      <c r="K612" s="8">
        <v>0.43753028981293007</v>
      </c>
      <c r="L612" s="8">
        <v>0.19643433365601809</v>
      </c>
      <c r="M612" s="18">
        <v>0.8459294018206307</v>
      </c>
    </row>
    <row r="613" spans="1:13" x14ac:dyDescent="0.45">
      <c r="A613" t="s">
        <v>396</v>
      </c>
      <c r="B613" s="18">
        <v>753.34</v>
      </c>
      <c r="C613" s="18">
        <v>755.24</v>
      </c>
      <c r="D613" s="18">
        <v>714.3</v>
      </c>
      <c r="E613" s="18">
        <v>525.48</v>
      </c>
      <c r="F613" s="18">
        <v>630.67999999999995</v>
      </c>
      <c r="G613" s="18">
        <v>748.05299999999988</v>
      </c>
      <c r="H613" s="18">
        <v>676.66190000000006</v>
      </c>
      <c r="I613" s="8">
        <v>-2.5157565806895881E-3</v>
      </c>
      <c r="J613" s="8">
        <v>5.4654906901862033E-2</v>
      </c>
      <c r="K613" s="8">
        <v>0.43362259267717129</v>
      </c>
      <c r="L613" s="8">
        <v>0.19448848861546281</v>
      </c>
      <c r="M613" s="18">
        <v>0.68025023161380649</v>
      </c>
    </row>
    <row r="614" spans="1:13" x14ac:dyDescent="0.45">
      <c r="A614" t="s">
        <v>2481</v>
      </c>
      <c r="B614" s="18">
        <v>88.75</v>
      </c>
      <c r="C614" s="18">
        <v>77.180000000000007</v>
      </c>
      <c r="D614" s="18">
        <v>70</v>
      </c>
      <c r="E614" s="18">
        <v>61.91</v>
      </c>
      <c r="F614" s="18">
        <v>79.73</v>
      </c>
      <c r="G614" s="18">
        <v>79.446200000000005</v>
      </c>
      <c r="H614" s="18">
        <v>80.778700000000001</v>
      </c>
      <c r="I614" s="8">
        <v>0.14990930292821969</v>
      </c>
      <c r="J614" s="8">
        <v>0.26785714285714279</v>
      </c>
      <c r="K614" s="8">
        <v>0.43353254724600232</v>
      </c>
      <c r="L614" s="8">
        <v>0.1131318198921358</v>
      </c>
      <c r="M614" s="18">
        <v>0.96443081292350064</v>
      </c>
    </row>
    <row r="615" spans="1:13" x14ac:dyDescent="0.45">
      <c r="A615" t="s">
        <v>2255</v>
      </c>
      <c r="B615" s="18">
        <v>113.09</v>
      </c>
      <c r="C615" s="18">
        <v>107.67</v>
      </c>
      <c r="D615" s="18">
        <v>110.4</v>
      </c>
      <c r="E615" s="18">
        <v>78.92</v>
      </c>
      <c r="F615" s="18">
        <v>82.81</v>
      </c>
      <c r="G615" s="18">
        <v>108.9706</v>
      </c>
      <c r="H615" s="18">
        <v>95.279899999999998</v>
      </c>
      <c r="I615" s="8">
        <v>5.0338998792607059E-2</v>
      </c>
      <c r="J615" s="8">
        <v>2.4365942028985451E-2</v>
      </c>
      <c r="K615" s="8">
        <v>0.43297009630005068</v>
      </c>
      <c r="L615" s="8">
        <v>0.36565632170027768</v>
      </c>
      <c r="M615" s="18">
        <v>0.87333135882192092</v>
      </c>
    </row>
    <row r="616" spans="1:13" x14ac:dyDescent="0.45">
      <c r="A616" t="s">
        <v>4</v>
      </c>
      <c r="B616" s="18">
        <v>237.93</v>
      </c>
      <c r="C616" s="18">
        <v>248.18</v>
      </c>
      <c r="D616" s="18">
        <v>245.13</v>
      </c>
      <c r="E616" s="18">
        <v>166.09</v>
      </c>
      <c r="F616" s="18">
        <v>228.23</v>
      </c>
      <c r="G616" s="18">
        <v>240.92140000000001</v>
      </c>
      <c r="H616" s="18">
        <v>222.067925</v>
      </c>
      <c r="I616" s="8">
        <v>-4.1300668869369013E-2</v>
      </c>
      <c r="J616" s="8">
        <v>-2.9372169869048999E-2</v>
      </c>
      <c r="K616" s="8">
        <v>0.43253657655487993</v>
      </c>
      <c r="L616" s="8">
        <v>4.2500985847609973E-2</v>
      </c>
      <c r="M616" s="18">
        <v>0.40436472366407178</v>
      </c>
    </row>
    <row r="617" spans="1:13" x14ac:dyDescent="0.45">
      <c r="A617" t="s">
        <v>2451</v>
      </c>
      <c r="B617" s="18">
        <v>36.869999999999997</v>
      </c>
      <c r="C617" s="18">
        <v>37.71</v>
      </c>
      <c r="D617" s="18">
        <v>35.42</v>
      </c>
      <c r="E617" s="18">
        <v>25.74</v>
      </c>
      <c r="F617" s="18">
        <v>35.94</v>
      </c>
      <c r="G617" s="18">
        <v>37.262</v>
      </c>
      <c r="H617" s="18">
        <v>33.821599999999997</v>
      </c>
      <c r="I617" s="8">
        <v>-2.227525855210832E-2</v>
      </c>
      <c r="J617" s="8">
        <v>4.0937323546019089E-2</v>
      </c>
      <c r="K617" s="8">
        <v>0.43240093240093241</v>
      </c>
      <c r="L617" s="8">
        <v>2.5876460767946471E-2</v>
      </c>
      <c r="M617" s="18">
        <v>0.4769394581627896</v>
      </c>
    </row>
    <row r="618" spans="1:13" x14ac:dyDescent="0.45">
      <c r="A618" t="s">
        <v>1740</v>
      </c>
      <c r="B618" s="18">
        <v>19.02</v>
      </c>
      <c r="C618" s="18">
        <v>18.399999999999999</v>
      </c>
      <c r="D618" s="18">
        <v>17.38</v>
      </c>
      <c r="E618" s="18">
        <v>13.29</v>
      </c>
      <c r="F618" s="18">
        <v>15.37</v>
      </c>
      <c r="G618" s="18">
        <v>18.528359999999999</v>
      </c>
      <c r="H618" s="18">
        <v>16.076205000000002</v>
      </c>
      <c r="I618" s="8">
        <v>3.3695652173913133E-2</v>
      </c>
      <c r="J618" s="8">
        <v>9.436133486766396E-2</v>
      </c>
      <c r="K618" s="8">
        <v>0.43115124153498868</v>
      </c>
      <c r="L618" s="8">
        <v>0.2374756018217308</v>
      </c>
      <c r="M618" s="18">
        <v>0.7966838303982966</v>
      </c>
    </row>
    <row r="619" spans="1:13" x14ac:dyDescent="0.45">
      <c r="A619" t="s">
        <v>821</v>
      </c>
      <c r="B619" s="18">
        <v>42.46</v>
      </c>
      <c r="C619" s="18">
        <v>39.729999999999997</v>
      </c>
      <c r="D619" s="18">
        <v>38.299999999999997</v>
      </c>
      <c r="E619" s="18">
        <v>29.69</v>
      </c>
      <c r="F619" s="18">
        <v>35.65</v>
      </c>
      <c r="G619" s="18">
        <v>40.135599999999997</v>
      </c>
      <c r="H619" s="18">
        <v>37.136400000000002</v>
      </c>
      <c r="I619" s="8">
        <v>6.8713818273345106E-2</v>
      </c>
      <c r="J619" s="8">
        <v>0.1086161879895562</v>
      </c>
      <c r="K619" s="8">
        <v>0.4301111485348601</v>
      </c>
      <c r="L619" s="8">
        <v>0.19102384291725111</v>
      </c>
      <c r="M619" s="18">
        <v>0.79846499771501245</v>
      </c>
    </row>
    <row r="620" spans="1:13" x14ac:dyDescent="0.45">
      <c r="A620" t="s">
        <v>1520</v>
      </c>
      <c r="B620" s="18">
        <v>100.89</v>
      </c>
      <c r="C620" s="18">
        <v>96.47</v>
      </c>
      <c r="D620" s="18">
        <v>87.89</v>
      </c>
      <c r="E620" s="18">
        <v>70.55</v>
      </c>
      <c r="F620" s="18">
        <v>96.55</v>
      </c>
      <c r="G620" s="18">
        <v>96.639599999999987</v>
      </c>
      <c r="H620" s="18">
        <v>88.22</v>
      </c>
      <c r="I620" s="8">
        <v>4.5817352544832657E-2</v>
      </c>
      <c r="J620" s="8">
        <v>0.14791216293093629</v>
      </c>
      <c r="K620" s="8">
        <v>0.43004961020552801</v>
      </c>
      <c r="L620" s="8">
        <v>4.4950802692905301E-2</v>
      </c>
      <c r="M620" s="18">
        <v>0.66872992837420231</v>
      </c>
    </row>
    <row r="621" spans="1:13" x14ac:dyDescent="0.45">
      <c r="A621" t="s">
        <v>2080</v>
      </c>
      <c r="B621" s="18">
        <v>10.51</v>
      </c>
      <c r="C621" s="18">
        <v>10.28</v>
      </c>
      <c r="D621" s="18">
        <v>9.7200000000000006</v>
      </c>
      <c r="E621" s="18">
        <v>7.35</v>
      </c>
      <c r="F621" s="18">
        <v>9.5500000000000007</v>
      </c>
      <c r="G621" s="18">
        <v>10.066800000000001</v>
      </c>
      <c r="H621" s="18">
        <v>9.32864</v>
      </c>
      <c r="I621" s="8">
        <v>2.2373540856031271E-2</v>
      </c>
      <c r="J621" s="8">
        <v>8.1275720164609044E-2</v>
      </c>
      <c r="K621" s="8">
        <v>0.42993197278911582</v>
      </c>
      <c r="L621" s="8">
        <v>0.10052356020942391</v>
      </c>
      <c r="M621" s="18">
        <v>0.63410479401917996</v>
      </c>
    </row>
    <row r="622" spans="1:13" x14ac:dyDescent="0.45">
      <c r="A622" t="s">
        <v>2126</v>
      </c>
      <c r="B622" s="18">
        <v>4.3600000000000003</v>
      </c>
      <c r="C622" s="18">
        <v>4.5199999999999996</v>
      </c>
      <c r="D622" s="18">
        <v>4.05</v>
      </c>
      <c r="E622" s="18">
        <v>3.05</v>
      </c>
      <c r="F622" s="18">
        <v>5.15</v>
      </c>
      <c r="G622" s="18">
        <v>4.3537999999999997</v>
      </c>
      <c r="H622" s="18">
        <v>3.8360500000000002</v>
      </c>
      <c r="I622" s="8">
        <v>-3.5398230088495408E-2</v>
      </c>
      <c r="J622" s="8">
        <v>7.6543209876543283E-2</v>
      </c>
      <c r="K622" s="8">
        <v>0.42950819672131169</v>
      </c>
      <c r="L622" s="8">
        <v>-0.15339805825242711</v>
      </c>
      <c r="M622" s="18">
        <v>0.31725511825693242</v>
      </c>
    </row>
    <row r="623" spans="1:13" x14ac:dyDescent="0.45">
      <c r="A623" t="s">
        <v>149</v>
      </c>
      <c r="B623" s="18">
        <v>1165</v>
      </c>
      <c r="C623" s="18">
        <v>1105.67</v>
      </c>
      <c r="D623" s="18">
        <v>1104.05</v>
      </c>
      <c r="E623" s="18">
        <v>815.72</v>
      </c>
      <c r="F623" s="18">
        <v>949.19</v>
      </c>
      <c r="G623" s="18">
        <v>1132.4854</v>
      </c>
      <c r="H623" s="18">
        <v>1021.2192</v>
      </c>
      <c r="I623" s="8">
        <v>5.3659771903008968E-2</v>
      </c>
      <c r="J623" s="8">
        <v>5.5205833069154497E-2</v>
      </c>
      <c r="K623" s="8">
        <v>0.42818614230373159</v>
      </c>
      <c r="L623" s="8">
        <v>0.22736227731012759</v>
      </c>
      <c r="M623" s="18">
        <v>0.7644140245860227</v>
      </c>
    </row>
    <row r="624" spans="1:13" x14ac:dyDescent="0.45">
      <c r="A624" t="s">
        <v>1337</v>
      </c>
      <c r="B624" s="18">
        <v>8.74</v>
      </c>
      <c r="C624" s="18">
        <v>8.5299999999999994</v>
      </c>
      <c r="D624" s="18">
        <v>7.41</v>
      </c>
      <c r="E624" s="18">
        <v>6.12</v>
      </c>
      <c r="F624" s="18">
        <v>6.89</v>
      </c>
      <c r="G624" s="18">
        <v>8.5766000000000009</v>
      </c>
      <c r="H624" s="18">
        <v>7.4380499999999996</v>
      </c>
      <c r="I624" s="8">
        <v>2.4618991793669439E-2</v>
      </c>
      <c r="J624" s="8">
        <v>0.17948717948717949</v>
      </c>
      <c r="K624" s="8">
        <v>0.42810457516339873</v>
      </c>
      <c r="L624" s="8">
        <v>0.2685050798258346</v>
      </c>
      <c r="M624" s="18">
        <v>0.90071582627008229</v>
      </c>
    </row>
    <row r="625" spans="1:13" x14ac:dyDescent="0.45">
      <c r="A625" t="s">
        <v>2325</v>
      </c>
      <c r="B625" s="18">
        <v>49.24</v>
      </c>
      <c r="C625" s="18">
        <v>52.2</v>
      </c>
      <c r="D625" s="18">
        <v>44.53</v>
      </c>
      <c r="E625" s="18">
        <v>34.479999999999997</v>
      </c>
      <c r="F625" s="18">
        <v>61.12</v>
      </c>
      <c r="G625" s="18">
        <v>49.106000000000002</v>
      </c>
      <c r="H625" s="18">
        <v>43.636949999999999</v>
      </c>
      <c r="I625" s="8">
        <v>-5.6704980842911867E-2</v>
      </c>
      <c r="J625" s="8">
        <v>0.1057713900741073</v>
      </c>
      <c r="K625" s="8">
        <v>0.42807424593967541</v>
      </c>
      <c r="L625" s="8">
        <v>-0.19437172774869099</v>
      </c>
      <c r="M625" s="18">
        <v>0.28276892742217968</v>
      </c>
    </row>
    <row r="626" spans="1:13" x14ac:dyDescent="0.45">
      <c r="A626" t="s">
        <v>75</v>
      </c>
      <c r="B626" s="18">
        <v>217.79</v>
      </c>
      <c r="C626" s="18">
        <v>197.55</v>
      </c>
      <c r="D626" s="18">
        <v>192.07</v>
      </c>
      <c r="E626" s="18">
        <v>152.53</v>
      </c>
      <c r="F626" s="18">
        <v>171.18</v>
      </c>
      <c r="G626" s="18">
        <v>191.24700000000001</v>
      </c>
      <c r="H626" s="18">
        <v>188.09485000000001</v>
      </c>
      <c r="I626" s="8">
        <v>0.10245507466464179</v>
      </c>
      <c r="J626" s="8">
        <v>0.13390951215702621</v>
      </c>
      <c r="K626" s="8">
        <v>0.42785025896544943</v>
      </c>
      <c r="L626" s="8">
        <v>0.27228648206566192</v>
      </c>
      <c r="M626" s="18">
        <v>0.93650132785277918</v>
      </c>
    </row>
    <row r="627" spans="1:13" x14ac:dyDescent="0.45">
      <c r="A627" t="s">
        <v>1499</v>
      </c>
      <c r="B627" s="18">
        <v>8.18</v>
      </c>
      <c r="C627" s="18">
        <v>8.43</v>
      </c>
      <c r="D627" s="18">
        <v>7.32</v>
      </c>
      <c r="E627" s="18">
        <v>5.73</v>
      </c>
      <c r="F627" s="18">
        <v>6.2649999999999997</v>
      </c>
      <c r="G627" s="18">
        <v>8.1819999999999986</v>
      </c>
      <c r="H627" s="18">
        <v>6.9327679999999994</v>
      </c>
      <c r="I627" s="8">
        <v>-2.9655990510083049E-2</v>
      </c>
      <c r="J627" s="8">
        <v>0.1174863387978142</v>
      </c>
      <c r="K627" s="8">
        <v>0.42757417102966833</v>
      </c>
      <c r="L627" s="8">
        <v>0.30566640063846767</v>
      </c>
      <c r="M627" s="18">
        <v>0.82107091995586723</v>
      </c>
    </row>
    <row r="628" spans="1:13" x14ac:dyDescent="0.45">
      <c r="A628" t="s">
        <v>1465</v>
      </c>
      <c r="B628" s="18">
        <v>32.22</v>
      </c>
      <c r="C628" s="18">
        <v>30.68</v>
      </c>
      <c r="D628" s="18">
        <v>26.17</v>
      </c>
      <c r="E628" s="18">
        <v>22.57</v>
      </c>
      <c r="F628" s="18">
        <v>19.510000000000002</v>
      </c>
      <c r="G628" s="18">
        <v>29.2532</v>
      </c>
      <c r="H628" s="18">
        <v>26.5928</v>
      </c>
      <c r="I628" s="8">
        <v>5.0195567144719622E-2</v>
      </c>
      <c r="J628" s="8">
        <v>0.23118074130683991</v>
      </c>
      <c r="K628" s="8">
        <v>0.4275587062472308</v>
      </c>
      <c r="L628" s="8">
        <v>0.65146078933880047</v>
      </c>
      <c r="M628" s="18">
        <v>1.360395804037591</v>
      </c>
    </row>
    <row r="629" spans="1:13" x14ac:dyDescent="0.45">
      <c r="A629" t="s">
        <v>1239</v>
      </c>
      <c r="B629" s="18">
        <v>44.04</v>
      </c>
      <c r="C629" s="18">
        <v>40.71</v>
      </c>
      <c r="D629" s="18">
        <v>52.04</v>
      </c>
      <c r="E629" s="18">
        <v>30.86</v>
      </c>
      <c r="F629" s="18">
        <v>49.97</v>
      </c>
      <c r="G629" s="18">
        <v>42.689799999999998</v>
      </c>
      <c r="H629" s="18">
        <v>43.350050000000003</v>
      </c>
      <c r="I629" s="8">
        <v>8.1798084008843031E-2</v>
      </c>
      <c r="J629" s="8">
        <v>-0.15372790161414299</v>
      </c>
      <c r="K629" s="8">
        <v>0.42709008425145822</v>
      </c>
      <c r="L629" s="8">
        <v>-0.11867120272163301</v>
      </c>
      <c r="M629" s="18">
        <v>0.23648906392452529</v>
      </c>
    </row>
    <row r="630" spans="1:13" x14ac:dyDescent="0.45">
      <c r="A630" t="s">
        <v>1956</v>
      </c>
      <c r="B630" s="18">
        <v>53.71</v>
      </c>
      <c r="C630" s="18">
        <v>57.86</v>
      </c>
      <c r="D630" s="18">
        <v>48.42</v>
      </c>
      <c r="E630" s="18">
        <v>37.64</v>
      </c>
      <c r="F630" s="18">
        <v>45.44</v>
      </c>
      <c r="G630" s="18">
        <v>56.21540000000001</v>
      </c>
      <c r="H630" s="18">
        <v>48.306699999999999</v>
      </c>
      <c r="I630" s="8">
        <v>-7.1724853093674379E-2</v>
      </c>
      <c r="J630" s="8">
        <v>0.10925237505163141</v>
      </c>
      <c r="K630" s="8">
        <v>0.42693942614240182</v>
      </c>
      <c r="L630" s="8">
        <v>0.18199823943661969</v>
      </c>
      <c r="M630" s="18">
        <v>0.64646518753697857</v>
      </c>
    </row>
    <row r="631" spans="1:13" x14ac:dyDescent="0.45">
      <c r="A631" t="s">
        <v>599</v>
      </c>
      <c r="B631" s="18">
        <v>3.71</v>
      </c>
      <c r="C631" s="18">
        <v>3.51</v>
      </c>
      <c r="D631" s="18">
        <v>4.72</v>
      </c>
      <c r="E631" s="18">
        <v>2.6</v>
      </c>
      <c r="F631" s="18">
        <v>3.75</v>
      </c>
      <c r="G631" s="18">
        <v>3.7711999999999999</v>
      </c>
      <c r="H631" s="18">
        <v>3.4752999999999998</v>
      </c>
      <c r="I631" s="8">
        <v>5.6980056980056933E-2</v>
      </c>
      <c r="J631" s="8">
        <v>-0.21398305084745761</v>
      </c>
      <c r="K631" s="8">
        <v>0.42692307692307702</v>
      </c>
      <c r="L631" s="8">
        <v>-1.066666666666671E-2</v>
      </c>
      <c r="M631" s="18">
        <v>0.25925341638900962</v>
      </c>
    </row>
    <row r="632" spans="1:13" x14ac:dyDescent="0.45">
      <c r="A632" t="s">
        <v>1874</v>
      </c>
      <c r="B632" s="18">
        <v>25.61</v>
      </c>
      <c r="C632" s="18">
        <v>25.37</v>
      </c>
      <c r="D632" s="18">
        <v>22.64</v>
      </c>
      <c r="E632" s="18">
        <v>17.96</v>
      </c>
      <c r="F632" s="18">
        <v>47.98</v>
      </c>
      <c r="G632" s="18">
        <v>22.9252</v>
      </c>
      <c r="H632" s="18">
        <v>24.088450000000002</v>
      </c>
      <c r="I632" s="8">
        <v>9.4599921166731438E-3</v>
      </c>
      <c r="J632" s="8">
        <v>0.13118374558303891</v>
      </c>
      <c r="K632" s="8">
        <v>0.42594654788418712</v>
      </c>
      <c r="L632" s="8">
        <v>-0.46623593163818261</v>
      </c>
      <c r="M632" s="18">
        <v>0.1003543539457166</v>
      </c>
    </row>
    <row r="633" spans="1:13" x14ac:dyDescent="0.45">
      <c r="A633" t="s">
        <v>2435</v>
      </c>
      <c r="B633" s="18">
        <v>39.96</v>
      </c>
      <c r="C633" s="18">
        <v>42.58</v>
      </c>
      <c r="D633" s="18">
        <v>38.619999999999997</v>
      </c>
      <c r="E633" s="18">
        <v>28.04</v>
      </c>
      <c r="F633" s="18">
        <v>33.69</v>
      </c>
      <c r="G633" s="18">
        <v>42.167200000000001</v>
      </c>
      <c r="H633" s="18">
        <v>37.346299999999999</v>
      </c>
      <c r="I633" s="8">
        <v>-6.1531235321747202E-2</v>
      </c>
      <c r="J633" s="8">
        <v>3.4697048161574477E-2</v>
      </c>
      <c r="K633" s="8">
        <v>0.42510699001426538</v>
      </c>
      <c r="L633" s="8">
        <v>0.1861086375779164</v>
      </c>
      <c r="M633" s="18">
        <v>0.58438144043200912</v>
      </c>
    </row>
    <row r="634" spans="1:13" x14ac:dyDescent="0.45">
      <c r="A634" t="s">
        <v>910</v>
      </c>
      <c r="B634" s="18">
        <v>23.76</v>
      </c>
      <c r="C634" s="18">
        <v>22.83</v>
      </c>
      <c r="D634" s="18">
        <v>21.41</v>
      </c>
      <c r="E634" s="18">
        <v>16.68</v>
      </c>
      <c r="F634" s="18">
        <v>19.54</v>
      </c>
      <c r="G634" s="18">
        <v>22.4466</v>
      </c>
      <c r="H634" s="18">
        <v>20.548850000000002</v>
      </c>
      <c r="I634" s="8">
        <v>4.0735873850197279E-2</v>
      </c>
      <c r="J634" s="8">
        <v>0.109761793554414</v>
      </c>
      <c r="K634" s="8">
        <v>0.42446043165467628</v>
      </c>
      <c r="L634" s="8">
        <v>0.21596724667349029</v>
      </c>
      <c r="M634" s="18">
        <v>0.79092534573277784</v>
      </c>
    </row>
    <row r="635" spans="1:13" x14ac:dyDescent="0.45">
      <c r="A635" t="s">
        <v>1729</v>
      </c>
      <c r="B635" s="18">
        <v>15.36</v>
      </c>
      <c r="C635" s="18">
        <v>15.56</v>
      </c>
      <c r="D635" s="18">
        <v>13.59</v>
      </c>
      <c r="E635" s="18">
        <v>10.79</v>
      </c>
      <c r="F635" s="18">
        <v>10.37</v>
      </c>
      <c r="G635" s="18">
        <v>15.291399999999999</v>
      </c>
      <c r="H635" s="18">
        <v>13.53805</v>
      </c>
      <c r="I635" s="8">
        <v>-1.2853470437018011E-2</v>
      </c>
      <c r="J635" s="8">
        <v>0.13024282560706399</v>
      </c>
      <c r="K635" s="8">
        <v>0.42354031510658019</v>
      </c>
      <c r="L635" s="8">
        <v>0.48119575699132122</v>
      </c>
      <c r="M635" s="18">
        <v>1.022125427267947</v>
      </c>
    </row>
    <row r="636" spans="1:13" x14ac:dyDescent="0.45">
      <c r="A636" t="s">
        <v>78</v>
      </c>
      <c r="B636" s="18">
        <v>133.77000000000001</v>
      </c>
      <c r="C636" s="18">
        <v>126.06</v>
      </c>
      <c r="D636" s="18">
        <v>104.97</v>
      </c>
      <c r="E636" s="18">
        <v>93.98</v>
      </c>
      <c r="F636" s="18">
        <v>154.27000000000001</v>
      </c>
      <c r="G636" s="18">
        <v>123.96380000000001</v>
      </c>
      <c r="H636" s="18">
        <v>112.80177500000001</v>
      </c>
      <c r="I636" s="8">
        <v>6.1161351737267999E-2</v>
      </c>
      <c r="J636" s="8">
        <v>0.27436410402972289</v>
      </c>
      <c r="K636" s="8">
        <v>0.42338795488401781</v>
      </c>
      <c r="L636" s="8">
        <v>-0.13288390484215981</v>
      </c>
      <c r="M636" s="18">
        <v>0.62602950580884886</v>
      </c>
    </row>
    <row r="637" spans="1:13" x14ac:dyDescent="0.45">
      <c r="A637" t="s">
        <v>143</v>
      </c>
      <c r="B637" s="18">
        <v>49.84</v>
      </c>
      <c r="C637" s="18">
        <v>50.29</v>
      </c>
      <c r="D637" s="18">
        <v>46.97</v>
      </c>
      <c r="E637" s="18">
        <v>35.03</v>
      </c>
      <c r="F637" s="18">
        <v>40.11</v>
      </c>
      <c r="G637" s="18">
        <v>49.448999999999998</v>
      </c>
      <c r="H637" s="18">
        <v>45.296149999999997</v>
      </c>
      <c r="I637" s="8">
        <v>-8.9481010141180262E-3</v>
      </c>
      <c r="J637" s="8">
        <v>6.1102831594634921E-2</v>
      </c>
      <c r="K637" s="8">
        <v>0.42278047387953183</v>
      </c>
      <c r="L637" s="8">
        <v>0.24258289703315891</v>
      </c>
      <c r="M637" s="18">
        <v>0.71751810149320761</v>
      </c>
    </row>
    <row r="638" spans="1:13" x14ac:dyDescent="0.45">
      <c r="A638" t="s">
        <v>1386</v>
      </c>
      <c r="B638" s="18">
        <v>10</v>
      </c>
      <c r="C638" s="18">
        <v>8.8800000000000008</v>
      </c>
      <c r="D638" s="18">
        <v>8.5</v>
      </c>
      <c r="E638" s="18">
        <v>7.03</v>
      </c>
      <c r="F638" s="18">
        <v>7.8849999999999998</v>
      </c>
      <c r="G638" s="18">
        <v>8.773340000000001</v>
      </c>
      <c r="H638" s="18">
        <v>8.2713165000000011</v>
      </c>
      <c r="I638" s="8">
        <v>0.12612612612612589</v>
      </c>
      <c r="J638" s="8">
        <v>0.17647058823529421</v>
      </c>
      <c r="K638" s="8">
        <v>0.42247510668563287</v>
      </c>
      <c r="L638" s="8">
        <v>0.26823081800887771</v>
      </c>
      <c r="M638" s="18">
        <v>0.99330263905593075</v>
      </c>
    </row>
    <row r="639" spans="1:13" x14ac:dyDescent="0.45">
      <c r="A639" t="s">
        <v>1307</v>
      </c>
      <c r="B639" s="18">
        <v>3.27</v>
      </c>
      <c r="C639" s="18">
        <v>3.1</v>
      </c>
      <c r="D639" s="18">
        <v>3.01</v>
      </c>
      <c r="E639" s="18">
        <v>2.2999999999999998</v>
      </c>
      <c r="F639" s="18">
        <v>3.5</v>
      </c>
      <c r="G639" s="18">
        <v>3.0583999999999998</v>
      </c>
      <c r="H639" s="18">
        <v>2.9096500000000001</v>
      </c>
      <c r="I639" s="8">
        <v>5.4838709677419439E-2</v>
      </c>
      <c r="J639" s="8">
        <v>8.6378737541528361E-2</v>
      </c>
      <c r="K639" s="8">
        <v>0.42173913043478262</v>
      </c>
      <c r="L639" s="8">
        <v>-6.5714285714285725E-2</v>
      </c>
      <c r="M639" s="18">
        <v>0.49724229193944469</v>
      </c>
    </row>
    <row r="640" spans="1:13" x14ac:dyDescent="0.45">
      <c r="A640" t="s">
        <v>225</v>
      </c>
      <c r="B640" s="18">
        <v>78.37</v>
      </c>
      <c r="C640" s="18">
        <v>76.75</v>
      </c>
      <c r="D640" s="18">
        <v>76.13</v>
      </c>
      <c r="E640" s="18">
        <v>55.13</v>
      </c>
      <c r="F640" s="18">
        <v>87.54</v>
      </c>
      <c r="G640" s="18">
        <v>75.716999999999999</v>
      </c>
      <c r="H640" s="18">
        <v>73.328500000000005</v>
      </c>
      <c r="I640" s="8">
        <v>2.1107491856677599E-2</v>
      </c>
      <c r="J640" s="8">
        <v>2.9423354787863069E-2</v>
      </c>
      <c r="K640" s="8">
        <v>0.42154906584436791</v>
      </c>
      <c r="L640" s="8">
        <v>-0.10475211331962531</v>
      </c>
      <c r="M640" s="18">
        <v>0.36732779916928332</v>
      </c>
    </row>
    <row r="641" spans="1:13" x14ac:dyDescent="0.45">
      <c r="A641" t="s">
        <v>1755</v>
      </c>
      <c r="B641" s="18">
        <v>15.45</v>
      </c>
      <c r="C641" s="18">
        <v>14.99</v>
      </c>
      <c r="D641" s="18">
        <v>14.49</v>
      </c>
      <c r="E641" s="18">
        <v>10.87</v>
      </c>
      <c r="F641" s="18">
        <v>12.97</v>
      </c>
      <c r="G641" s="18">
        <v>14.9808</v>
      </c>
      <c r="H641" s="18">
        <v>13.614324999999999</v>
      </c>
      <c r="I641" s="8">
        <v>3.0687124749833261E-2</v>
      </c>
      <c r="J641" s="8">
        <v>6.6252587991718404E-2</v>
      </c>
      <c r="K641" s="8">
        <v>0.42134314627414898</v>
      </c>
      <c r="L641" s="8">
        <v>0.19121048573631441</v>
      </c>
      <c r="M641" s="18">
        <v>0.70949334475201509</v>
      </c>
    </row>
    <row r="642" spans="1:13" x14ac:dyDescent="0.45">
      <c r="A642" t="s">
        <v>319</v>
      </c>
      <c r="B642" s="18">
        <v>157.36000000000001</v>
      </c>
      <c r="C642" s="18">
        <v>143.71</v>
      </c>
      <c r="D642" s="18">
        <v>136.21</v>
      </c>
      <c r="E642" s="18">
        <v>110.79</v>
      </c>
      <c r="F642" s="18">
        <v>140.04</v>
      </c>
      <c r="G642" s="18">
        <v>147.63720000000001</v>
      </c>
      <c r="H642" s="18">
        <v>133.44954999999999</v>
      </c>
      <c r="I642" s="8">
        <v>9.498295177788596E-2</v>
      </c>
      <c r="J642" s="8">
        <v>0.15527494310256221</v>
      </c>
      <c r="K642" s="8">
        <v>0.42034479646177458</v>
      </c>
      <c r="L642" s="8">
        <v>0.1236789488717511</v>
      </c>
      <c r="M642" s="18">
        <v>0.79428164021397385</v>
      </c>
    </row>
    <row r="643" spans="1:13" x14ac:dyDescent="0.45">
      <c r="A643" t="s">
        <v>794</v>
      </c>
      <c r="B643" s="18">
        <v>63.31</v>
      </c>
      <c r="C643" s="18">
        <v>63.79</v>
      </c>
      <c r="D643" s="18">
        <v>55.11</v>
      </c>
      <c r="E643" s="18">
        <v>44.6</v>
      </c>
      <c r="F643" s="18">
        <v>53.06</v>
      </c>
      <c r="G643" s="18">
        <v>61.028399999999998</v>
      </c>
      <c r="H643" s="18">
        <v>53.781000000000013</v>
      </c>
      <c r="I643" s="8">
        <v>-7.5246903903433138E-3</v>
      </c>
      <c r="J643" s="8">
        <v>0.1487933224460172</v>
      </c>
      <c r="K643" s="8">
        <v>0.41950672645739912</v>
      </c>
      <c r="L643" s="8">
        <v>0.1931775348661893</v>
      </c>
      <c r="M643" s="18">
        <v>0.75395289337926219</v>
      </c>
    </row>
    <row r="644" spans="1:13" x14ac:dyDescent="0.45">
      <c r="A644" t="s">
        <v>917</v>
      </c>
      <c r="B644" s="18">
        <v>34.5</v>
      </c>
      <c r="C644" s="18">
        <v>32.520000000000003</v>
      </c>
      <c r="D644" s="18">
        <v>31.82</v>
      </c>
      <c r="E644" s="18">
        <v>24.31</v>
      </c>
      <c r="F644" s="18">
        <v>54.23</v>
      </c>
      <c r="G644" s="18">
        <v>32.941400000000002</v>
      </c>
      <c r="H644" s="18">
        <v>35.288899999999998</v>
      </c>
      <c r="I644" s="8">
        <v>6.0885608856088513E-2</v>
      </c>
      <c r="J644" s="8">
        <v>8.4223758642363311E-2</v>
      </c>
      <c r="K644" s="8">
        <v>0.41916906622788969</v>
      </c>
      <c r="L644" s="8">
        <v>-0.36382076341508379</v>
      </c>
      <c r="M644" s="18">
        <v>0.20045767031125769</v>
      </c>
    </row>
    <row r="645" spans="1:13" x14ac:dyDescent="0.45">
      <c r="A645" t="s">
        <v>253</v>
      </c>
      <c r="B645" s="18">
        <v>342.58</v>
      </c>
      <c r="C645" s="18">
        <v>325.41000000000003</v>
      </c>
      <c r="D645" s="18">
        <v>299.89</v>
      </c>
      <c r="E645" s="18">
        <v>241.53</v>
      </c>
      <c r="F645" s="18">
        <v>219.91</v>
      </c>
      <c r="G645" s="18">
        <v>320.93180000000001</v>
      </c>
      <c r="H645" s="18">
        <v>289.75670000000002</v>
      </c>
      <c r="I645" s="8">
        <v>5.2764205156571542E-2</v>
      </c>
      <c r="J645" s="8">
        <v>0.14235219580512859</v>
      </c>
      <c r="K645" s="8">
        <v>0.41837452904401112</v>
      </c>
      <c r="L645" s="8">
        <v>0.55781910781683419</v>
      </c>
      <c r="M645" s="18">
        <v>1.1713100378225449</v>
      </c>
    </row>
    <row r="646" spans="1:13" x14ac:dyDescent="0.45">
      <c r="A646" t="s">
        <v>109</v>
      </c>
      <c r="B646" s="18">
        <v>140.81</v>
      </c>
      <c r="C646" s="18">
        <v>126.25</v>
      </c>
      <c r="D646" s="18">
        <v>124.17</v>
      </c>
      <c r="E646" s="18">
        <v>99.29</v>
      </c>
      <c r="F646" s="18">
        <v>144.97</v>
      </c>
      <c r="G646" s="18">
        <v>123.8836</v>
      </c>
      <c r="H646" s="18">
        <v>123.02795</v>
      </c>
      <c r="I646" s="8">
        <v>0.1153267326732674</v>
      </c>
      <c r="J646" s="8">
        <v>0.1340098252395909</v>
      </c>
      <c r="K646" s="8">
        <v>0.4181689998992848</v>
      </c>
      <c r="L646" s="8">
        <v>-2.869559219148787E-2</v>
      </c>
      <c r="M646" s="18">
        <v>0.63880996562065528</v>
      </c>
    </row>
    <row r="647" spans="1:13" x14ac:dyDescent="0.45">
      <c r="A647" t="s">
        <v>1919</v>
      </c>
      <c r="B647" s="18">
        <v>11.14</v>
      </c>
      <c r="C647" s="18">
        <v>11.74</v>
      </c>
      <c r="D647" s="18">
        <v>11.08</v>
      </c>
      <c r="E647" s="18">
        <v>7.86</v>
      </c>
      <c r="F647" s="18">
        <v>6.92</v>
      </c>
      <c r="G647" s="18">
        <v>11.5586</v>
      </c>
      <c r="H647" s="18">
        <v>9.9865499999999994</v>
      </c>
      <c r="I647" s="8">
        <v>-5.1107325383304869E-2</v>
      </c>
      <c r="J647" s="8">
        <v>5.4151624548737232E-3</v>
      </c>
      <c r="K647" s="8">
        <v>0.41730279898218819</v>
      </c>
      <c r="L647" s="8">
        <v>0.60982658959537583</v>
      </c>
      <c r="M647" s="18">
        <v>0.98143722564913294</v>
      </c>
    </row>
    <row r="648" spans="1:13" x14ac:dyDescent="0.45">
      <c r="A648" t="s">
        <v>2210</v>
      </c>
      <c r="B648" s="18">
        <v>1.87</v>
      </c>
      <c r="C648" s="18">
        <v>1.88</v>
      </c>
      <c r="D648" s="18">
        <v>1.93</v>
      </c>
      <c r="E648" s="18">
        <v>1.32</v>
      </c>
      <c r="F648" s="18">
        <v>2.87</v>
      </c>
      <c r="G648" s="18">
        <v>1.8731</v>
      </c>
      <c r="H648" s="18">
        <v>1.7469749999999999</v>
      </c>
      <c r="I648" s="8">
        <v>-5.3191489361701372E-3</v>
      </c>
      <c r="J648" s="8">
        <v>-3.1088082901554289E-2</v>
      </c>
      <c r="K648" s="8">
        <v>0.41666666666666669</v>
      </c>
      <c r="L648" s="8">
        <v>-0.34843205574912889</v>
      </c>
      <c r="M648" s="18">
        <v>3.1827379079813367E-2</v>
      </c>
    </row>
    <row r="649" spans="1:13" x14ac:dyDescent="0.45">
      <c r="A649" t="s">
        <v>667</v>
      </c>
      <c r="B649" s="18">
        <v>44.83</v>
      </c>
      <c r="C649" s="18">
        <v>45.44</v>
      </c>
      <c r="D649" s="18">
        <v>39</v>
      </c>
      <c r="E649" s="18">
        <v>31.66</v>
      </c>
      <c r="F649" s="18">
        <v>38.119999999999997</v>
      </c>
      <c r="G649" s="18">
        <v>43.835000000000001</v>
      </c>
      <c r="H649" s="18">
        <v>39.217449999999999</v>
      </c>
      <c r="I649" s="8">
        <v>-1.342429577464788E-2</v>
      </c>
      <c r="J649" s="8">
        <v>0.14948717948717949</v>
      </c>
      <c r="K649" s="8">
        <v>0.41598231206569802</v>
      </c>
      <c r="L649" s="8">
        <v>0.1760230849947535</v>
      </c>
      <c r="M649" s="18">
        <v>0.72806828077298313</v>
      </c>
    </row>
    <row r="650" spans="1:13" x14ac:dyDescent="0.45">
      <c r="A650" t="s">
        <v>267</v>
      </c>
      <c r="B650" s="18">
        <v>23.59</v>
      </c>
      <c r="C650" s="18">
        <v>24.56</v>
      </c>
      <c r="D650" s="18">
        <v>25.14</v>
      </c>
      <c r="E650" s="18">
        <v>16.66</v>
      </c>
      <c r="F650" s="18">
        <v>19.899999999999999</v>
      </c>
      <c r="G650" s="18">
        <v>24.569400000000002</v>
      </c>
      <c r="H650" s="18">
        <v>21.82565</v>
      </c>
      <c r="I650" s="8">
        <v>-3.949511400651462E-2</v>
      </c>
      <c r="J650" s="8">
        <v>-6.1654733492442333E-2</v>
      </c>
      <c r="K650" s="8">
        <v>0.41596638655462193</v>
      </c>
      <c r="L650" s="8">
        <v>0.18542713567839211</v>
      </c>
      <c r="M650" s="18">
        <v>0.50024367473405706</v>
      </c>
    </row>
    <row r="651" spans="1:13" x14ac:dyDescent="0.45">
      <c r="A651" t="s">
        <v>463</v>
      </c>
      <c r="B651" s="18">
        <v>86.22</v>
      </c>
      <c r="C651" s="18">
        <v>80.53</v>
      </c>
      <c r="D651" s="18">
        <v>85.23</v>
      </c>
      <c r="E651" s="18">
        <v>60.93</v>
      </c>
      <c r="F651" s="18">
        <v>86.74</v>
      </c>
      <c r="G651" s="18">
        <v>81.352599999999995</v>
      </c>
      <c r="H651" s="18">
        <v>76.593649999999997</v>
      </c>
      <c r="I651" s="8">
        <v>7.0656898050415862E-2</v>
      </c>
      <c r="J651" s="8">
        <v>1.161562829989427E-2</v>
      </c>
      <c r="K651" s="8">
        <v>0.41506646971935002</v>
      </c>
      <c r="L651" s="8">
        <v>-5.9949273691490834E-3</v>
      </c>
      <c r="M651" s="18">
        <v>0.49134406870051112</v>
      </c>
    </row>
    <row r="652" spans="1:13" x14ac:dyDescent="0.45">
      <c r="A652" t="s">
        <v>2384</v>
      </c>
      <c r="B652" s="18">
        <v>75.11</v>
      </c>
      <c r="C652" s="18">
        <v>65.61</v>
      </c>
      <c r="D652" s="18">
        <v>71.47</v>
      </c>
      <c r="E652" s="18">
        <v>53.08</v>
      </c>
      <c r="F652" s="18">
        <v>50.7</v>
      </c>
      <c r="G652" s="18">
        <v>67.612800000000007</v>
      </c>
      <c r="H652" s="18">
        <v>62.233149999999988</v>
      </c>
      <c r="I652" s="8">
        <v>0.14479500076207891</v>
      </c>
      <c r="J652" s="8">
        <v>5.0930460333006973E-2</v>
      </c>
      <c r="K652" s="8">
        <v>0.41503391107761872</v>
      </c>
      <c r="L652" s="8">
        <v>0.48145956607495061</v>
      </c>
      <c r="M652" s="18">
        <v>1.092218938247655</v>
      </c>
    </row>
    <row r="653" spans="1:13" x14ac:dyDescent="0.45">
      <c r="A653" t="s">
        <v>1051</v>
      </c>
      <c r="B653" s="18">
        <v>26.56</v>
      </c>
      <c r="C653" s="18">
        <v>23.41</v>
      </c>
      <c r="D653" s="18">
        <v>25.13</v>
      </c>
      <c r="E653" s="18">
        <v>18.77</v>
      </c>
      <c r="F653" s="18">
        <v>32.75</v>
      </c>
      <c r="G653" s="18">
        <v>23.367999999999999</v>
      </c>
      <c r="H653" s="18">
        <v>24.769449999999999</v>
      </c>
      <c r="I653" s="8">
        <v>0.13455788124733001</v>
      </c>
      <c r="J653" s="8">
        <v>5.6904098686828553E-2</v>
      </c>
      <c r="K653" s="8">
        <v>0.41502397442727751</v>
      </c>
      <c r="L653" s="8">
        <v>-0.1890076335877863</v>
      </c>
      <c r="M653" s="18">
        <v>0.41747832077364982</v>
      </c>
    </row>
    <row r="654" spans="1:13" x14ac:dyDescent="0.45">
      <c r="A654" t="s">
        <v>1749</v>
      </c>
      <c r="B654" s="18">
        <v>3.24</v>
      </c>
      <c r="C654" s="18">
        <v>3.19</v>
      </c>
      <c r="D654" s="18">
        <v>2.72</v>
      </c>
      <c r="E654" s="18">
        <v>2.29</v>
      </c>
      <c r="F654" s="18">
        <v>3.79</v>
      </c>
      <c r="G654" s="18">
        <v>3.0857999999999999</v>
      </c>
      <c r="H654" s="18">
        <v>2.7414499999999999</v>
      </c>
      <c r="I654" s="8">
        <v>1.567398119122276E-2</v>
      </c>
      <c r="J654" s="8">
        <v>0.19117647058823531</v>
      </c>
      <c r="K654" s="8">
        <v>0.41484716157205243</v>
      </c>
      <c r="L654" s="8">
        <v>-0.14511873350923479</v>
      </c>
      <c r="M654" s="18">
        <v>0.47657887984227559</v>
      </c>
    </row>
    <row r="655" spans="1:13" x14ac:dyDescent="0.45">
      <c r="A655" t="s">
        <v>1377</v>
      </c>
      <c r="B655" s="18">
        <v>194.72</v>
      </c>
      <c r="C655" s="18">
        <v>174.76</v>
      </c>
      <c r="D655" s="18">
        <v>140.07</v>
      </c>
      <c r="E655" s="18">
        <v>137.65</v>
      </c>
      <c r="F655" s="18">
        <v>115.38</v>
      </c>
      <c r="G655" s="18">
        <v>169.06960000000001</v>
      </c>
      <c r="H655" s="18">
        <v>146.7209</v>
      </c>
      <c r="I655" s="8">
        <v>0.1142137788967728</v>
      </c>
      <c r="J655" s="8">
        <v>0.39016206182622981</v>
      </c>
      <c r="K655" s="8">
        <v>0.41460225208863061</v>
      </c>
      <c r="L655" s="8">
        <v>0.68764083896689199</v>
      </c>
      <c r="M655" s="18">
        <v>1.6066189317785251</v>
      </c>
    </row>
    <row r="656" spans="1:13" x14ac:dyDescent="0.45">
      <c r="A656" t="s">
        <v>402</v>
      </c>
      <c r="B656" s="18">
        <v>131.30000000000001</v>
      </c>
      <c r="C656" s="18">
        <v>132.29</v>
      </c>
      <c r="D656" s="18">
        <v>134.38999999999999</v>
      </c>
      <c r="E656" s="18">
        <v>92.87</v>
      </c>
      <c r="F656" s="18">
        <v>138.62</v>
      </c>
      <c r="G656" s="18">
        <v>129.01939999999999</v>
      </c>
      <c r="H656" s="18">
        <v>121.16115000000001</v>
      </c>
      <c r="I656" s="8">
        <v>-7.4835588479853499E-3</v>
      </c>
      <c r="J656" s="8">
        <v>-2.2992782201056491E-2</v>
      </c>
      <c r="K656" s="8">
        <v>0.41380424248950137</v>
      </c>
      <c r="L656" s="8">
        <v>-5.2806232866830172E-2</v>
      </c>
      <c r="M656" s="18">
        <v>0.33052166857362941</v>
      </c>
    </row>
    <row r="657" spans="1:13" x14ac:dyDescent="0.45">
      <c r="A657" t="s">
        <v>822</v>
      </c>
      <c r="B657" s="18">
        <v>22.93</v>
      </c>
      <c r="C657" s="18">
        <v>22.36</v>
      </c>
      <c r="D657" s="18">
        <v>20.6</v>
      </c>
      <c r="E657" s="18">
        <v>16.22</v>
      </c>
      <c r="F657" s="18">
        <v>19.25</v>
      </c>
      <c r="G657" s="18">
        <v>21.916</v>
      </c>
      <c r="H657" s="18">
        <v>20.291049999999998</v>
      </c>
      <c r="I657" s="8">
        <v>2.549194991055459E-2</v>
      </c>
      <c r="J657" s="8">
        <v>0.1131067961165049</v>
      </c>
      <c r="K657" s="8">
        <v>0.4136868064118373</v>
      </c>
      <c r="L657" s="8">
        <v>0.1911688311688311</v>
      </c>
      <c r="M657" s="18">
        <v>0.74345438360772786</v>
      </c>
    </row>
    <row r="658" spans="1:13" x14ac:dyDescent="0.45">
      <c r="A658" t="s">
        <v>1694</v>
      </c>
      <c r="B658" s="18">
        <v>19.059999999999999</v>
      </c>
      <c r="C658" s="18">
        <v>19.3</v>
      </c>
      <c r="D658" s="18">
        <v>16.809999999999999</v>
      </c>
      <c r="E658" s="18">
        <v>13.49</v>
      </c>
      <c r="F658" s="18">
        <v>19.510000000000002</v>
      </c>
      <c r="G658" s="18">
        <v>17.909800000000001</v>
      </c>
      <c r="H658" s="18">
        <v>17.339950000000002</v>
      </c>
      <c r="I658" s="8">
        <v>-1.2435233160621889E-2</v>
      </c>
      <c r="J658" s="8">
        <v>0.13384889946460429</v>
      </c>
      <c r="K658" s="8">
        <v>0.41289844329132669</v>
      </c>
      <c r="L658" s="8">
        <v>-2.3065094823167761E-2</v>
      </c>
      <c r="M658" s="18">
        <v>0.51124701477214141</v>
      </c>
    </row>
    <row r="659" spans="1:13" x14ac:dyDescent="0.45">
      <c r="A659" t="s">
        <v>950</v>
      </c>
      <c r="B659" s="18">
        <v>97.71</v>
      </c>
      <c r="C659" s="18">
        <v>72.48</v>
      </c>
      <c r="D659" s="18">
        <v>72.39</v>
      </c>
      <c r="E659" s="18">
        <v>69.16</v>
      </c>
      <c r="F659" s="18">
        <v>24.35</v>
      </c>
      <c r="G659" s="18">
        <v>76.772199999999998</v>
      </c>
      <c r="H659" s="18">
        <v>71.846849999999989</v>
      </c>
      <c r="I659" s="8">
        <v>0.3480960264900661</v>
      </c>
      <c r="J659" s="8">
        <v>0.34977206796518862</v>
      </c>
      <c r="K659" s="8">
        <v>0.41281087333718908</v>
      </c>
      <c r="L659" s="8">
        <v>3.012731006160164</v>
      </c>
      <c r="M659" s="18">
        <v>4.1234099739526071</v>
      </c>
    </row>
    <row r="660" spans="1:13" x14ac:dyDescent="0.45">
      <c r="A660" t="s">
        <v>233</v>
      </c>
      <c r="B660" s="18">
        <v>132.94</v>
      </c>
      <c r="C660" s="18">
        <v>132.05000000000001</v>
      </c>
      <c r="D660" s="18">
        <v>140.66999999999999</v>
      </c>
      <c r="E660" s="18">
        <v>94.15</v>
      </c>
      <c r="F660" s="18">
        <v>111.44</v>
      </c>
      <c r="G660" s="18">
        <v>133.54040000000001</v>
      </c>
      <c r="H660" s="18">
        <v>124.33674999999999</v>
      </c>
      <c r="I660" s="8">
        <v>6.7398712608859324E-3</v>
      </c>
      <c r="J660" s="8">
        <v>-5.4951304471457907E-2</v>
      </c>
      <c r="K660" s="8">
        <v>0.41200212426978222</v>
      </c>
      <c r="L660" s="8">
        <v>0.19292893036611641</v>
      </c>
      <c r="M660" s="18">
        <v>0.55671962142532661</v>
      </c>
    </row>
    <row r="661" spans="1:13" x14ac:dyDescent="0.45">
      <c r="A661" t="s">
        <v>2192</v>
      </c>
      <c r="B661" s="18">
        <v>6.07</v>
      </c>
      <c r="C661" s="18">
        <v>6.19</v>
      </c>
      <c r="D661" s="18">
        <v>5.87</v>
      </c>
      <c r="E661" s="18">
        <v>4.3</v>
      </c>
      <c r="F661" s="18">
        <v>10.14</v>
      </c>
      <c r="G661" s="18">
        <v>6.3068000000000008</v>
      </c>
      <c r="H661" s="18">
        <v>5.7929499999999994</v>
      </c>
      <c r="I661" s="8">
        <v>-1.9386106623586419E-2</v>
      </c>
      <c r="J661" s="8">
        <v>3.4071550255536653E-2</v>
      </c>
      <c r="K661" s="8">
        <v>0.41162790697674428</v>
      </c>
      <c r="L661" s="8">
        <v>-0.40138067061143989</v>
      </c>
      <c r="M661" s="18">
        <v>2.4932679997254681E-2</v>
      </c>
    </row>
    <row r="662" spans="1:13" x14ac:dyDescent="0.45">
      <c r="A662" t="s">
        <v>1091</v>
      </c>
      <c r="B662" s="18">
        <v>35.54</v>
      </c>
      <c r="C662" s="18">
        <v>34.9</v>
      </c>
      <c r="D662" s="18">
        <v>33.450000000000003</v>
      </c>
      <c r="E662" s="18">
        <v>25.19</v>
      </c>
      <c r="F662" s="18">
        <v>31.42</v>
      </c>
      <c r="G662" s="18">
        <v>35.019399999999997</v>
      </c>
      <c r="H662" s="18">
        <v>31.113299999999999</v>
      </c>
      <c r="I662" s="8">
        <v>1.8338108882521409E-2</v>
      </c>
      <c r="J662" s="8">
        <v>6.2481315396113457E-2</v>
      </c>
      <c r="K662" s="8">
        <v>0.41087733227471213</v>
      </c>
      <c r="L662" s="8">
        <v>0.1311266709102481</v>
      </c>
      <c r="M662" s="18">
        <v>0.62282342746359509</v>
      </c>
    </row>
    <row r="663" spans="1:13" x14ac:dyDescent="0.45">
      <c r="A663" t="s">
        <v>1441</v>
      </c>
      <c r="B663" s="18">
        <v>25.5</v>
      </c>
      <c r="C663" s="18">
        <v>25.81</v>
      </c>
      <c r="D663" s="18">
        <v>27.86</v>
      </c>
      <c r="E663" s="18">
        <v>18.09</v>
      </c>
      <c r="F663" s="18">
        <v>33.17</v>
      </c>
      <c r="G663" s="18">
        <v>25.529199999999999</v>
      </c>
      <c r="H663" s="18">
        <v>24.94875</v>
      </c>
      <c r="I663" s="8">
        <v>-1.2010848508330009E-2</v>
      </c>
      <c r="J663" s="8">
        <v>-8.4709260588657576E-2</v>
      </c>
      <c r="K663" s="8">
        <v>0.4096185737976783</v>
      </c>
      <c r="L663" s="8">
        <v>-0.2312330419053362</v>
      </c>
      <c r="M663" s="18">
        <v>8.1665422795354492E-2</v>
      </c>
    </row>
    <row r="664" spans="1:13" x14ac:dyDescent="0.45">
      <c r="A664" t="s">
        <v>1630</v>
      </c>
      <c r="B664" s="18">
        <v>10.81</v>
      </c>
      <c r="C664" s="18">
        <v>13.3</v>
      </c>
      <c r="D664" s="18">
        <v>10.72</v>
      </c>
      <c r="E664" s="18">
        <v>7.67</v>
      </c>
      <c r="F664" s="18">
        <v>18.059999999999999</v>
      </c>
      <c r="G664" s="18">
        <v>11.274800000000001</v>
      </c>
      <c r="H664" s="18">
        <v>10.505800000000001</v>
      </c>
      <c r="I664" s="8">
        <v>-0.18721804511278201</v>
      </c>
      <c r="J664" s="8">
        <v>8.3955223880596286E-3</v>
      </c>
      <c r="K664" s="8">
        <v>0.40938722294654489</v>
      </c>
      <c r="L664" s="8">
        <v>-0.40143964562569212</v>
      </c>
      <c r="M664" s="18">
        <v>-0.17087494540386949</v>
      </c>
    </row>
    <row r="665" spans="1:13" x14ac:dyDescent="0.45">
      <c r="A665" t="s">
        <v>1475</v>
      </c>
      <c r="B665" s="18">
        <v>18.97</v>
      </c>
      <c r="C665" s="18">
        <v>16.3</v>
      </c>
      <c r="D665" s="18">
        <v>16.27</v>
      </c>
      <c r="E665" s="18">
        <v>13.46</v>
      </c>
      <c r="F665" s="18">
        <v>15.26</v>
      </c>
      <c r="G665" s="18">
        <v>17.092600000000001</v>
      </c>
      <c r="H665" s="18">
        <v>16.283349999999999</v>
      </c>
      <c r="I665" s="8">
        <v>0.16380368098159501</v>
      </c>
      <c r="J665" s="8">
        <v>0.16594960049170249</v>
      </c>
      <c r="K665" s="8">
        <v>0.40936106983655263</v>
      </c>
      <c r="L665" s="8">
        <v>0.24311926605504591</v>
      </c>
      <c r="M665" s="18">
        <v>0.98223361736489601</v>
      </c>
    </row>
    <row r="666" spans="1:13" x14ac:dyDescent="0.45">
      <c r="A666" t="s">
        <v>2231</v>
      </c>
      <c r="B666" s="18">
        <v>44.54</v>
      </c>
      <c r="C666" s="18">
        <v>41.47</v>
      </c>
      <c r="D666" s="18">
        <v>39.119999999999997</v>
      </c>
      <c r="E666" s="18">
        <v>31.61</v>
      </c>
      <c r="F666" s="18">
        <v>41.69</v>
      </c>
      <c r="G666" s="18">
        <v>43.240200000000002</v>
      </c>
      <c r="H666" s="18">
        <v>38.763199999999998</v>
      </c>
      <c r="I666" s="8">
        <v>7.402941885700498E-2</v>
      </c>
      <c r="J666" s="8">
        <v>0.13854805725971381</v>
      </c>
      <c r="K666" s="8">
        <v>0.40904776969313522</v>
      </c>
      <c r="L666" s="8">
        <v>6.8361717438234715E-2</v>
      </c>
      <c r="M666" s="18">
        <v>0.68998696324808861</v>
      </c>
    </row>
    <row r="667" spans="1:13" x14ac:dyDescent="0.45">
      <c r="A667" t="s">
        <v>1972</v>
      </c>
      <c r="B667" s="18">
        <v>30.67</v>
      </c>
      <c r="C667" s="18">
        <v>32.659999999999997</v>
      </c>
      <c r="D667" s="18">
        <v>30.77</v>
      </c>
      <c r="E667" s="18">
        <v>21.78</v>
      </c>
      <c r="F667" s="18">
        <v>26.99</v>
      </c>
      <c r="G667" s="18">
        <v>31.835599999999999</v>
      </c>
      <c r="H667" s="18">
        <v>27.566400000000002</v>
      </c>
      <c r="I667" s="8">
        <v>-6.0930802204531398E-2</v>
      </c>
      <c r="J667" s="8">
        <v>-3.2499187520311779E-3</v>
      </c>
      <c r="K667" s="8">
        <v>0.40817263544536281</v>
      </c>
      <c r="L667" s="8">
        <v>0.13634679510929981</v>
      </c>
      <c r="M667" s="18">
        <v>0.48033870959809999</v>
      </c>
    </row>
    <row r="668" spans="1:13" x14ac:dyDescent="0.45">
      <c r="A668" t="s">
        <v>2459</v>
      </c>
      <c r="B668" s="18">
        <v>58.86</v>
      </c>
      <c r="C668" s="18">
        <v>61.22</v>
      </c>
      <c r="D668" s="18">
        <v>59.51</v>
      </c>
      <c r="E668" s="18">
        <v>41.8</v>
      </c>
      <c r="F668" s="18">
        <v>45.64</v>
      </c>
      <c r="G668" s="18">
        <v>59.684199999999997</v>
      </c>
      <c r="H668" s="18">
        <v>55.206500000000013</v>
      </c>
      <c r="I668" s="8">
        <v>-3.8549493629532861E-2</v>
      </c>
      <c r="J668" s="8">
        <v>-1.092253402789445E-2</v>
      </c>
      <c r="K668" s="8">
        <v>0.40813397129186613</v>
      </c>
      <c r="L668" s="8">
        <v>0.28965819456616998</v>
      </c>
      <c r="M668" s="18">
        <v>0.64832013820060885</v>
      </c>
    </row>
    <row r="669" spans="1:13" x14ac:dyDescent="0.45">
      <c r="A669" t="s">
        <v>506</v>
      </c>
      <c r="B669" s="18">
        <v>267.93</v>
      </c>
      <c r="C669" s="18">
        <v>252.04</v>
      </c>
      <c r="D669" s="18">
        <v>229.23</v>
      </c>
      <c r="E669" s="18">
        <v>190.39</v>
      </c>
      <c r="F669" s="18">
        <v>296.5</v>
      </c>
      <c r="G669" s="18">
        <v>251.42660000000001</v>
      </c>
      <c r="H669" s="18">
        <v>248.03825000000001</v>
      </c>
      <c r="I669" s="8">
        <v>6.304554832566267E-2</v>
      </c>
      <c r="J669" s="8">
        <v>0.1688260698861406</v>
      </c>
      <c r="K669" s="8">
        <v>0.40726928935343271</v>
      </c>
      <c r="L669" s="8">
        <v>-9.6357504215851542E-2</v>
      </c>
      <c r="M669" s="18">
        <v>0.54278340334938435</v>
      </c>
    </row>
    <row r="670" spans="1:13" x14ac:dyDescent="0.45">
      <c r="A670" t="s">
        <v>1331</v>
      </c>
      <c r="B670" s="18">
        <v>109.96</v>
      </c>
      <c r="C670" s="18">
        <v>109.68</v>
      </c>
      <c r="D670" s="18">
        <v>77.11</v>
      </c>
      <c r="E670" s="18">
        <v>78.19</v>
      </c>
      <c r="F670" s="18">
        <v>85</v>
      </c>
      <c r="G670" s="18">
        <v>108.73560000000001</v>
      </c>
      <c r="H670" s="18">
        <v>88.180350000000004</v>
      </c>
      <c r="I670" s="8">
        <v>2.5528811086796832E-3</v>
      </c>
      <c r="J670" s="8">
        <v>0.42601478407469839</v>
      </c>
      <c r="K670" s="8">
        <v>0.40631794347103201</v>
      </c>
      <c r="L670" s="8">
        <v>0.29364705882352943</v>
      </c>
      <c r="M670" s="18">
        <v>1.128532667477939</v>
      </c>
    </row>
    <row r="671" spans="1:13" x14ac:dyDescent="0.45">
      <c r="A671" t="s">
        <v>63</v>
      </c>
      <c r="B671" s="18">
        <v>717.84</v>
      </c>
      <c r="C671" s="18">
        <v>765.7</v>
      </c>
      <c r="D671" s="18">
        <v>727.24</v>
      </c>
      <c r="E671" s="18">
        <v>510.45</v>
      </c>
      <c r="F671" s="18">
        <v>595.94000000000005</v>
      </c>
      <c r="G671" s="18">
        <v>753.01869999999997</v>
      </c>
      <c r="H671" s="18">
        <v>668.62620000000015</v>
      </c>
      <c r="I671" s="8">
        <v>-6.2504897479430555E-2</v>
      </c>
      <c r="J671" s="8">
        <v>-1.29255816511743E-2</v>
      </c>
      <c r="K671" s="8">
        <v>0.40628856890978549</v>
      </c>
      <c r="L671" s="8">
        <v>0.20455079370406401</v>
      </c>
      <c r="M671" s="18">
        <v>0.53540888348324467</v>
      </c>
    </row>
    <row r="672" spans="1:13" x14ac:dyDescent="0.45">
      <c r="A672" t="s">
        <v>350</v>
      </c>
      <c r="B672" s="18">
        <v>636.30999999999995</v>
      </c>
      <c r="C672" s="18">
        <v>614.22</v>
      </c>
      <c r="D672" s="18">
        <v>564.38</v>
      </c>
      <c r="E672" s="18">
        <v>452.51</v>
      </c>
      <c r="F672" s="18">
        <v>524.11</v>
      </c>
      <c r="G672" s="18">
        <v>612.70280000000002</v>
      </c>
      <c r="H672" s="18">
        <v>546.94860000000006</v>
      </c>
      <c r="I672" s="8">
        <v>3.5964312461332908E-2</v>
      </c>
      <c r="J672" s="8">
        <v>0.12744959070130049</v>
      </c>
      <c r="K672" s="8">
        <v>0.40617886897527122</v>
      </c>
      <c r="L672" s="8">
        <v>0.21407719753486851</v>
      </c>
      <c r="M672" s="18">
        <v>0.78366996967277314</v>
      </c>
    </row>
    <row r="673" spans="1:13" x14ac:dyDescent="0.45">
      <c r="A673" t="s">
        <v>1739</v>
      </c>
      <c r="B673" s="18">
        <v>11.6014</v>
      </c>
      <c r="C673" s="18">
        <v>11.445</v>
      </c>
      <c r="D673" s="18">
        <v>10.67</v>
      </c>
      <c r="E673" s="18">
        <v>8.26</v>
      </c>
      <c r="F673" s="18">
        <v>9.31</v>
      </c>
      <c r="G673" s="18">
        <v>11.327086</v>
      </c>
      <c r="H673" s="18">
        <v>9.7870065000000004</v>
      </c>
      <c r="I673" s="8">
        <v>1.36653560506772E-2</v>
      </c>
      <c r="J673" s="8">
        <v>8.7291471415182675E-2</v>
      </c>
      <c r="K673" s="8">
        <v>0.40452784503631972</v>
      </c>
      <c r="L673" s="8">
        <v>0.24612244897959171</v>
      </c>
      <c r="M673" s="18">
        <v>0.75160712148177122</v>
      </c>
    </row>
    <row r="674" spans="1:13" x14ac:dyDescent="0.45">
      <c r="A674" t="s">
        <v>1993</v>
      </c>
      <c r="B674" s="18">
        <v>54.08</v>
      </c>
      <c r="C674" s="18">
        <v>51.95</v>
      </c>
      <c r="D674" s="18">
        <v>49.37</v>
      </c>
      <c r="E674" s="18">
        <v>38.51</v>
      </c>
      <c r="F674" s="18">
        <v>51.7</v>
      </c>
      <c r="G674" s="18">
        <v>51.389600000000002</v>
      </c>
      <c r="H674" s="18">
        <v>49.293300000000009</v>
      </c>
      <c r="I674" s="8">
        <v>4.1000962463907609E-2</v>
      </c>
      <c r="J674" s="8">
        <v>9.5402066032003185E-2</v>
      </c>
      <c r="K674" s="8">
        <v>0.40431056868345888</v>
      </c>
      <c r="L674" s="8">
        <v>4.60348162475821E-2</v>
      </c>
      <c r="M674" s="18">
        <v>0.58674841342695183</v>
      </c>
    </row>
    <row r="675" spans="1:13" x14ac:dyDescent="0.45">
      <c r="A675" t="s">
        <v>1442</v>
      </c>
      <c r="B675" s="18">
        <v>7.58</v>
      </c>
      <c r="C675" s="18">
        <v>7.19</v>
      </c>
      <c r="D675" s="18">
        <v>6.94</v>
      </c>
      <c r="E675" s="18">
        <v>5.4</v>
      </c>
      <c r="F675" s="18">
        <v>6.83</v>
      </c>
      <c r="G675" s="18">
        <v>7.250966</v>
      </c>
      <c r="H675" s="18">
        <v>6.6039504999999998</v>
      </c>
      <c r="I675" s="8">
        <v>5.4242002781641041E-2</v>
      </c>
      <c r="J675" s="8">
        <v>9.2219020172910504E-2</v>
      </c>
      <c r="K675" s="8">
        <v>0.40370370370370368</v>
      </c>
      <c r="L675" s="8">
        <v>0.10980966325036599</v>
      </c>
      <c r="M675" s="18">
        <v>0.65997438990862123</v>
      </c>
    </row>
    <row r="676" spans="1:13" x14ac:dyDescent="0.45">
      <c r="A676" t="s">
        <v>178</v>
      </c>
      <c r="B676" s="18">
        <v>173.47</v>
      </c>
      <c r="C676" s="18">
        <v>157.38</v>
      </c>
      <c r="D676" s="18">
        <v>163.66</v>
      </c>
      <c r="E676" s="18">
        <v>123.61</v>
      </c>
      <c r="F676" s="18">
        <v>190.74</v>
      </c>
      <c r="G676" s="18">
        <v>159.43379999999999</v>
      </c>
      <c r="H676" s="18">
        <v>155.06975</v>
      </c>
      <c r="I676" s="8">
        <v>0.1022366247299531</v>
      </c>
      <c r="J676" s="8">
        <v>5.9941341806183601E-2</v>
      </c>
      <c r="K676" s="8">
        <v>0.40336542350942478</v>
      </c>
      <c r="L676" s="8">
        <v>-9.0542099192618242E-2</v>
      </c>
      <c r="M676" s="18">
        <v>0.47500129085294329</v>
      </c>
    </row>
    <row r="677" spans="1:13" x14ac:dyDescent="0.45">
      <c r="A677" t="s">
        <v>1034</v>
      </c>
      <c r="B677" s="18">
        <v>83.05</v>
      </c>
      <c r="C677" s="18">
        <v>80.260000000000005</v>
      </c>
      <c r="D677" s="18">
        <v>71.62</v>
      </c>
      <c r="E677" s="18">
        <v>59.18</v>
      </c>
      <c r="F677" s="18">
        <v>73.7</v>
      </c>
      <c r="G677" s="18">
        <v>78.056399999999996</v>
      </c>
      <c r="H677" s="18">
        <v>70.926699999999997</v>
      </c>
      <c r="I677" s="8">
        <v>3.4762023423872357E-2</v>
      </c>
      <c r="J677" s="8">
        <v>0.15959229265568281</v>
      </c>
      <c r="K677" s="8">
        <v>0.40334572490706311</v>
      </c>
      <c r="L677" s="8">
        <v>0.12686567164179091</v>
      </c>
      <c r="M677" s="18">
        <v>0.72456571262840908</v>
      </c>
    </row>
    <row r="678" spans="1:13" x14ac:dyDescent="0.45">
      <c r="A678" t="s">
        <v>2103</v>
      </c>
      <c r="B678" s="18">
        <v>18.149999999999999</v>
      </c>
      <c r="C678" s="18">
        <v>16.77</v>
      </c>
      <c r="D678" s="18">
        <v>17.899999999999999</v>
      </c>
      <c r="E678" s="18">
        <v>12.94</v>
      </c>
      <c r="F678" s="18">
        <v>27.21</v>
      </c>
      <c r="G678" s="18">
        <v>15.936</v>
      </c>
      <c r="H678" s="18">
        <v>17.89265</v>
      </c>
      <c r="I678" s="8">
        <v>8.2289803220035651E-2</v>
      </c>
      <c r="J678" s="8">
        <v>1.396648044692728E-2</v>
      </c>
      <c r="K678" s="8">
        <v>0.40262751159196292</v>
      </c>
      <c r="L678" s="8">
        <v>-0.33296582138919523</v>
      </c>
      <c r="M678" s="18">
        <v>0.16591797386973059</v>
      </c>
    </row>
    <row r="679" spans="1:13" x14ac:dyDescent="0.45">
      <c r="A679" t="s">
        <v>2360</v>
      </c>
      <c r="B679" s="18">
        <v>114.05</v>
      </c>
      <c r="C679" s="18">
        <v>107</v>
      </c>
      <c r="D679" s="18">
        <v>117.32</v>
      </c>
      <c r="E679" s="18">
        <v>81.34</v>
      </c>
      <c r="F679" s="18">
        <v>67.48</v>
      </c>
      <c r="G679" s="18">
        <v>107.0938</v>
      </c>
      <c r="H679" s="18">
        <v>112.11284999999999</v>
      </c>
      <c r="I679" s="8">
        <v>6.5887850467289732E-2</v>
      </c>
      <c r="J679" s="8">
        <v>-2.787248550971699E-2</v>
      </c>
      <c r="K679" s="8">
        <v>0.40213916892058021</v>
      </c>
      <c r="L679" s="8">
        <v>0.69013040901007683</v>
      </c>
      <c r="M679" s="18">
        <v>1.13028494288823</v>
      </c>
    </row>
    <row r="680" spans="1:13" x14ac:dyDescent="0.45">
      <c r="A680" t="s">
        <v>2470</v>
      </c>
      <c r="B680" s="18">
        <v>159.09</v>
      </c>
      <c r="C680" s="18">
        <v>172.64</v>
      </c>
      <c r="D680" s="18">
        <v>154.19</v>
      </c>
      <c r="E680" s="18">
        <v>113.47</v>
      </c>
      <c r="F680" s="18">
        <v>210</v>
      </c>
      <c r="G680" s="18">
        <v>167.8228</v>
      </c>
      <c r="H680" s="18">
        <v>155.59925000000001</v>
      </c>
      <c r="I680" s="8">
        <v>-7.848702502316951E-2</v>
      </c>
      <c r="J680" s="8">
        <v>3.1778973993125348E-2</v>
      </c>
      <c r="K680" s="8">
        <v>0.40204459328456871</v>
      </c>
      <c r="L680" s="8">
        <v>-0.24242857142857141</v>
      </c>
      <c r="M680" s="18">
        <v>0.11290797082595309</v>
      </c>
    </row>
    <row r="681" spans="1:13" x14ac:dyDescent="0.45">
      <c r="A681" t="s">
        <v>322</v>
      </c>
      <c r="B681" s="18">
        <v>304.02999999999997</v>
      </c>
      <c r="C681" s="18">
        <v>297.85000000000002</v>
      </c>
      <c r="D681" s="18">
        <v>288.19</v>
      </c>
      <c r="E681" s="18">
        <v>216.87</v>
      </c>
      <c r="F681" s="18">
        <v>211.22</v>
      </c>
      <c r="G681" s="18">
        <v>301.20679999999999</v>
      </c>
      <c r="H681" s="18">
        <v>269.58195000000001</v>
      </c>
      <c r="I681" s="8">
        <v>2.0748699009568439E-2</v>
      </c>
      <c r="J681" s="8">
        <v>5.4963739199833439E-2</v>
      </c>
      <c r="K681" s="8">
        <v>0.40189975561396207</v>
      </c>
      <c r="L681" s="8">
        <v>0.43939967806078961</v>
      </c>
      <c r="M681" s="18">
        <v>0.91701187188415356</v>
      </c>
    </row>
    <row r="682" spans="1:13" x14ac:dyDescent="0.45">
      <c r="A682" t="s">
        <v>692</v>
      </c>
      <c r="B682" s="18">
        <v>105.94</v>
      </c>
      <c r="C682" s="18">
        <v>113.63</v>
      </c>
      <c r="D682" s="18">
        <v>106.29</v>
      </c>
      <c r="E682" s="18">
        <v>75.58</v>
      </c>
      <c r="F682" s="18">
        <v>82.5</v>
      </c>
      <c r="G682" s="18">
        <v>112.3484</v>
      </c>
      <c r="H682" s="18">
        <v>96.149349999999998</v>
      </c>
      <c r="I682" s="8">
        <v>-6.7675789844231282E-2</v>
      </c>
      <c r="J682" s="8">
        <v>-3.292877975350494E-3</v>
      </c>
      <c r="K682" s="8">
        <v>0.40169356972744108</v>
      </c>
      <c r="L682" s="8">
        <v>0.284121212121212</v>
      </c>
      <c r="M682" s="18">
        <v>0.6148461140290713</v>
      </c>
    </row>
    <row r="683" spans="1:13" x14ac:dyDescent="0.45">
      <c r="A683" t="s">
        <v>1280</v>
      </c>
      <c r="B683" s="18">
        <v>63.5</v>
      </c>
      <c r="C683" s="18">
        <v>60.5</v>
      </c>
      <c r="D683" s="18">
        <v>56.85</v>
      </c>
      <c r="E683" s="18">
        <v>45.31</v>
      </c>
      <c r="F683" s="18">
        <v>53.2</v>
      </c>
      <c r="G683" s="18">
        <v>60.181652000000007</v>
      </c>
      <c r="H683" s="18">
        <v>54.391508999999999</v>
      </c>
      <c r="I683" s="8">
        <v>4.9586776859504189E-2</v>
      </c>
      <c r="J683" s="8">
        <v>0.11697449428320141</v>
      </c>
      <c r="K683" s="8">
        <v>0.40145663209004628</v>
      </c>
      <c r="L683" s="8">
        <v>0.1936090225563909</v>
      </c>
      <c r="M683" s="18">
        <v>0.76162692578914282</v>
      </c>
    </row>
    <row r="684" spans="1:13" x14ac:dyDescent="0.45">
      <c r="A684" t="s">
        <v>121</v>
      </c>
      <c r="B684" s="18">
        <v>323.82</v>
      </c>
      <c r="C684" s="18">
        <v>324.33999999999997</v>
      </c>
      <c r="D684" s="18">
        <v>325.24</v>
      </c>
      <c r="E684" s="18">
        <v>231.39</v>
      </c>
      <c r="F684" s="18">
        <v>275.97000000000003</v>
      </c>
      <c r="G684" s="18">
        <v>320.60680000000002</v>
      </c>
      <c r="H684" s="18">
        <v>299.53935000000001</v>
      </c>
      <c r="I684" s="8">
        <v>-1.6032558426342101E-3</v>
      </c>
      <c r="J684" s="8">
        <v>-4.3660066412496423E-3</v>
      </c>
      <c r="K684" s="8">
        <v>0.39945546479968891</v>
      </c>
      <c r="L684" s="8">
        <v>0.17338841178388931</v>
      </c>
      <c r="M684" s="18">
        <v>0.56687461409969431</v>
      </c>
    </row>
    <row r="685" spans="1:13" x14ac:dyDescent="0.45">
      <c r="A685" t="s">
        <v>421</v>
      </c>
      <c r="B685" s="18">
        <v>168.57</v>
      </c>
      <c r="C685" s="18">
        <v>151.75</v>
      </c>
      <c r="D685" s="18">
        <v>146.4</v>
      </c>
      <c r="E685" s="18">
        <v>120.46</v>
      </c>
      <c r="F685" s="18">
        <v>124.91</v>
      </c>
      <c r="G685" s="18">
        <v>158.8596</v>
      </c>
      <c r="H685" s="18">
        <v>138.69929999999999</v>
      </c>
      <c r="I685" s="8">
        <v>0.11084019769357489</v>
      </c>
      <c r="J685" s="8">
        <v>0.1514344262295082</v>
      </c>
      <c r="K685" s="8">
        <v>0.39938568819525161</v>
      </c>
      <c r="L685" s="8">
        <v>0.34953166279721398</v>
      </c>
      <c r="M685" s="18">
        <v>1.0111919749155489</v>
      </c>
    </row>
    <row r="686" spans="1:13" x14ac:dyDescent="0.45">
      <c r="A686" t="s">
        <v>550</v>
      </c>
      <c r="B686" s="18">
        <v>7.71</v>
      </c>
      <c r="C686" s="18">
        <v>7.61</v>
      </c>
      <c r="D686" s="18">
        <v>7.1</v>
      </c>
      <c r="E686" s="18">
        <v>5.51</v>
      </c>
      <c r="F686" s="18">
        <v>6.3</v>
      </c>
      <c r="G686" s="18">
        <v>7.6448</v>
      </c>
      <c r="H686" s="18">
        <v>6.8489499999999994</v>
      </c>
      <c r="I686" s="8">
        <v>1.314060446780552E-2</v>
      </c>
      <c r="J686" s="8">
        <v>8.5915492957746586E-2</v>
      </c>
      <c r="K686" s="8">
        <v>0.39927404718693288</v>
      </c>
      <c r="L686" s="8">
        <v>0.2238095238095239</v>
      </c>
      <c r="M686" s="18">
        <v>0.72213966842200894</v>
      </c>
    </row>
    <row r="687" spans="1:13" x14ac:dyDescent="0.45">
      <c r="A687" t="s">
        <v>381</v>
      </c>
      <c r="B687" s="18">
        <v>234.32</v>
      </c>
      <c r="C687" s="18">
        <v>222.11</v>
      </c>
      <c r="D687" s="18">
        <v>223.17</v>
      </c>
      <c r="E687" s="18">
        <v>167.51</v>
      </c>
      <c r="F687" s="18">
        <v>252</v>
      </c>
      <c r="G687" s="18">
        <v>222.304</v>
      </c>
      <c r="H687" s="18">
        <v>211.10335000000001</v>
      </c>
      <c r="I687" s="8">
        <v>5.4972761244428403E-2</v>
      </c>
      <c r="J687" s="8">
        <v>4.9961912443428742E-2</v>
      </c>
      <c r="K687" s="8">
        <v>0.39884186018745149</v>
      </c>
      <c r="L687" s="8">
        <v>-7.0158730158730198E-2</v>
      </c>
      <c r="M687" s="18">
        <v>0.43361780371657838</v>
      </c>
    </row>
    <row r="688" spans="1:13" x14ac:dyDescent="0.45">
      <c r="A688" t="s">
        <v>1930</v>
      </c>
      <c r="B688" s="18">
        <v>8.56</v>
      </c>
      <c r="C688" s="18">
        <v>8.57</v>
      </c>
      <c r="D688" s="18">
        <v>7.67</v>
      </c>
      <c r="E688" s="18">
        <v>6.12</v>
      </c>
      <c r="F688" s="18">
        <v>9.7899999999999991</v>
      </c>
      <c r="G688" s="18">
        <v>8.3474000000000004</v>
      </c>
      <c r="H688" s="18">
        <v>7.7060500000000003</v>
      </c>
      <c r="I688" s="8">
        <v>-1.166861143523934E-3</v>
      </c>
      <c r="J688" s="8">
        <v>0.1160365058670145</v>
      </c>
      <c r="K688" s="8">
        <v>0.39869281045751648</v>
      </c>
      <c r="L688" s="8">
        <v>-0.12563840653728289</v>
      </c>
      <c r="M688" s="18">
        <v>0.38792404864372421</v>
      </c>
    </row>
    <row r="689" spans="1:13" x14ac:dyDescent="0.45">
      <c r="A689" t="s">
        <v>1412</v>
      </c>
      <c r="B689" s="18">
        <v>123.54</v>
      </c>
      <c r="C689" s="18">
        <v>147.24</v>
      </c>
      <c r="D689" s="18">
        <v>121.84</v>
      </c>
      <c r="E689" s="18">
        <v>88.34</v>
      </c>
      <c r="F689" s="18">
        <v>197.88</v>
      </c>
      <c r="G689" s="18">
        <v>139.53039999999999</v>
      </c>
      <c r="H689" s="18">
        <v>118.3964</v>
      </c>
      <c r="I689" s="8">
        <v>-0.16096169519152401</v>
      </c>
      <c r="J689" s="8">
        <v>1.395272488509525E-2</v>
      </c>
      <c r="K689" s="8">
        <v>0.39846049354765678</v>
      </c>
      <c r="L689" s="8">
        <v>-0.37568223165554882</v>
      </c>
      <c r="M689" s="18">
        <v>-0.1242307084143208</v>
      </c>
    </row>
    <row r="690" spans="1:13" x14ac:dyDescent="0.45">
      <c r="A690" t="s">
        <v>2096</v>
      </c>
      <c r="B690" s="18">
        <v>27.84</v>
      </c>
      <c r="C690" s="18">
        <v>25.66</v>
      </c>
      <c r="D690" s="18">
        <v>23.38</v>
      </c>
      <c r="E690" s="18">
        <v>19.91</v>
      </c>
      <c r="F690" s="18">
        <v>24.38</v>
      </c>
      <c r="G690" s="18">
        <v>24.8674</v>
      </c>
      <c r="H690" s="18">
        <v>24.038350000000001</v>
      </c>
      <c r="I690" s="8">
        <v>8.4957131722525281E-2</v>
      </c>
      <c r="J690" s="8">
        <v>0.19076133447390939</v>
      </c>
      <c r="K690" s="8">
        <v>0.39829231541938709</v>
      </c>
      <c r="L690" s="8">
        <v>0.14191960623461861</v>
      </c>
      <c r="M690" s="18">
        <v>0.81593038785044048</v>
      </c>
    </row>
    <row r="691" spans="1:13" x14ac:dyDescent="0.45">
      <c r="A691" t="s">
        <v>2062</v>
      </c>
      <c r="B691" s="18">
        <v>13.1</v>
      </c>
      <c r="C691" s="18">
        <v>12.81</v>
      </c>
      <c r="D691" s="18">
        <v>12.37</v>
      </c>
      <c r="E691" s="18">
        <v>9.3699999999999992</v>
      </c>
      <c r="F691" s="18">
        <v>11.57</v>
      </c>
      <c r="G691" s="18">
        <v>12.682962</v>
      </c>
      <c r="H691" s="18">
        <v>11.509662595</v>
      </c>
      <c r="I691" s="8">
        <v>2.2638563622170201E-2</v>
      </c>
      <c r="J691" s="8">
        <v>5.901374292643502E-2</v>
      </c>
      <c r="K691" s="8">
        <v>0.3980789754535754</v>
      </c>
      <c r="L691" s="8">
        <v>0.13223854796888501</v>
      </c>
      <c r="M691" s="18">
        <v>0.61196982997106564</v>
      </c>
    </row>
    <row r="692" spans="1:13" x14ac:dyDescent="0.45">
      <c r="A692" t="s">
        <v>564</v>
      </c>
      <c r="B692" s="18">
        <v>34.25</v>
      </c>
      <c r="C692" s="18">
        <v>32.520000000000003</v>
      </c>
      <c r="D692" s="18">
        <v>26.11</v>
      </c>
      <c r="E692" s="18">
        <v>24.5</v>
      </c>
      <c r="F692" s="18">
        <v>19.59</v>
      </c>
      <c r="G692" s="18">
        <v>30.238800000000001</v>
      </c>
      <c r="H692" s="18">
        <v>25.96285</v>
      </c>
      <c r="I692" s="8">
        <v>5.3198031980319797E-2</v>
      </c>
      <c r="J692" s="8">
        <v>0.31175794714668709</v>
      </c>
      <c r="K692" s="8">
        <v>0.3979591836734695</v>
      </c>
      <c r="L692" s="8">
        <v>0.74834099030117418</v>
      </c>
      <c r="M692" s="18">
        <v>1.5112561531016511</v>
      </c>
    </row>
    <row r="693" spans="1:13" x14ac:dyDescent="0.45">
      <c r="A693" t="s">
        <v>1842</v>
      </c>
      <c r="B693" s="18">
        <v>14.77</v>
      </c>
      <c r="C693" s="18">
        <v>14.24</v>
      </c>
      <c r="D693" s="18">
        <v>13.62</v>
      </c>
      <c r="E693" s="18">
        <v>10.57</v>
      </c>
      <c r="F693" s="18">
        <v>9.2100000000000009</v>
      </c>
      <c r="G693" s="18">
        <v>14.392200000000001</v>
      </c>
      <c r="H693" s="18">
        <v>12.81915</v>
      </c>
      <c r="I693" s="8">
        <v>3.7219101123595388E-2</v>
      </c>
      <c r="J693" s="8">
        <v>8.4434654919236518E-2</v>
      </c>
      <c r="K693" s="8">
        <v>0.39735099337748347</v>
      </c>
      <c r="L693" s="8">
        <v>0.60369163952225824</v>
      </c>
      <c r="M693" s="18">
        <v>1.1226963889425741</v>
      </c>
    </row>
    <row r="694" spans="1:13" x14ac:dyDescent="0.45">
      <c r="A694" t="s">
        <v>466</v>
      </c>
      <c r="B694" s="18">
        <v>194.15</v>
      </c>
      <c r="C694" s="18">
        <v>196.43</v>
      </c>
      <c r="D694" s="18">
        <v>172.89</v>
      </c>
      <c r="E694" s="18">
        <v>138.96</v>
      </c>
      <c r="F694" s="18">
        <v>127.14</v>
      </c>
      <c r="G694" s="18">
        <v>189.04400000000001</v>
      </c>
      <c r="H694" s="18">
        <v>165.77255</v>
      </c>
      <c r="I694" s="8">
        <v>-1.160718831135776E-2</v>
      </c>
      <c r="J694" s="8">
        <v>0.12296836138585231</v>
      </c>
      <c r="K694" s="8">
        <v>0.39716465169833048</v>
      </c>
      <c r="L694" s="8">
        <v>0.52705678779298415</v>
      </c>
      <c r="M694" s="18">
        <v>1.035582612565809</v>
      </c>
    </row>
    <row r="695" spans="1:13" x14ac:dyDescent="0.45">
      <c r="A695" t="s">
        <v>1248</v>
      </c>
      <c r="B695" s="18">
        <v>16.149999999999999</v>
      </c>
      <c r="C695" s="18">
        <v>16.36</v>
      </c>
      <c r="D695" s="18">
        <v>16</v>
      </c>
      <c r="E695" s="18">
        <v>11.56</v>
      </c>
      <c r="F695" s="18">
        <v>13.84</v>
      </c>
      <c r="G695" s="18">
        <v>16.022200000000002</v>
      </c>
      <c r="H695" s="18">
        <v>14.76205</v>
      </c>
      <c r="I695" s="8">
        <v>-1.2836185819070979E-2</v>
      </c>
      <c r="J695" s="8">
        <v>9.3749999999999112E-3</v>
      </c>
      <c r="K695" s="8">
        <v>0.39705882352941169</v>
      </c>
      <c r="L695" s="8">
        <v>0.16690751445086691</v>
      </c>
      <c r="M695" s="18">
        <v>0.56050515216120755</v>
      </c>
    </row>
    <row r="696" spans="1:13" x14ac:dyDescent="0.45">
      <c r="A696" t="s">
        <v>1942</v>
      </c>
      <c r="B696" s="18">
        <v>100.34</v>
      </c>
      <c r="C696" s="18">
        <v>104.37</v>
      </c>
      <c r="D696" s="18">
        <v>90.43</v>
      </c>
      <c r="E696" s="18">
        <v>71.83</v>
      </c>
      <c r="F696" s="18">
        <v>78.650000000000006</v>
      </c>
      <c r="G696" s="18">
        <v>102.2452</v>
      </c>
      <c r="H696" s="18">
        <v>89.327250000000006</v>
      </c>
      <c r="I696" s="8">
        <v>-3.8612628149851447E-2</v>
      </c>
      <c r="J696" s="8">
        <v>0.10958752626340811</v>
      </c>
      <c r="K696" s="8">
        <v>0.39690936934428511</v>
      </c>
      <c r="L696" s="8">
        <v>0.2757787666878575</v>
      </c>
      <c r="M696" s="18">
        <v>0.74366303414569923</v>
      </c>
    </row>
    <row r="697" spans="1:13" x14ac:dyDescent="0.45">
      <c r="A697" t="s">
        <v>1226</v>
      </c>
      <c r="B697" s="18">
        <v>23.06</v>
      </c>
      <c r="C697" s="18">
        <v>22.81</v>
      </c>
      <c r="D697" s="18">
        <v>22.1</v>
      </c>
      <c r="E697" s="18">
        <v>16.510000000000002</v>
      </c>
      <c r="F697" s="18">
        <v>15.57</v>
      </c>
      <c r="G697" s="18">
        <v>22.344000000000001</v>
      </c>
      <c r="H697" s="18">
        <v>20.679200000000002</v>
      </c>
      <c r="I697" s="8">
        <v>1.0960105217010069E-2</v>
      </c>
      <c r="J697" s="8">
        <v>4.3438914027149167E-2</v>
      </c>
      <c r="K697" s="8">
        <v>0.39672925499697143</v>
      </c>
      <c r="L697" s="8">
        <v>0.48105330764290288</v>
      </c>
      <c r="M697" s="18">
        <v>0.93218158188403355</v>
      </c>
    </row>
    <row r="698" spans="1:13" x14ac:dyDescent="0.45">
      <c r="A698" t="s">
        <v>2196</v>
      </c>
      <c r="B698" s="18">
        <v>91.66</v>
      </c>
      <c r="C698" s="18">
        <v>115.28</v>
      </c>
      <c r="D698" s="18">
        <v>111.19</v>
      </c>
      <c r="E698" s="18">
        <v>65.64</v>
      </c>
      <c r="F698" s="18">
        <v>109.72</v>
      </c>
      <c r="G698" s="18">
        <v>112.8026</v>
      </c>
      <c r="H698" s="18">
        <v>100.6407</v>
      </c>
      <c r="I698" s="8">
        <v>-0.20489243580846639</v>
      </c>
      <c r="J698" s="8">
        <v>-0.17564529184279171</v>
      </c>
      <c r="K698" s="8">
        <v>0.39640463132236442</v>
      </c>
      <c r="L698" s="8">
        <v>-0.16460080204156041</v>
      </c>
      <c r="M698" s="18">
        <v>-0.148733898370454</v>
      </c>
    </row>
    <row r="699" spans="1:13" x14ac:dyDescent="0.45">
      <c r="A699" t="s">
        <v>1905</v>
      </c>
      <c r="B699" s="18">
        <v>13</v>
      </c>
      <c r="C699" s="18">
        <v>8.07</v>
      </c>
      <c r="D699" s="18">
        <v>12.79</v>
      </c>
      <c r="E699" s="18">
        <v>9.31</v>
      </c>
      <c r="F699" s="18">
        <v>38.5</v>
      </c>
      <c r="G699" s="18">
        <v>11.7324</v>
      </c>
      <c r="H699" s="18">
        <v>11.84815</v>
      </c>
      <c r="I699" s="8">
        <v>0.61090458488228006</v>
      </c>
      <c r="J699" s="8">
        <v>1.6419077404222101E-2</v>
      </c>
      <c r="K699" s="8">
        <v>0.39634801288936622</v>
      </c>
      <c r="L699" s="8">
        <v>-0.66233766233766234</v>
      </c>
      <c r="M699" s="18">
        <v>0.36133401283820599</v>
      </c>
    </row>
    <row r="700" spans="1:13" x14ac:dyDescent="0.45">
      <c r="A700" t="s">
        <v>2212</v>
      </c>
      <c r="B700" s="18">
        <v>29.75</v>
      </c>
      <c r="C700" s="18">
        <v>28.71</v>
      </c>
      <c r="D700" s="18">
        <v>24.65</v>
      </c>
      <c r="E700" s="18">
        <v>21.32</v>
      </c>
      <c r="F700" s="18">
        <v>18.97</v>
      </c>
      <c r="G700" s="18">
        <v>28.035799999999998</v>
      </c>
      <c r="H700" s="18">
        <v>25.016249999999999</v>
      </c>
      <c r="I700" s="8">
        <v>3.6224312086380987E-2</v>
      </c>
      <c r="J700" s="8">
        <v>0.2068965517241379</v>
      </c>
      <c r="K700" s="8">
        <v>0.39540337711069418</v>
      </c>
      <c r="L700" s="8">
        <v>0.56826568265682664</v>
      </c>
      <c r="M700" s="18">
        <v>1.2067899235780399</v>
      </c>
    </row>
    <row r="701" spans="1:13" x14ac:dyDescent="0.45">
      <c r="A701" t="s">
        <v>2372</v>
      </c>
      <c r="B701" s="18">
        <v>93.01</v>
      </c>
      <c r="C701" s="18">
        <v>85.9</v>
      </c>
      <c r="D701" s="18">
        <v>89.19</v>
      </c>
      <c r="E701" s="18">
        <v>66.66</v>
      </c>
      <c r="F701" s="18">
        <v>68.81</v>
      </c>
      <c r="G701" s="18">
        <v>90.991200000000006</v>
      </c>
      <c r="H701" s="18">
        <v>83.024850000000001</v>
      </c>
      <c r="I701" s="8">
        <v>8.2770663562281799E-2</v>
      </c>
      <c r="J701" s="8">
        <v>4.2829913667451702E-2</v>
      </c>
      <c r="K701" s="8">
        <v>0.39528952895289549</v>
      </c>
      <c r="L701" s="8">
        <v>0.35169306786804261</v>
      </c>
      <c r="M701" s="18">
        <v>0.87258317405067154</v>
      </c>
    </row>
    <row r="702" spans="1:13" x14ac:dyDescent="0.45">
      <c r="A702" t="s">
        <v>1811</v>
      </c>
      <c r="B702" s="18">
        <v>115.07</v>
      </c>
      <c r="C702" s="18">
        <v>108.82</v>
      </c>
      <c r="D702" s="18">
        <v>104.86</v>
      </c>
      <c r="E702" s="18">
        <v>82.48</v>
      </c>
      <c r="F702" s="18">
        <v>71.900000000000006</v>
      </c>
      <c r="G702" s="18">
        <v>107.9286</v>
      </c>
      <c r="H702" s="18">
        <v>96.968799999999987</v>
      </c>
      <c r="I702" s="8">
        <v>5.7434295166329807E-2</v>
      </c>
      <c r="J702" s="8">
        <v>9.7367919130268765E-2</v>
      </c>
      <c r="K702" s="8">
        <v>0.39512609117361758</v>
      </c>
      <c r="L702" s="8">
        <v>0.60041724617524328</v>
      </c>
      <c r="M702" s="18">
        <v>1.150345551645459</v>
      </c>
    </row>
    <row r="703" spans="1:13" x14ac:dyDescent="0.45">
      <c r="A703" t="s">
        <v>69</v>
      </c>
      <c r="B703" s="18">
        <v>1214.25</v>
      </c>
      <c r="C703" s="18">
        <v>1263.25</v>
      </c>
      <c r="D703" s="18">
        <v>1250.5899999999999</v>
      </c>
      <c r="E703" s="18">
        <v>870.4</v>
      </c>
      <c r="F703" s="18">
        <v>719.7</v>
      </c>
      <c r="G703" s="18">
        <v>1207.7003999999999</v>
      </c>
      <c r="H703" s="18">
        <v>1098.051025</v>
      </c>
      <c r="I703" s="8">
        <v>-3.878883831387292E-2</v>
      </c>
      <c r="J703" s="8">
        <v>-2.9058284489720809E-2</v>
      </c>
      <c r="K703" s="8">
        <v>0.39504825367647062</v>
      </c>
      <c r="L703" s="8">
        <v>0.68716131721550644</v>
      </c>
      <c r="M703" s="18">
        <v>1.0143624480883831</v>
      </c>
    </row>
    <row r="704" spans="1:13" x14ac:dyDescent="0.45">
      <c r="A704" t="s">
        <v>2498</v>
      </c>
      <c r="B704" s="18">
        <v>31.5</v>
      </c>
      <c r="C704" s="18">
        <v>30.95</v>
      </c>
      <c r="D704" s="18">
        <v>32.58</v>
      </c>
      <c r="E704" s="18">
        <v>22.58</v>
      </c>
      <c r="F704" s="18">
        <v>33.43</v>
      </c>
      <c r="G704" s="18">
        <v>31.8628</v>
      </c>
      <c r="H704" s="18">
        <v>28.882449999999999</v>
      </c>
      <c r="I704" s="8">
        <v>1.77705977382876E-2</v>
      </c>
      <c r="J704" s="8">
        <v>-3.3149171270718147E-2</v>
      </c>
      <c r="K704" s="8">
        <v>0.39503985828166521</v>
      </c>
      <c r="L704" s="8">
        <v>-5.7732575530960228E-2</v>
      </c>
      <c r="M704" s="18">
        <v>0.32192870921827438</v>
      </c>
    </row>
    <row r="705" spans="1:13" x14ac:dyDescent="0.45">
      <c r="A705" t="s">
        <v>2401</v>
      </c>
      <c r="B705" s="18">
        <v>30</v>
      </c>
      <c r="C705" s="18">
        <v>24.82</v>
      </c>
      <c r="D705" s="18">
        <v>24.31</v>
      </c>
      <c r="E705" s="18">
        <v>21.51</v>
      </c>
      <c r="F705" s="18">
        <v>21</v>
      </c>
      <c r="G705" s="18">
        <v>25.052800000000001</v>
      </c>
      <c r="H705" s="18">
        <v>23.631</v>
      </c>
      <c r="I705" s="8">
        <v>0.20870265914585009</v>
      </c>
      <c r="J705" s="8">
        <v>0.23406005758946941</v>
      </c>
      <c r="K705" s="8">
        <v>0.39470013947001381</v>
      </c>
      <c r="L705" s="8">
        <v>0.4285714285714286</v>
      </c>
      <c r="M705" s="18">
        <v>1.2660342847767621</v>
      </c>
    </row>
    <row r="706" spans="1:13" x14ac:dyDescent="0.45">
      <c r="A706" t="s">
        <v>1618</v>
      </c>
      <c r="B706" s="18">
        <v>4.63</v>
      </c>
      <c r="C706" s="18">
        <v>4.45</v>
      </c>
      <c r="D706" s="18">
        <v>4.16</v>
      </c>
      <c r="E706" s="18">
        <v>3.32</v>
      </c>
      <c r="F706" s="18">
        <v>3.09</v>
      </c>
      <c r="G706" s="18">
        <v>4.4691999999999998</v>
      </c>
      <c r="H706" s="18">
        <v>3.8685</v>
      </c>
      <c r="I706" s="8">
        <v>4.0449438202247112E-2</v>
      </c>
      <c r="J706" s="8">
        <v>0.1129807692307692</v>
      </c>
      <c r="K706" s="8">
        <v>0.39457831325301213</v>
      </c>
      <c r="L706" s="8">
        <v>0.4983818770226538</v>
      </c>
      <c r="M706" s="18">
        <v>1.0463903977086819</v>
      </c>
    </row>
    <row r="707" spans="1:13" x14ac:dyDescent="0.45">
      <c r="A707" t="s">
        <v>843</v>
      </c>
      <c r="B707" s="18">
        <v>23.121500000000001</v>
      </c>
      <c r="C707" s="18">
        <v>22.270099999999999</v>
      </c>
      <c r="D707" s="18">
        <v>16.078700000000001</v>
      </c>
      <c r="E707" s="18">
        <v>16.579999999999998</v>
      </c>
      <c r="F707" s="18">
        <v>21.65</v>
      </c>
      <c r="G707" s="18">
        <v>20.81588</v>
      </c>
      <c r="H707" s="18">
        <v>18.178431499999999</v>
      </c>
      <c r="I707" s="8">
        <v>3.8230632103133821E-2</v>
      </c>
      <c r="J707" s="8">
        <v>0.43802048673089228</v>
      </c>
      <c r="K707" s="8">
        <v>0.39454161640530772</v>
      </c>
      <c r="L707" s="8">
        <v>6.7967667436489743E-2</v>
      </c>
      <c r="M707" s="18">
        <v>0.93876040267582361</v>
      </c>
    </row>
    <row r="708" spans="1:13" x14ac:dyDescent="0.45">
      <c r="A708" t="s">
        <v>2511</v>
      </c>
      <c r="B708" s="18">
        <v>11.1</v>
      </c>
      <c r="C708" s="18">
        <v>9.9</v>
      </c>
      <c r="D708" s="18">
        <v>9.42</v>
      </c>
      <c r="E708" s="18">
        <v>7.96</v>
      </c>
      <c r="F708" s="18"/>
      <c r="G708" s="18">
        <v>10.021599999999999</v>
      </c>
      <c r="H708" s="18"/>
      <c r="I708" s="8">
        <v>0.1212121212121211</v>
      </c>
      <c r="J708" s="8">
        <v>0.17834394904458589</v>
      </c>
      <c r="K708" s="8">
        <v>0.3944723618090451</v>
      </c>
      <c r="L708" s="8"/>
      <c r="M708" s="18">
        <v>0.69402843206575215</v>
      </c>
    </row>
    <row r="709" spans="1:13" x14ac:dyDescent="0.45">
      <c r="A709" t="s">
        <v>1840</v>
      </c>
      <c r="B709" s="18">
        <v>20.58</v>
      </c>
      <c r="C709" s="18">
        <v>20.81</v>
      </c>
      <c r="D709" s="18">
        <v>20.72</v>
      </c>
      <c r="E709" s="18">
        <v>14.76</v>
      </c>
      <c r="F709" s="18">
        <v>18.829999999999998</v>
      </c>
      <c r="G709" s="18">
        <v>20.6982</v>
      </c>
      <c r="H709" s="18">
        <v>19.174399999999999</v>
      </c>
      <c r="I709" s="8">
        <v>-1.10523786641038E-2</v>
      </c>
      <c r="J709" s="8">
        <v>-6.7567567567567988E-3</v>
      </c>
      <c r="K709" s="8">
        <v>0.39430894308943087</v>
      </c>
      <c r="L709" s="8">
        <v>9.2936802973977661E-2</v>
      </c>
      <c r="M709" s="18">
        <v>0.46943661064254788</v>
      </c>
    </row>
    <row r="710" spans="1:13" x14ac:dyDescent="0.45">
      <c r="A710" t="s">
        <v>753</v>
      </c>
      <c r="B710" s="18">
        <v>56.06</v>
      </c>
      <c r="C710" s="18">
        <v>53.15</v>
      </c>
      <c r="D710" s="18">
        <v>51.51</v>
      </c>
      <c r="E710" s="18">
        <v>40.22</v>
      </c>
      <c r="F710" s="18">
        <v>60.57</v>
      </c>
      <c r="G710" s="18">
        <v>54.095799999999997</v>
      </c>
      <c r="H710" s="18">
        <v>50.501300000000001</v>
      </c>
      <c r="I710" s="8">
        <v>5.4750705550329348E-2</v>
      </c>
      <c r="J710" s="8">
        <v>8.8332362648029683E-2</v>
      </c>
      <c r="K710" s="8">
        <v>0.39383391347588281</v>
      </c>
      <c r="L710" s="8">
        <v>-7.4459303285454803E-2</v>
      </c>
      <c r="M710" s="18">
        <v>0.46245767838878699</v>
      </c>
    </row>
    <row r="711" spans="1:13" x14ac:dyDescent="0.45">
      <c r="A711" t="s">
        <v>2013</v>
      </c>
      <c r="B711" s="18">
        <v>84.28</v>
      </c>
      <c r="C711" s="18">
        <v>82.33</v>
      </c>
      <c r="D711" s="18">
        <v>74.3</v>
      </c>
      <c r="E711" s="18">
        <v>60.5</v>
      </c>
      <c r="F711" s="18">
        <v>97.9</v>
      </c>
      <c r="G711" s="18">
        <v>81.123000000000005</v>
      </c>
      <c r="H711" s="18">
        <v>78.664299999999997</v>
      </c>
      <c r="I711" s="8">
        <v>2.3685169440058381E-2</v>
      </c>
      <c r="J711" s="8">
        <v>0.1343203230148049</v>
      </c>
      <c r="K711" s="8">
        <v>0.39305785123966941</v>
      </c>
      <c r="L711" s="8">
        <v>-0.13912155260469869</v>
      </c>
      <c r="M711" s="18">
        <v>0.41194179108983398</v>
      </c>
    </row>
    <row r="712" spans="1:13" x14ac:dyDescent="0.45">
      <c r="A712" t="s">
        <v>541</v>
      </c>
      <c r="B712" s="18">
        <v>24.954999999999998</v>
      </c>
      <c r="C712" s="18">
        <v>23.63</v>
      </c>
      <c r="D712" s="18">
        <v>22.86</v>
      </c>
      <c r="E712" s="18">
        <v>17.920000000000002</v>
      </c>
      <c r="F712" s="18">
        <v>21.295000000000002</v>
      </c>
      <c r="G712" s="18">
        <v>23.385300000000001</v>
      </c>
      <c r="H712" s="18">
        <v>22.0222485</v>
      </c>
      <c r="I712" s="8">
        <v>5.6072788827761233E-2</v>
      </c>
      <c r="J712" s="8">
        <v>9.1644794400699947E-2</v>
      </c>
      <c r="K712" s="8">
        <v>0.39257812499999978</v>
      </c>
      <c r="L712" s="8">
        <v>0.17187133129842661</v>
      </c>
      <c r="M712" s="18">
        <v>0.71216703952688754</v>
      </c>
    </row>
    <row r="713" spans="1:13" x14ac:dyDescent="0.45">
      <c r="A713" t="s">
        <v>1647</v>
      </c>
      <c r="B713" s="18">
        <v>7.45</v>
      </c>
      <c r="C713" s="18">
        <v>7.4</v>
      </c>
      <c r="D713" s="18">
        <v>7.7</v>
      </c>
      <c r="E713" s="18">
        <v>5.35</v>
      </c>
      <c r="F713" s="18">
        <v>11.08</v>
      </c>
      <c r="G713" s="18">
        <v>7.3521999999999998</v>
      </c>
      <c r="H713" s="18">
        <v>8.3302999999999994</v>
      </c>
      <c r="I713" s="8">
        <v>6.7567567567567988E-3</v>
      </c>
      <c r="J713" s="8">
        <v>-3.2467532467532423E-2</v>
      </c>
      <c r="K713" s="8">
        <v>0.39252336448598141</v>
      </c>
      <c r="L713" s="8">
        <v>-0.32761732851985559</v>
      </c>
      <c r="M713" s="18">
        <v>3.9195260255350139E-2</v>
      </c>
    </row>
    <row r="714" spans="1:13" x14ac:dyDescent="0.45">
      <c r="A714" t="s">
        <v>1368</v>
      </c>
      <c r="B714" s="18">
        <v>145.08000000000001</v>
      </c>
      <c r="C714" s="18">
        <v>144.25</v>
      </c>
      <c r="D714" s="18">
        <v>152.25</v>
      </c>
      <c r="E714" s="18">
        <v>104.27</v>
      </c>
      <c r="F714" s="18">
        <v>153.69</v>
      </c>
      <c r="G714" s="18">
        <v>141.98159999999999</v>
      </c>
      <c r="H714" s="18">
        <v>138.42965000000001</v>
      </c>
      <c r="I714" s="8">
        <v>5.7538994800694354E-3</v>
      </c>
      <c r="J714" s="8">
        <v>-4.709359605911323E-2</v>
      </c>
      <c r="K714" s="8">
        <v>0.39138774335858839</v>
      </c>
      <c r="L714" s="8">
        <v>-5.602186219012284E-2</v>
      </c>
      <c r="M714" s="18">
        <v>0.29402618458942181</v>
      </c>
    </row>
    <row r="715" spans="1:13" x14ac:dyDescent="0.45">
      <c r="A715" t="s">
        <v>166</v>
      </c>
      <c r="B715" s="18">
        <v>211.92</v>
      </c>
      <c r="C715" s="18">
        <v>222.48</v>
      </c>
      <c r="D715" s="18">
        <v>220.74</v>
      </c>
      <c r="E715" s="18">
        <v>152.35</v>
      </c>
      <c r="F715" s="18">
        <v>153.44</v>
      </c>
      <c r="G715" s="18">
        <v>218.976</v>
      </c>
      <c r="H715" s="18">
        <v>198.14949999999999</v>
      </c>
      <c r="I715" s="8">
        <v>-4.7464940668824229E-2</v>
      </c>
      <c r="J715" s="8">
        <v>-3.9956509921174277E-2</v>
      </c>
      <c r="K715" s="8">
        <v>0.39100754840827051</v>
      </c>
      <c r="L715" s="8">
        <v>0.38112617309697588</v>
      </c>
      <c r="M715" s="18">
        <v>0.68471227091524789</v>
      </c>
    </row>
    <row r="716" spans="1:13" x14ac:dyDescent="0.45">
      <c r="A716" t="s">
        <v>209</v>
      </c>
      <c r="B716" s="18">
        <v>68.61</v>
      </c>
      <c r="C716" s="18">
        <v>68.900000000000006</v>
      </c>
      <c r="D716" s="18">
        <v>58.27</v>
      </c>
      <c r="E716" s="18">
        <v>49.33</v>
      </c>
      <c r="F716" s="18">
        <v>61.86</v>
      </c>
      <c r="G716" s="18">
        <v>64.936800000000005</v>
      </c>
      <c r="H716" s="18">
        <v>61.986649999999997</v>
      </c>
      <c r="I716" s="8">
        <v>-4.2089985486213344E-3</v>
      </c>
      <c r="J716" s="8">
        <v>0.17744980264286919</v>
      </c>
      <c r="K716" s="8">
        <v>0.39083721873099542</v>
      </c>
      <c r="L716" s="8">
        <v>0.109117361784675</v>
      </c>
      <c r="M716" s="18">
        <v>0.67319538460991835</v>
      </c>
    </row>
    <row r="717" spans="1:13" x14ac:dyDescent="0.45">
      <c r="A717" t="s">
        <v>67</v>
      </c>
      <c r="B717" s="18">
        <v>330.8</v>
      </c>
      <c r="C717" s="18">
        <v>328.53</v>
      </c>
      <c r="D717" s="18">
        <v>421.74</v>
      </c>
      <c r="E717" s="18">
        <v>237.95</v>
      </c>
      <c r="F717" s="18">
        <v>176.51</v>
      </c>
      <c r="G717" s="18">
        <v>349.07019999999989</v>
      </c>
      <c r="H717" s="18">
        <v>350.42552499999999</v>
      </c>
      <c r="I717" s="8">
        <v>6.9095668584300274E-3</v>
      </c>
      <c r="J717" s="8">
        <v>-0.215630483236117</v>
      </c>
      <c r="K717" s="8">
        <v>0.39020802689640699</v>
      </c>
      <c r="L717" s="8">
        <v>0.87411478103223628</v>
      </c>
      <c r="M717" s="18">
        <v>1.055601891550956</v>
      </c>
    </row>
    <row r="718" spans="1:13" x14ac:dyDescent="0.45">
      <c r="A718" t="s">
        <v>2510</v>
      </c>
      <c r="B718" s="18">
        <v>12.81</v>
      </c>
      <c r="C718" s="18">
        <v>14.34</v>
      </c>
      <c r="D718" s="18">
        <v>13.26</v>
      </c>
      <c r="E718" s="18">
        <v>9.2200000000000006</v>
      </c>
      <c r="F718" s="18">
        <v>15.29</v>
      </c>
      <c r="G718" s="18">
        <v>13.7502</v>
      </c>
      <c r="H718" s="18">
        <v>13.0678</v>
      </c>
      <c r="I718" s="8">
        <v>-0.106694560669456</v>
      </c>
      <c r="J718" s="8">
        <v>-3.3936651583710398E-2</v>
      </c>
      <c r="K718" s="8">
        <v>0.38937093275488072</v>
      </c>
      <c r="L718" s="8">
        <v>-0.16219751471550031</v>
      </c>
      <c r="M718" s="18">
        <v>8.6542205786213966E-2</v>
      </c>
    </row>
    <row r="719" spans="1:13" x14ac:dyDescent="0.45">
      <c r="A719" t="s">
        <v>1045</v>
      </c>
      <c r="B719" s="18">
        <v>53.17</v>
      </c>
      <c r="C719" s="18">
        <v>55.73</v>
      </c>
      <c r="D719" s="18">
        <v>65.52</v>
      </c>
      <c r="E719" s="18">
        <v>38.28</v>
      </c>
      <c r="F719" s="18">
        <v>66.12</v>
      </c>
      <c r="G719" s="18">
        <v>54.138800000000003</v>
      </c>
      <c r="H719" s="18">
        <v>54.924950000000003</v>
      </c>
      <c r="I719" s="8">
        <v>-4.59357617082361E-2</v>
      </c>
      <c r="J719" s="8">
        <v>-0.18849206349206341</v>
      </c>
      <c r="K719" s="8">
        <v>0.38897596656217348</v>
      </c>
      <c r="L719" s="8">
        <v>-0.19585601935874181</v>
      </c>
      <c r="M719" s="18">
        <v>-4.1307877996867748E-2</v>
      </c>
    </row>
    <row r="720" spans="1:13" x14ac:dyDescent="0.45">
      <c r="A720" t="s">
        <v>615</v>
      </c>
      <c r="B720" s="18">
        <v>216.27</v>
      </c>
      <c r="C720" s="18">
        <v>224.99</v>
      </c>
      <c r="D720" s="18">
        <v>214.83</v>
      </c>
      <c r="E720" s="18">
        <v>155.71</v>
      </c>
      <c r="F720" s="18">
        <v>171.25</v>
      </c>
      <c r="G720" s="18">
        <v>214.12020000000001</v>
      </c>
      <c r="H720" s="18">
        <v>190.39850000000001</v>
      </c>
      <c r="I720" s="8">
        <v>-3.875727810124896E-2</v>
      </c>
      <c r="J720" s="8">
        <v>6.7029744449098594E-3</v>
      </c>
      <c r="K720" s="8">
        <v>0.38892813563676071</v>
      </c>
      <c r="L720" s="8">
        <v>0.26289051094890531</v>
      </c>
      <c r="M720" s="18">
        <v>0.61976434292932681</v>
      </c>
    </row>
    <row r="721" spans="1:13" x14ac:dyDescent="0.45">
      <c r="A721" t="s">
        <v>1488</v>
      </c>
      <c r="B721" s="18">
        <v>25.34</v>
      </c>
      <c r="C721" s="18">
        <v>26.44</v>
      </c>
      <c r="D721" s="18">
        <v>22.66</v>
      </c>
      <c r="E721" s="18">
        <v>18.25</v>
      </c>
      <c r="F721" s="18">
        <v>23.172000000000001</v>
      </c>
      <c r="G721" s="18">
        <v>25.7638</v>
      </c>
      <c r="H721" s="18">
        <v>22.210760000000001</v>
      </c>
      <c r="I721" s="8">
        <v>-4.1603630862329877E-2</v>
      </c>
      <c r="J721" s="8">
        <v>0.11827007943512791</v>
      </c>
      <c r="K721" s="8">
        <v>0.3884931506849314</v>
      </c>
      <c r="L721" s="8">
        <v>9.3561194545140669E-2</v>
      </c>
      <c r="M721" s="18">
        <v>0.5587207938028701</v>
      </c>
    </row>
    <row r="722" spans="1:13" x14ac:dyDescent="0.45">
      <c r="A722" t="s">
        <v>314</v>
      </c>
      <c r="B722" s="18">
        <v>200.6</v>
      </c>
      <c r="C722" s="18">
        <v>189.64</v>
      </c>
      <c r="D722" s="18">
        <v>165.53</v>
      </c>
      <c r="E722" s="18">
        <v>144.49</v>
      </c>
      <c r="F722" s="18">
        <v>229.84</v>
      </c>
      <c r="G722" s="18">
        <v>188.33840000000001</v>
      </c>
      <c r="H722" s="18">
        <v>177.07204999999999</v>
      </c>
      <c r="I722" s="8">
        <v>5.7793714406243479E-2</v>
      </c>
      <c r="J722" s="8">
        <v>0.21186491874584659</v>
      </c>
      <c r="K722" s="8">
        <v>0.38833137241331572</v>
      </c>
      <c r="L722" s="8">
        <v>-0.12721893491124259</v>
      </c>
      <c r="M722" s="18">
        <v>0.53077107065416318</v>
      </c>
    </row>
    <row r="723" spans="1:13" x14ac:dyDescent="0.45">
      <c r="A723" t="s">
        <v>2036</v>
      </c>
      <c r="B723" s="18">
        <v>7.05</v>
      </c>
      <c r="C723" s="18">
        <v>6.18</v>
      </c>
      <c r="D723" s="18">
        <v>7.98</v>
      </c>
      <c r="E723" s="18">
        <v>5.08</v>
      </c>
      <c r="F723" s="18">
        <v>5.71</v>
      </c>
      <c r="G723" s="18">
        <v>6.7675000000000001</v>
      </c>
      <c r="H723" s="18">
        <v>8.9390250000000009</v>
      </c>
      <c r="I723" s="8">
        <v>0.14077669902912621</v>
      </c>
      <c r="J723" s="8">
        <v>-0.1165413533834587</v>
      </c>
      <c r="K723" s="8">
        <v>0.38779527559055121</v>
      </c>
      <c r="L723" s="8">
        <v>0.23467600700525379</v>
      </c>
      <c r="M723" s="18">
        <v>0.6467066282414724</v>
      </c>
    </row>
    <row r="724" spans="1:13" x14ac:dyDescent="0.45">
      <c r="A724" t="s">
        <v>416</v>
      </c>
      <c r="B724" s="18">
        <v>127.66</v>
      </c>
      <c r="C724" s="18">
        <v>136.72</v>
      </c>
      <c r="D724" s="18">
        <v>115.18</v>
      </c>
      <c r="E724" s="18">
        <v>92.02</v>
      </c>
      <c r="F724" s="18">
        <v>139.44</v>
      </c>
      <c r="G724" s="18">
        <v>129.8828</v>
      </c>
      <c r="H724" s="18">
        <v>111.76805</v>
      </c>
      <c r="I724" s="8">
        <v>-6.6266822703335282E-2</v>
      </c>
      <c r="J724" s="8">
        <v>0.1083521444695259</v>
      </c>
      <c r="K724" s="8">
        <v>0.38730710715061961</v>
      </c>
      <c r="L724" s="8">
        <v>-8.4480780263912814E-2</v>
      </c>
      <c r="M724" s="18">
        <v>0.34491164865289742</v>
      </c>
    </row>
    <row r="725" spans="1:13" x14ac:dyDescent="0.45">
      <c r="A725" t="s">
        <v>1936</v>
      </c>
      <c r="B725" s="18">
        <v>10.69</v>
      </c>
      <c r="C725" s="18">
        <v>11.44</v>
      </c>
      <c r="D725" s="18">
        <v>11.11</v>
      </c>
      <c r="E725" s="18">
        <v>7.71</v>
      </c>
      <c r="F725" s="18">
        <v>13.29</v>
      </c>
      <c r="G725" s="18">
        <v>10.8658</v>
      </c>
      <c r="H725" s="18">
        <v>10.8726</v>
      </c>
      <c r="I725" s="8">
        <v>-6.5559440559440518E-2</v>
      </c>
      <c r="J725" s="8">
        <v>-3.7803780378037777E-2</v>
      </c>
      <c r="K725" s="8">
        <v>0.38651102464332032</v>
      </c>
      <c r="L725" s="8">
        <v>-0.19563581640331071</v>
      </c>
      <c r="M725" s="18">
        <v>8.7511987302531291E-2</v>
      </c>
    </row>
    <row r="726" spans="1:13" x14ac:dyDescent="0.45">
      <c r="A726" t="s">
        <v>729</v>
      </c>
      <c r="B726" s="18">
        <v>27.93</v>
      </c>
      <c r="C726" s="18">
        <v>25.2</v>
      </c>
      <c r="D726" s="18">
        <v>25.54</v>
      </c>
      <c r="E726" s="18">
        <v>20.16</v>
      </c>
      <c r="F726" s="18">
        <v>27.32</v>
      </c>
      <c r="G726" s="18">
        <v>25.579000000000001</v>
      </c>
      <c r="H726" s="18">
        <v>23.968800000000002</v>
      </c>
      <c r="I726" s="8">
        <v>0.10833333333333341</v>
      </c>
      <c r="J726" s="8">
        <v>9.3578700078308596E-2</v>
      </c>
      <c r="K726" s="8">
        <v>0.38541666666666669</v>
      </c>
      <c r="L726" s="8">
        <v>2.2327964860907819E-2</v>
      </c>
      <c r="M726" s="18">
        <v>0.60965666493921655</v>
      </c>
    </row>
    <row r="727" spans="1:13" x14ac:dyDescent="0.45">
      <c r="A727" t="s">
        <v>2075</v>
      </c>
      <c r="B727" s="18">
        <v>39.01</v>
      </c>
      <c r="C727" s="18">
        <v>41.94</v>
      </c>
      <c r="D727" s="18">
        <v>33.299999999999997</v>
      </c>
      <c r="E727" s="18">
        <v>28.17</v>
      </c>
      <c r="F727" s="18">
        <v>31.37</v>
      </c>
      <c r="G727" s="18">
        <v>39.863999999999997</v>
      </c>
      <c r="H727" s="18">
        <v>33.606699999999996</v>
      </c>
      <c r="I727" s="8">
        <v>-6.9861707200763012E-2</v>
      </c>
      <c r="J727" s="8">
        <v>0.1714714714714716</v>
      </c>
      <c r="K727" s="8">
        <v>0.38480653177138779</v>
      </c>
      <c r="L727" s="8">
        <v>0.24354478801402599</v>
      </c>
      <c r="M727" s="18">
        <v>0.72996108405612237</v>
      </c>
    </row>
    <row r="728" spans="1:13" x14ac:dyDescent="0.45">
      <c r="A728" t="s">
        <v>1458</v>
      </c>
      <c r="B728" s="18">
        <v>6.41</v>
      </c>
      <c r="C728" s="18">
        <v>5.99</v>
      </c>
      <c r="D728" s="18">
        <v>5.87</v>
      </c>
      <c r="E728" s="18">
        <v>4.63</v>
      </c>
      <c r="F728" s="18">
        <v>5.6624999999999996</v>
      </c>
      <c r="G728" s="18">
        <v>6.0397119999999997</v>
      </c>
      <c r="H728" s="18">
        <v>5.555474499999999</v>
      </c>
      <c r="I728" s="8">
        <v>7.0116861435726152E-2</v>
      </c>
      <c r="J728" s="8">
        <v>9.1993185689948964E-2</v>
      </c>
      <c r="K728" s="8">
        <v>0.3844492440604752</v>
      </c>
      <c r="L728" s="8">
        <v>0.1320088300220752</v>
      </c>
      <c r="M728" s="18">
        <v>0.67856812120822552</v>
      </c>
    </row>
    <row r="729" spans="1:13" x14ac:dyDescent="0.45">
      <c r="A729" t="s">
        <v>1514</v>
      </c>
      <c r="B729" s="18">
        <v>10.59</v>
      </c>
      <c r="C729" s="18">
        <v>10.82</v>
      </c>
      <c r="D729" s="18">
        <v>9.67</v>
      </c>
      <c r="E729" s="18">
        <v>7.65</v>
      </c>
      <c r="F729" s="18">
        <v>8.16</v>
      </c>
      <c r="G729" s="18">
        <v>10.529199999999999</v>
      </c>
      <c r="H729" s="18">
        <v>9.0777970000000003</v>
      </c>
      <c r="I729" s="8">
        <v>-2.125693160813313E-2</v>
      </c>
      <c r="J729" s="8">
        <v>9.5139607032057816E-2</v>
      </c>
      <c r="K729" s="8">
        <v>0.38431372549019599</v>
      </c>
      <c r="L729" s="8">
        <v>0.29779411764705888</v>
      </c>
      <c r="M729" s="18">
        <v>0.7559905185611796</v>
      </c>
    </row>
    <row r="730" spans="1:13" x14ac:dyDescent="0.45">
      <c r="A730" t="s">
        <v>719</v>
      </c>
      <c r="B730" s="18">
        <v>114.73</v>
      </c>
      <c r="C730" s="18">
        <v>115.59</v>
      </c>
      <c r="D730" s="18">
        <v>94.66</v>
      </c>
      <c r="E730" s="18">
        <v>83.04</v>
      </c>
      <c r="F730" s="18">
        <v>111.49</v>
      </c>
      <c r="G730" s="18">
        <v>110.458</v>
      </c>
      <c r="H730" s="18">
        <v>94.777299999999997</v>
      </c>
      <c r="I730" s="8">
        <v>-7.4400899731810188E-3</v>
      </c>
      <c r="J730" s="8">
        <v>0.212021973378407</v>
      </c>
      <c r="K730" s="8">
        <v>0.38162331406551048</v>
      </c>
      <c r="L730" s="8">
        <v>2.9060902323078341E-2</v>
      </c>
      <c r="M730" s="18">
        <v>0.61526609979381486</v>
      </c>
    </row>
    <row r="731" spans="1:13" x14ac:dyDescent="0.45">
      <c r="A731" t="s">
        <v>1436</v>
      </c>
      <c r="B731" s="18">
        <v>65.59</v>
      </c>
      <c r="C731" s="18">
        <v>62.86</v>
      </c>
      <c r="D731" s="18">
        <v>59.57</v>
      </c>
      <c r="E731" s="18">
        <v>47.49</v>
      </c>
      <c r="F731" s="18">
        <v>60.27</v>
      </c>
      <c r="G731" s="18">
        <v>62.530600000000007</v>
      </c>
      <c r="H731" s="18">
        <v>59.242250000000013</v>
      </c>
      <c r="I731" s="8">
        <v>4.3429844097995662E-2</v>
      </c>
      <c r="J731" s="8">
        <v>0.1010575793184489</v>
      </c>
      <c r="K731" s="8">
        <v>0.38113287007791108</v>
      </c>
      <c r="L731" s="8">
        <v>8.8269454123112601E-2</v>
      </c>
      <c r="M731" s="18">
        <v>0.61388974761746828</v>
      </c>
    </row>
    <row r="732" spans="1:13" x14ac:dyDescent="0.45">
      <c r="A732" t="s">
        <v>426</v>
      </c>
      <c r="B732" s="18">
        <v>282.35000000000002</v>
      </c>
      <c r="C732" s="18">
        <v>279.19</v>
      </c>
      <c r="D732" s="18">
        <v>258.07</v>
      </c>
      <c r="E732" s="18">
        <v>204.54</v>
      </c>
      <c r="F732" s="18">
        <v>233.98</v>
      </c>
      <c r="G732" s="18">
        <v>278.55459999999999</v>
      </c>
      <c r="H732" s="18">
        <v>249.04615000000001</v>
      </c>
      <c r="I732" s="8">
        <v>1.1318456964791061E-2</v>
      </c>
      <c r="J732" s="8">
        <v>9.4083000736234546E-2</v>
      </c>
      <c r="K732" s="8">
        <v>0.38041458883348023</v>
      </c>
      <c r="L732" s="8">
        <v>0.20672707068980281</v>
      </c>
      <c r="M732" s="18">
        <v>0.69254311722430861</v>
      </c>
    </row>
    <row r="733" spans="1:13" x14ac:dyDescent="0.45">
      <c r="A733" t="s">
        <v>649</v>
      </c>
      <c r="B733" s="18">
        <v>26.1</v>
      </c>
      <c r="C733" s="18">
        <v>26.18</v>
      </c>
      <c r="D733" s="18">
        <v>25.89</v>
      </c>
      <c r="E733" s="18">
        <v>18.91</v>
      </c>
      <c r="F733" s="18">
        <v>21.02</v>
      </c>
      <c r="G733" s="18">
        <v>25.71</v>
      </c>
      <c r="H733" s="18">
        <v>24.131799999999998</v>
      </c>
      <c r="I733" s="8">
        <v>-3.0557677616500629E-3</v>
      </c>
      <c r="J733" s="8">
        <v>8.1112398609501923E-3</v>
      </c>
      <c r="K733" s="8">
        <v>0.38022210470650458</v>
      </c>
      <c r="L733" s="8">
        <v>0.241674595623216</v>
      </c>
      <c r="M733" s="18">
        <v>0.62695217242902079</v>
      </c>
    </row>
    <row r="734" spans="1:13" x14ac:dyDescent="0.45">
      <c r="A734" t="s">
        <v>424</v>
      </c>
      <c r="B734" s="18">
        <v>25.29</v>
      </c>
      <c r="C734" s="18">
        <v>26.82</v>
      </c>
      <c r="D734" s="18">
        <v>24.84</v>
      </c>
      <c r="E734" s="18">
        <v>18.34</v>
      </c>
      <c r="F734" s="18">
        <v>22.84</v>
      </c>
      <c r="G734" s="18">
        <v>26.277000000000001</v>
      </c>
      <c r="H734" s="18">
        <v>23.588950000000001</v>
      </c>
      <c r="I734" s="8">
        <v>-5.7046979865771903E-2</v>
      </c>
      <c r="J734" s="8">
        <v>1.8115942028985591E-2</v>
      </c>
      <c r="K734" s="8">
        <v>0.37895310796074161</v>
      </c>
      <c r="L734" s="8">
        <v>0.10726795096322241</v>
      </c>
      <c r="M734" s="18">
        <v>0.44729002108717758</v>
      </c>
    </row>
    <row r="735" spans="1:13" x14ac:dyDescent="0.45">
      <c r="A735" t="s">
        <v>757</v>
      </c>
      <c r="B735" s="18">
        <v>52.13</v>
      </c>
      <c r="C735" s="18">
        <v>50.92</v>
      </c>
      <c r="D735" s="18">
        <v>46.39</v>
      </c>
      <c r="E735" s="18">
        <v>37.81</v>
      </c>
      <c r="F735" s="18">
        <v>55.51</v>
      </c>
      <c r="G735" s="18">
        <v>47.309399999999997</v>
      </c>
      <c r="H735" s="18">
        <v>53.841449999999988</v>
      </c>
      <c r="I735" s="8">
        <v>2.3762765121759569E-2</v>
      </c>
      <c r="J735" s="8">
        <v>0.1237335632679457</v>
      </c>
      <c r="K735" s="8">
        <v>0.37873578418407822</v>
      </c>
      <c r="L735" s="8">
        <v>-6.0889929742388722E-2</v>
      </c>
      <c r="M735" s="18">
        <v>0.46534218283139472</v>
      </c>
    </row>
    <row r="736" spans="1:13" x14ac:dyDescent="0.45">
      <c r="A736" t="s">
        <v>222</v>
      </c>
      <c r="B736" s="18">
        <v>158.66</v>
      </c>
      <c r="C736" s="18">
        <v>177.88</v>
      </c>
      <c r="D736" s="18">
        <v>139.62</v>
      </c>
      <c r="E736" s="18">
        <v>115.1</v>
      </c>
      <c r="F736" s="18">
        <v>184.64</v>
      </c>
      <c r="G736" s="18">
        <v>166.37780000000001</v>
      </c>
      <c r="H736" s="18">
        <v>139.38040000000001</v>
      </c>
      <c r="I736" s="8">
        <v>-0.10805037103665389</v>
      </c>
      <c r="J736" s="8">
        <v>0.1363701475433319</v>
      </c>
      <c r="K736" s="8">
        <v>0.37845351867940941</v>
      </c>
      <c r="L736" s="8">
        <v>-0.1407062391681109</v>
      </c>
      <c r="M736" s="18">
        <v>0.26606705601797642</v>
      </c>
    </row>
    <row r="737" spans="1:13" x14ac:dyDescent="0.45">
      <c r="A737" t="s">
        <v>1595</v>
      </c>
      <c r="B737" s="18">
        <v>39.880000000000003</v>
      </c>
      <c r="C737" s="18">
        <v>41.57</v>
      </c>
      <c r="D737" s="18">
        <v>34.25</v>
      </c>
      <c r="E737" s="18">
        <v>28.95</v>
      </c>
      <c r="F737" s="18">
        <v>31.84</v>
      </c>
      <c r="G737" s="18">
        <v>40.518599999999999</v>
      </c>
      <c r="H737" s="18">
        <v>35.626600000000003</v>
      </c>
      <c r="I737" s="8">
        <v>-4.0654318017801283E-2</v>
      </c>
      <c r="J737" s="8">
        <v>0.16437956204379581</v>
      </c>
      <c r="K737" s="8">
        <v>0.37754749568221091</v>
      </c>
      <c r="L737" s="8">
        <v>0.25251256281407047</v>
      </c>
      <c r="M737" s="18">
        <v>0.75378530252227594</v>
      </c>
    </row>
    <row r="738" spans="1:13" x14ac:dyDescent="0.45">
      <c r="A738" t="s">
        <v>1372</v>
      </c>
      <c r="B738" s="18">
        <v>15.59</v>
      </c>
      <c r="C738" s="18">
        <v>15.64</v>
      </c>
      <c r="D738" s="18">
        <v>15.23</v>
      </c>
      <c r="E738" s="18">
        <v>11.32</v>
      </c>
      <c r="F738" s="18">
        <v>14.79</v>
      </c>
      <c r="G738" s="18">
        <v>15.6008</v>
      </c>
      <c r="H738" s="18">
        <v>14.5184</v>
      </c>
      <c r="I738" s="8">
        <v>-3.1969309462915869E-3</v>
      </c>
      <c r="J738" s="8">
        <v>2.3637557452396599E-2</v>
      </c>
      <c r="K738" s="8">
        <v>0.37720848056537098</v>
      </c>
      <c r="L738" s="8">
        <v>5.4090601757944563E-2</v>
      </c>
      <c r="M738" s="18">
        <v>0.45173970882942061</v>
      </c>
    </row>
    <row r="739" spans="1:13" x14ac:dyDescent="0.45">
      <c r="A739" t="s">
        <v>2131</v>
      </c>
      <c r="B739" s="18">
        <v>23.16</v>
      </c>
      <c r="C739" s="18">
        <v>22.82</v>
      </c>
      <c r="D739" s="18">
        <v>20.12</v>
      </c>
      <c r="E739" s="18">
        <v>16.82</v>
      </c>
      <c r="F739" s="18">
        <v>16.18</v>
      </c>
      <c r="G739" s="18">
        <v>22.525600000000001</v>
      </c>
      <c r="H739" s="18">
        <v>19.3431</v>
      </c>
      <c r="I739" s="8">
        <v>1.4899211218229571E-2</v>
      </c>
      <c r="J739" s="8">
        <v>0.151093439363817</v>
      </c>
      <c r="K739" s="8">
        <v>0.37693222354340072</v>
      </c>
      <c r="L739" s="8">
        <v>0.43139678615574789</v>
      </c>
      <c r="M739" s="18">
        <v>0.97432166028119527</v>
      </c>
    </row>
    <row r="740" spans="1:13" x14ac:dyDescent="0.45">
      <c r="A740" t="s">
        <v>1685</v>
      </c>
      <c r="B740" s="18">
        <v>90.21</v>
      </c>
      <c r="C740" s="18">
        <v>87.42</v>
      </c>
      <c r="D740" s="18">
        <v>72.760000000000005</v>
      </c>
      <c r="E740" s="18">
        <v>65.540000000000006</v>
      </c>
      <c r="F740" s="18">
        <v>91.25</v>
      </c>
      <c r="G740" s="18">
        <v>85.85</v>
      </c>
      <c r="H740" s="18">
        <v>74.731099999999998</v>
      </c>
      <c r="I740" s="8">
        <v>3.1914893617021267E-2</v>
      </c>
      <c r="J740" s="8">
        <v>0.23982957669048921</v>
      </c>
      <c r="K740" s="8">
        <v>0.37641135184620073</v>
      </c>
      <c r="L740" s="8">
        <v>-1.13972602739727E-2</v>
      </c>
      <c r="M740" s="18">
        <v>0.63675856187973845</v>
      </c>
    </row>
    <row r="741" spans="1:13" x14ac:dyDescent="0.45">
      <c r="A741" t="s">
        <v>2350</v>
      </c>
      <c r="B741" s="18">
        <v>15.36</v>
      </c>
      <c r="C741" s="18">
        <v>15.32</v>
      </c>
      <c r="D741" s="18">
        <v>14.01</v>
      </c>
      <c r="E741" s="18">
        <v>11.16</v>
      </c>
      <c r="F741" s="18"/>
      <c r="G741" s="18">
        <v>15.160600000000001</v>
      </c>
      <c r="H741" s="18"/>
      <c r="I741" s="8">
        <v>2.6109660574411549E-3</v>
      </c>
      <c r="J741" s="8">
        <v>9.6359743040685286E-2</v>
      </c>
      <c r="K741" s="8">
        <v>0.37634408602150532</v>
      </c>
      <c r="L741" s="8"/>
      <c r="M741" s="18">
        <v>0.47531479511963171</v>
      </c>
    </row>
    <row r="742" spans="1:13" x14ac:dyDescent="0.45">
      <c r="A742" t="s">
        <v>2318</v>
      </c>
      <c r="B742" s="18">
        <v>18.21</v>
      </c>
      <c r="C742" s="18">
        <v>18.829999999999998</v>
      </c>
      <c r="D742" s="18">
        <v>16.57</v>
      </c>
      <c r="E742" s="18">
        <v>13.24</v>
      </c>
      <c r="F742" s="18">
        <v>18.690000000000001</v>
      </c>
      <c r="G742" s="18">
        <v>19.103200000000001</v>
      </c>
      <c r="H742" s="18">
        <v>16.769100000000002</v>
      </c>
      <c r="I742" s="8">
        <v>-3.292618162506622E-2</v>
      </c>
      <c r="J742" s="8">
        <v>9.8974049487024818E-2</v>
      </c>
      <c r="K742" s="8">
        <v>0.37537764350453168</v>
      </c>
      <c r="L742" s="8">
        <v>-2.56821829855538E-2</v>
      </c>
      <c r="M742" s="18">
        <v>0.41574332838093653</v>
      </c>
    </row>
    <row r="743" spans="1:13" x14ac:dyDescent="0.45">
      <c r="A743" t="s">
        <v>851</v>
      </c>
      <c r="B743" s="18">
        <v>83.6</v>
      </c>
      <c r="C743" s="18">
        <v>85.34</v>
      </c>
      <c r="D743" s="18">
        <v>85.37</v>
      </c>
      <c r="E743" s="18">
        <v>60.8</v>
      </c>
      <c r="F743" s="18">
        <v>64.8</v>
      </c>
      <c r="G743" s="18">
        <v>84.696600000000004</v>
      </c>
      <c r="H743" s="18">
        <v>76.456249999999997</v>
      </c>
      <c r="I743" s="8">
        <v>-2.0389032106866711E-2</v>
      </c>
      <c r="J743" s="8">
        <v>-2.0733278669321838E-2</v>
      </c>
      <c r="K743" s="8">
        <v>0.375</v>
      </c>
      <c r="L743" s="8">
        <v>0.29012345679012341</v>
      </c>
      <c r="M743" s="18">
        <v>0.62400114601393486</v>
      </c>
    </row>
    <row r="744" spans="1:13" x14ac:dyDescent="0.45">
      <c r="A744" t="s">
        <v>2147</v>
      </c>
      <c r="B744" s="18">
        <v>24.46</v>
      </c>
      <c r="C744" s="18">
        <v>24.04</v>
      </c>
      <c r="D744" s="18">
        <v>21.98</v>
      </c>
      <c r="E744" s="18">
        <v>17.8</v>
      </c>
      <c r="F744" s="18">
        <v>26.31</v>
      </c>
      <c r="G744" s="18">
        <v>24.366399999999999</v>
      </c>
      <c r="H744" s="18">
        <v>22.615449999999999</v>
      </c>
      <c r="I744" s="8">
        <v>1.747088186356072E-2</v>
      </c>
      <c r="J744" s="8">
        <v>0.1128298453139218</v>
      </c>
      <c r="K744" s="8">
        <v>0.37415730337078662</v>
      </c>
      <c r="L744" s="8">
        <v>-7.0315469403268605E-2</v>
      </c>
      <c r="M744" s="18">
        <v>0.43414256114500049</v>
      </c>
    </row>
    <row r="745" spans="1:13" x14ac:dyDescent="0.45">
      <c r="A745" t="s">
        <v>758</v>
      </c>
      <c r="B745" s="18">
        <v>302.83</v>
      </c>
      <c r="C745" s="18">
        <v>285.95</v>
      </c>
      <c r="D745" s="18">
        <v>259.88</v>
      </c>
      <c r="E745" s="18">
        <v>220.51</v>
      </c>
      <c r="F745" s="18">
        <v>343.7</v>
      </c>
      <c r="G745" s="18">
        <v>283.68099999999998</v>
      </c>
      <c r="H745" s="18">
        <v>272.79084999999998</v>
      </c>
      <c r="I745" s="8">
        <v>5.9031299178178058E-2</v>
      </c>
      <c r="J745" s="8">
        <v>0.16526858550100029</v>
      </c>
      <c r="K745" s="8">
        <v>0.37331640288422291</v>
      </c>
      <c r="L745" s="8">
        <v>-0.1189118417224324</v>
      </c>
      <c r="M745" s="18">
        <v>0.47870444584096877</v>
      </c>
    </row>
    <row r="746" spans="1:13" x14ac:dyDescent="0.45">
      <c r="A746" t="s">
        <v>509</v>
      </c>
      <c r="B746" s="18">
        <v>191.11</v>
      </c>
      <c r="C746" s="18">
        <v>202.64</v>
      </c>
      <c r="D746" s="18">
        <v>176.5</v>
      </c>
      <c r="E746" s="18">
        <v>139.21</v>
      </c>
      <c r="F746" s="18">
        <v>151.49</v>
      </c>
      <c r="G746" s="18">
        <v>198.16579999999999</v>
      </c>
      <c r="H746" s="18">
        <v>181.053</v>
      </c>
      <c r="I746" s="8">
        <v>-5.6898934070272238E-2</v>
      </c>
      <c r="J746" s="8">
        <v>8.2776203966005824E-2</v>
      </c>
      <c r="K746" s="8">
        <v>0.37281804468069829</v>
      </c>
      <c r="L746" s="8">
        <v>0.26153541487887</v>
      </c>
      <c r="M746" s="18">
        <v>0.66023072945530192</v>
      </c>
    </row>
    <row r="747" spans="1:13" x14ac:dyDescent="0.45">
      <c r="A747" t="s">
        <v>2396</v>
      </c>
      <c r="B747" s="18">
        <v>90.38</v>
      </c>
      <c r="C747" s="18">
        <v>84.36</v>
      </c>
      <c r="D747" s="18">
        <v>76.27</v>
      </c>
      <c r="E747" s="18">
        <v>65.930000000000007</v>
      </c>
      <c r="F747" s="18">
        <v>81.05</v>
      </c>
      <c r="G747" s="18">
        <v>82.752600000000001</v>
      </c>
      <c r="H747" s="18">
        <v>79.935299999999998</v>
      </c>
      <c r="I747" s="8">
        <v>7.1360834518729099E-2</v>
      </c>
      <c r="J747" s="8">
        <v>0.18500065556575329</v>
      </c>
      <c r="K747" s="8">
        <v>0.37084786895191862</v>
      </c>
      <c r="L747" s="8">
        <v>0.1151141270820482</v>
      </c>
      <c r="M747" s="18">
        <v>0.74232348611844912</v>
      </c>
    </row>
    <row r="748" spans="1:13" x14ac:dyDescent="0.45">
      <c r="A748" t="s">
        <v>1182</v>
      </c>
      <c r="B748" s="18">
        <v>21.71</v>
      </c>
      <c r="C748" s="18">
        <v>21.01</v>
      </c>
      <c r="D748" s="18">
        <v>21.27</v>
      </c>
      <c r="E748" s="18">
        <v>15.84</v>
      </c>
      <c r="F748" s="18">
        <v>19.27</v>
      </c>
      <c r="G748" s="18">
        <v>20.885400000000001</v>
      </c>
      <c r="H748" s="18">
        <v>19.599499999999999</v>
      </c>
      <c r="I748" s="8">
        <v>3.3317467872441719E-2</v>
      </c>
      <c r="J748" s="8">
        <v>2.068641278796424E-2</v>
      </c>
      <c r="K748" s="8">
        <v>0.37058080808080818</v>
      </c>
      <c r="L748" s="8">
        <v>0.1266216917488325</v>
      </c>
      <c r="M748" s="18">
        <v>0.55120638049004667</v>
      </c>
    </row>
    <row r="749" spans="1:13" x14ac:dyDescent="0.45">
      <c r="A749" t="s">
        <v>147</v>
      </c>
      <c r="B749" s="18">
        <v>76.95</v>
      </c>
      <c r="C749" s="18">
        <v>77.02</v>
      </c>
      <c r="D749" s="18">
        <v>73.72</v>
      </c>
      <c r="E749" s="18">
        <v>56.17</v>
      </c>
      <c r="F749" s="18">
        <v>99.61</v>
      </c>
      <c r="G749" s="18">
        <v>73.193399999999997</v>
      </c>
      <c r="H749" s="18">
        <v>74.493949999999998</v>
      </c>
      <c r="I749" s="8">
        <v>-9.0885484289782159E-4</v>
      </c>
      <c r="J749" s="8">
        <v>4.3814432989690788E-2</v>
      </c>
      <c r="K749" s="8">
        <v>0.36994837101655698</v>
      </c>
      <c r="L749" s="8">
        <v>-0.2274872000803132</v>
      </c>
      <c r="M749" s="18">
        <v>0.18536674908303671</v>
      </c>
    </row>
    <row r="750" spans="1:13" x14ac:dyDescent="0.45">
      <c r="A750" t="s">
        <v>315</v>
      </c>
      <c r="B750" s="18">
        <v>105.39</v>
      </c>
      <c r="C750" s="18">
        <v>96.67</v>
      </c>
      <c r="D750" s="18">
        <v>98.96</v>
      </c>
      <c r="E750" s="18">
        <v>76.930000000000007</v>
      </c>
      <c r="F750" s="18">
        <v>118.28</v>
      </c>
      <c r="G750" s="18">
        <v>96.251800000000003</v>
      </c>
      <c r="H750" s="18">
        <v>96.283649999999994</v>
      </c>
      <c r="I750" s="8">
        <v>9.0203786076342274E-2</v>
      </c>
      <c r="J750" s="8">
        <v>6.4975747776879533E-2</v>
      </c>
      <c r="K750" s="8">
        <v>0.3699467047965681</v>
      </c>
      <c r="L750" s="8">
        <v>-0.1089786946229286</v>
      </c>
      <c r="M750" s="18">
        <v>0.41614754402686133</v>
      </c>
    </row>
    <row r="751" spans="1:13" x14ac:dyDescent="0.45">
      <c r="A751" t="s">
        <v>2437</v>
      </c>
      <c r="B751" s="18">
        <v>74.34</v>
      </c>
      <c r="C751" s="18">
        <v>75.52</v>
      </c>
      <c r="D751" s="18">
        <v>73.209999999999994</v>
      </c>
      <c r="E751" s="18">
        <v>54.27</v>
      </c>
      <c r="F751" s="18">
        <v>79.97</v>
      </c>
      <c r="G751" s="18">
        <v>74.445400000000006</v>
      </c>
      <c r="H751" s="18">
        <v>69.450900000000004</v>
      </c>
      <c r="I751" s="8">
        <v>-1.5624999999999891E-2</v>
      </c>
      <c r="J751" s="8">
        <v>1.543504985657718E-2</v>
      </c>
      <c r="K751" s="8">
        <v>0.36981757877280258</v>
      </c>
      <c r="L751" s="8">
        <v>-7.0401400525196944E-2</v>
      </c>
      <c r="M751" s="18">
        <v>0.29922622810418298</v>
      </c>
    </row>
    <row r="752" spans="1:13" x14ac:dyDescent="0.45">
      <c r="A752" t="s">
        <v>553</v>
      </c>
      <c r="B752" s="18">
        <v>121.84</v>
      </c>
      <c r="C752" s="18">
        <v>121.39</v>
      </c>
      <c r="D752" s="18">
        <v>114.75</v>
      </c>
      <c r="E752" s="18">
        <v>88.97</v>
      </c>
      <c r="F752" s="18">
        <v>94.21</v>
      </c>
      <c r="G752" s="18">
        <v>118.7488</v>
      </c>
      <c r="H752" s="18">
        <v>108.08635</v>
      </c>
      <c r="I752" s="8">
        <v>3.7070598896120628E-3</v>
      </c>
      <c r="J752" s="8">
        <v>6.1786492374727782E-2</v>
      </c>
      <c r="K752" s="8">
        <v>0.36945037653141521</v>
      </c>
      <c r="L752" s="8">
        <v>0.29328096805010101</v>
      </c>
      <c r="M752" s="18">
        <v>0.72822489684585601</v>
      </c>
    </row>
    <row r="753" spans="1:13" x14ac:dyDescent="0.45">
      <c r="A753" t="s">
        <v>500</v>
      </c>
      <c r="B753" s="18">
        <v>111.89</v>
      </c>
      <c r="C753" s="18">
        <v>117.37</v>
      </c>
      <c r="D753" s="18">
        <v>121.56</v>
      </c>
      <c r="E753" s="18">
        <v>81.72</v>
      </c>
      <c r="F753" s="18">
        <v>95.15</v>
      </c>
      <c r="G753" s="18">
        <v>115.6818</v>
      </c>
      <c r="H753" s="18">
        <v>109.98</v>
      </c>
      <c r="I753" s="8">
        <v>-4.6689954843656789E-2</v>
      </c>
      <c r="J753" s="8">
        <v>-7.9549193813754582E-2</v>
      </c>
      <c r="K753" s="8">
        <v>0.36918746940773373</v>
      </c>
      <c r="L753" s="8">
        <v>0.17593273778244869</v>
      </c>
      <c r="M753" s="18">
        <v>0.41888105853277102</v>
      </c>
    </row>
    <row r="754" spans="1:13" x14ac:dyDescent="0.45">
      <c r="A754" t="s">
        <v>1385</v>
      </c>
      <c r="B754" s="18">
        <v>24.64</v>
      </c>
      <c r="C754" s="18">
        <v>23.75</v>
      </c>
      <c r="D754" s="18">
        <v>20.61</v>
      </c>
      <c r="E754" s="18">
        <v>18</v>
      </c>
      <c r="F754" s="18">
        <v>18.75</v>
      </c>
      <c r="G754" s="18">
        <v>23.680199999999999</v>
      </c>
      <c r="H754" s="18">
        <v>20.896650000000001</v>
      </c>
      <c r="I754" s="8">
        <v>3.7473684210526333E-2</v>
      </c>
      <c r="J754" s="8">
        <v>0.19553614750121301</v>
      </c>
      <c r="K754" s="8">
        <v>0.36888888888888882</v>
      </c>
      <c r="L754" s="8">
        <v>0.31413333333333338</v>
      </c>
      <c r="M754" s="18">
        <v>0.91603205393396148</v>
      </c>
    </row>
    <row r="755" spans="1:13" x14ac:dyDescent="0.45">
      <c r="A755" t="s">
        <v>1117</v>
      </c>
      <c r="B755" s="18">
        <v>11.1</v>
      </c>
      <c r="C755" s="18">
        <v>10.61</v>
      </c>
      <c r="D755" s="18">
        <v>10.37</v>
      </c>
      <c r="E755" s="18">
        <v>8.1172000000000004</v>
      </c>
      <c r="F755" s="18">
        <v>9.09</v>
      </c>
      <c r="G755" s="18">
        <v>10.612788</v>
      </c>
      <c r="H755" s="18">
        <v>9.6298290000000009</v>
      </c>
      <c r="I755" s="8">
        <v>4.6182846371347841E-2</v>
      </c>
      <c r="J755" s="8">
        <v>7.0395371263259454E-2</v>
      </c>
      <c r="K755" s="8">
        <v>0.36746661410338533</v>
      </c>
      <c r="L755" s="8">
        <v>0.22112211221122099</v>
      </c>
      <c r="M755" s="18">
        <v>0.70516694394921364</v>
      </c>
    </row>
    <row r="756" spans="1:13" x14ac:dyDescent="0.45">
      <c r="A756" t="s">
        <v>325</v>
      </c>
      <c r="B756" s="18">
        <v>18.09</v>
      </c>
      <c r="C756" s="18">
        <v>19.100000000000001</v>
      </c>
      <c r="D756" s="18">
        <v>18.489999999999998</v>
      </c>
      <c r="E756" s="18">
        <v>13.23</v>
      </c>
      <c r="F756" s="18">
        <v>16.78</v>
      </c>
      <c r="G756" s="18">
        <v>18.561399999999999</v>
      </c>
      <c r="H756" s="18">
        <v>17.05885</v>
      </c>
      <c r="I756" s="8">
        <v>-5.2879581151832562E-2</v>
      </c>
      <c r="J756" s="8">
        <v>-2.1633315305570559E-2</v>
      </c>
      <c r="K756" s="8">
        <v>0.36734693877551022</v>
      </c>
      <c r="L756" s="8">
        <v>7.8069129916567226E-2</v>
      </c>
      <c r="M756" s="18">
        <v>0.37090317223467428</v>
      </c>
    </row>
    <row r="757" spans="1:13" x14ac:dyDescent="0.45">
      <c r="A757" t="s">
        <v>20</v>
      </c>
      <c r="B757" s="18">
        <v>47.85</v>
      </c>
      <c r="C757" s="18">
        <v>45.45</v>
      </c>
      <c r="D757" s="18">
        <v>39.71</v>
      </c>
      <c r="E757" s="18">
        <v>35</v>
      </c>
      <c r="F757" s="18">
        <v>37.93</v>
      </c>
      <c r="G757" s="18">
        <v>45.848300000000002</v>
      </c>
      <c r="H757" s="18">
        <v>42.279925000000013</v>
      </c>
      <c r="I757" s="8">
        <v>5.2805280528052778E-2</v>
      </c>
      <c r="J757" s="8">
        <v>0.2049861495844876</v>
      </c>
      <c r="K757" s="8">
        <v>0.36714285714285722</v>
      </c>
      <c r="L757" s="8">
        <v>0.26153440548378598</v>
      </c>
      <c r="M757" s="18">
        <v>0.88646869273918361</v>
      </c>
    </row>
    <row r="758" spans="1:13" x14ac:dyDescent="0.45">
      <c r="A758" t="s">
        <v>1808</v>
      </c>
      <c r="B758" s="18">
        <v>17.559999999999999</v>
      </c>
      <c r="C758" s="18">
        <v>18.02</v>
      </c>
      <c r="D758" s="18">
        <v>15.13</v>
      </c>
      <c r="E758" s="18">
        <v>12.85</v>
      </c>
      <c r="F758" s="18"/>
      <c r="G758" s="18">
        <v>17.078199999999999</v>
      </c>
      <c r="H758" s="18"/>
      <c r="I758" s="8">
        <v>-2.5527192008879099E-2</v>
      </c>
      <c r="J758" s="8">
        <v>0.16060806345009901</v>
      </c>
      <c r="K758" s="8">
        <v>0.36653696498054478</v>
      </c>
      <c r="L758" s="8"/>
      <c r="M758" s="18">
        <v>0.50161783642176472</v>
      </c>
    </row>
    <row r="759" spans="1:13" x14ac:dyDescent="0.45">
      <c r="A759" t="s">
        <v>360</v>
      </c>
      <c r="B759" s="18">
        <v>1328.53</v>
      </c>
      <c r="C759" s="18">
        <v>1285.31</v>
      </c>
      <c r="D759" s="18">
        <v>1236.24</v>
      </c>
      <c r="E759" s="18">
        <v>972.51</v>
      </c>
      <c r="F759" s="18">
        <v>1452.82</v>
      </c>
      <c r="G759" s="18">
        <v>1275.0934</v>
      </c>
      <c r="H759" s="18">
        <v>1219.2146</v>
      </c>
      <c r="I759" s="8">
        <v>3.3626129105040807E-2</v>
      </c>
      <c r="J759" s="8">
        <v>7.4653788908302543E-2</v>
      </c>
      <c r="K759" s="8">
        <v>0.3660836392427842</v>
      </c>
      <c r="L759" s="8">
        <v>-8.5550859707327787E-2</v>
      </c>
      <c r="M759" s="18">
        <v>0.38881269754879982</v>
      </c>
    </row>
    <row r="760" spans="1:13" x14ac:dyDescent="0.45">
      <c r="A760" t="s">
        <v>1298</v>
      </c>
      <c r="B760" s="18">
        <v>11.83</v>
      </c>
      <c r="C760" s="18">
        <v>12.82</v>
      </c>
      <c r="D760" s="18">
        <v>10.49</v>
      </c>
      <c r="E760" s="18">
        <v>8.67</v>
      </c>
      <c r="F760" s="18">
        <v>7.45</v>
      </c>
      <c r="G760" s="18">
        <v>12.5312</v>
      </c>
      <c r="H760" s="18">
        <v>10.412649999999999</v>
      </c>
      <c r="I760" s="8">
        <v>-7.7223088923557004E-2</v>
      </c>
      <c r="J760" s="8">
        <v>0.12774070543374649</v>
      </c>
      <c r="K760" s="8">
        <v>0.36447520184544402</v>
      </c>
      <c r="L760" s="8">
        <v>0.58791946308724818</v>
      </c>
      <c r="M760" s="18">
        <v>1.0029122814428819</v>
      </c>
    </row>
    <row r="761" spans="1:13" x14ac:dyDescent="0.45">
      <c r="A761" t="s">
        <v>1508</v>
      </c>
      <c r="B761" s="18">
        <v>283.72000000000003</v>
      </c>
      <c r="C761" s="18">
        <v>306.94</v>
      </c>
      <c r="D761" s="18">
        <v>259.69</v>
      </c>
      <c r="E761" s="18">
        <v>208.09</v>
      </c>
      <c r="F761" s="18">
        <v>260.86</v>
      </c>
      <c r="G761" s="18">
        <v>297.36540000000002</v>
      </c>
      <c r="H761" s="18">
        <v>260.24464999999998</v>
      </c>
      <c r="I761" s="8">
        <v>-7.5649964162376904E-2</v>
      </c>
      <c r="J761" s="8">
        <v>9.253340521390907E-2</v>
      </c>
      <c r="K761" s="8">
        <v>0.36344850785717719</v>
      </c>
      <c r="L761" s="8">
        <v>8.763321321781814E-2</v>
      </c>
      <c r="M761" s="18">
        <v>0.4679651621265275</v>
      </c>
    </row>
    <row r="762" spans="1:13" x14ac:dyDescent="0.45">
      <c r="A762" t="s">
        <v>1965</v>
      </c>
      <c r="B762" s="18">
        <v>170.96</v>
      </c>
      <c r="C762" s="18">
        <v>179.04</v>
      </c>
      <c r="D762" s="18">
        <v>178.63</v>
      </c>
      <c r="E762" s="18">
        <v>125.44</v>
      </c>
      <c r="F762" s="18">
        <v>137.33000000000001</v>
      </c>
      <c r="G762" s="18">
        <v>180.22640000000001</v>
      </c>
      <c r="H762" s="18">
        <v>161.42580000000001</v>
      </c>
      <c r="I762" s="8">
        <v>-4.5129579982126862E-2</v>
      </c>
      <c r="J762" s="8">
        <v>-4.2937916363432693E-2</v>
      </c>
      <c r="K762" s="8">
        <v>0.36288265306122458</v>
      </c>
      <c r="L762" s="8">
        <v>0.24488458457729559</v>
      </c>
      <c r="M762" s="18">
        <v>0.51969974129296059</v>
      </c>
    </row>
    <row r="763" spans="1:13" x14ac:dyDescent="0.45">
      <c r="A763" t="s">
        <v>760</v>
      </c>
      <c r="B763" s="18">
        <v>44.58</v>
      </c>
      <c r="C763" s="18">
        <v>40.11</v>
      </c>
      <c r="D763" s="18">
        <v>41.41</v>
      </c>
      <c r="E763" s="18">
        <v>32.729999999999997</v>
      </c>
      <c r="F763" s="18">
        <v>42</v>
      </c>
      <c r="G763" s="18">
        <v>40.406999999999996</v>
      </c>
      <c r="H763" s="18">
        <v>39.553550000000001</v>
      </c>
      <c r="I763" s="8">
        <v>0.1114435302916978</v>
      </c>
      <c r="J763" s="8">
        <v>7.6551557594783937E-2</v>
      </c>
      <c r="K763" s="8">
        <v>0.36205316223648037</v>
      </c>
      <c r="L763" s="8">
        <v>6.1428571428571388E-2</v>
      </c>
      <c r="M763" s="18">
        <v>0.6114768215515336</v>
      </c>
    </row>
    <row r="764" spans="1:13" x14ac:dyDescent="0.45">
      <c r="A764" t="s">
        <v>857</v>
      </c>
      <c r="B764" s="18">
        <v>526.70000000000005</v>
      </c>
      <c r="C764" s="18">
        <v>479.62</v>
      </c>
      <c r="D764" s="18">
        <v>479.97</v>
      </c>
      <c r="E764" s="18">
        <v>386.7</v>
      </c>
      <c r="F764" s="18">
        <v>511.8</v>
      </c>
      <c r="G764" s="18">
        <v>489.18740000000003</v>
      </c>
      <c r="H764" s="18">
        <v>438.72595000000001</v>
      </c>
      <c r="I764" s="8">
        <v>9.8161044159960076E-2</v>
      </c>
      <c r="J764" s="8">
        <v>9.7360251682396814E-2</v>
      </c>
      <c r="K764" s="8">
        <v>0.36203775536591692</v>
      </c>
      <c r="L764" s="8">
        <v>2.9112934740132879E-2</v>
      </c>
      <c r="M764" s="18">
        <v>0.58667198594840664</v>
      </c>
    </row>
    <row r="765" spans="1:13" x14ac:dyDescent="0.45">
      <c r="A765" t="s">
        <v>275</v>
      </c>
      <c r="B765" s="18">
        <v>346.44</v>
      </c>
      <c r="C765" s="18">
        <v>321.33</v>
      </c>
      <c r="D765" s="18">
        <v>303.38</v>
      </c>
      <c r="E765" s="18">
        <v>254.4</v>
      </c>
      <c r="F765" s="18">
        <v>300.66000000000003</v>
      </c>
      <c r="G765" s="18">
        <v>323.62759999999997</v>
      </c>
      <c r="H765" s="18">
        <v>285.04020000000003</v>
      </c>
      <c r="I765" s="8">
        <v>7.8143964149005818E-2</v>
      </c>
      <c r="J765" s="8">
        <v>0.14193420792405581</v>
      </c>
      <c r="K765" s="8">
        <v>0.36179245283018863</v>
      </c>
      <c r="L765" s="8">
        <v>0.15226501696268199</v>
      </c>
      <c r="M765" s="18">
        <v>0.73413564186593216</v>
      </c>
    </row>
    <row r="766" spans="1:13" x14ac:dyDescent="0.45">
      <c r="A766" t="s">
        <v>2269</v>
      </c>
      <c r="B766" s="18">
        <v>93.58</v>
      </c>
      <c r="C766" s="18">
        <v>111.31</v>
      </c>
      <c r="D766" s="18">
        <v>109.25</v>
      </c>
      <c r="E766" s="18">
        <v>68.75</v>
      </c>
      <c r="F766" s="18">
        <v>77.5</v>
      </c>
      <c r="G766" s="18">
        <v>107.6788</v>
      </c>
      <c r="H766" s="18">
        <v>90.268000000000015</v>
      </c>
      <c r="I766" s="8">
        <v>-0.15928488006468419</v>
      </c>
      <c r="J766" s="8">
        <v>-0.14343249427917629</v>
      </c>
      <c r="K766" s="8">
        <v>0.36116363636363641</v>
      </c>
      <c r="L766" s="8">
        <v>0.20748387096774201</v>
      </c>
      <c r="M766" s="18">
        <v>0.26593013298751789</v>
      </c>
    </row>
    <row r="767" spans="1:13" x14ac:dyDescent="0.45">
      <c r="A767" t="s">
        <v>698</v>
      </c>
      <c r="B767" s="18">
        <v>58.39</v>
      </c>
      <c r="C767" s="18">
        <v>56.13</v>
      </c>
      <c r="D767" s="18">
        <v>56.57</v>
      </c>
      <c r="E767" s="18">
        <v>42.9</v>
      </c>
      <c r="F767" s="18">
        <v>47.78</v>
      </c>
      <c r="G767" s="18">
        <v>59.469399999999993</v>
      </c>
      <c r="H767" s="18">
        <v>55.934399999999997</v>
      </c>
      <c r="I767" s="8">
        <v>4.0263673614822748E-2</v>
      </c>
      <c r="J767" s="8">
        <v>3.2172529609333589E-2</v>
      </c>
      <c r="K767" s="8">
        <v>0.3610722610722612</v>
      </c>
      <c r="L767" s="8">
        <v>0.2220594390958559</v>
      </c>
      <c r="M767" s="18">
        <v>0.65556790339227344</v>
      </c>
    </row>
    <row r="768" spans="1:13" x14ac:dyDescent="0.45">
      <c r="A768" t="s">
        <v>1310</v>
      </c>
      <c r="B768" s="18">
        <v>14.45</v>
      </c>
      <c r="C768" s="18">
        <v>14.31</v>
      </c>
      <c r="D768" s="18">
        <v>13.57</v>
      </c>
      <c r="E768" s="18">
        <v>10.62</v>
      </c>
      <c r="F768" s="18">
        <v>12.216900000000001</v>
      </c>
      <c r="G768" s="18">
        <v>14.21977</v>
      </c>
      <c r="H768" s="18">
        <v>12.880765999999999</v>
      </c>
      <c r="I768" s="8">
        <v>9.7833682739343342E-3</v>
      </c>
      <c r="J768" s="8">
        <v>6.4848931466469972E-2</v>
      </c>
      <c r="K768" s="8">
        <v>0.36064030131826752</v>
      </c>
      <c r="L768" s="8">
        <v>0.18278777758678541</v>
      </c>
      <c r="M768" s="18">
        <v>0.61806037864545726</v>
      </c>
    </row>
    <row r="769" spans="1:13" x14ac:dyDescent="0.45">
      <c r="A769" t="s">
        <v>863</v>
      </c>
      <c r="B769" s="18">
        <v>4.68</v>
      </c>
      <c r="C769" s="18">
        <v>4.8499999999999996</v>
      </c>
      <c r="D769" s="18">
        <v>5.39</v>
      </c>
      <c r="E769" s="18">
        <v>3.44</v>
      </c>
      <c r="F769" s="18">
        <v>1.85</v>
      </c>
      <c r="G769" s="18">
        <v>4.6976000000000004</v>
      </c>
      <c r="H769" s="18">
        <v>4.5060000000000002</v>
      </c>
      <c r="I769" s="8">
        <v>-3.5051546391752557E-2</v>
      </c>
      <c r="J769" s="8">
        <v>-0.13172541743970309</v>
      </c>
      <c r="K769" s="8">
        <v>0.36046511627906969</v>
      </c>
      <c r="L769" s="8">
        <v>1.5297297297297301</v>
      </c>
      <c r="M769" s="18">
        <v>1.723417882177344</v>
      </c>
    </row>
    <row r="770" spans="1:13" x14ac:dyDescent="0.45">
      <c r="A770" t="s">
        <v>1954</v>
      </c>
      <c r="B770" s="18">
        <v>28.25</v>
      </c>
      <c r="C770" s="18">
        <v>28.14</v>
      </c>
      <c r="D770" s="18">
        <v>24.66</v>
      </c>
      <c r="E770" s="18">
        <v>20.790400000000002</v>
      </c>
      <c r="F770" s="18">
        <v>31.103999999999999</v>
      </c>
      <c r="G770" s="18">
        <v>27.489799999999999</v>
      </c>
      <c r="H770" s="18">
        <v>25.147214999999999</v>
      </c>
      <c r="I770" s="8">
        <v>3.9090262970860046E-3</v>
      </c>
      <c r="J770" s="8">
        <v>0.14557988645579889</v>
      </c>
      <c r="K770" s="8">
        <v>0.35880021548406948</v>
      </c>
      <c r="L770" s="8">
        <v>-9.1756687242798285E-2</v>
      </c>
      <c r="M770" s="18">
        <v>0.41653244099415609</v>
      </c>
    </row>
    <row r="771" spans="1:13" x14ac:dyDescent="0.45">
      <c r="A771" t="s">
        <v>972</v>
      </c>
      <c r="B771" s="18">
        <v>180.42</v>
      </c>
      <c r="C771" s="18">
        <v>182.42</v>
      </c>
      <c r="D771" s="18">
        <v>186.84</v>
      </c>
      <c r="E771" s="18">
        <v>132.79</v>
      </c>
      <c r="F771" s="18">
        <v>159.16999999999999</v>
      </c>
      <c r="G771" s="18">
        <v>187.2766</v>
      </c>
      <c r="H771" s="18">
        <v>171.50325000000001</v>
      </c>
      <c r="I771" s="8">
        <v>-1.0963710119504481E-2</v>
      </c>
      <c r="J771" s="8">
        <v>-3.4360950545921698E-2</v>
      </c>
      <c r="K771" s="8">
        <v>0.35868664809097067</v>
      </c>
      <c r="L771" s="8">
        <v>0.1335050574857071</v>
      </c>
      <c r="M771" s="18">
        <v>0.44686704491125162</v>
      </c>
    </row>
    <row r="772" spans="1:13" x14ac:dyDescent="0.45">
      <c r="A772" t="s">
        <v>859</v>
      </c>
      <c r="B772" s="18">
        <v>28.59</v>
      </c>
      <c r="C772" s="18">
        <v>26.19</v>
      </c>
      <c r="D772" s="18">
        <v>29.24</v>
      </c>
      <c r="E772" s="18">
        <v>21.06</v>
      </c>
      <c r="F772" s="18">
        <v>18.600000000000001</v>
      </c>
      <c r="G772" s="18">
        <v>27.795999999999999</v>
      </c>
      <c r="H772" s="18">
        <v>25.977650000000001</v>
      </c>
      <c r="I772" s="8">
        <v>9.1638029782359576E-2</v>
      </c>
      <c r="J772" s="8">
        <v>-2.222982216142266E-2</v>
      </c>
      <c r="K772" s="8">
        <v>0.35754985754985769</v>
      </c>
      <c r="L772" s="8">
        <v>0.53709677419354818</v>
      </c>
      <c r="M772" s="18">
        <v>0.96405483936434277</v>
      </c>
    </row>
    <row r="773" spans="1:13" x14ac:dyDescent="0.45">
      <c r="A773" t="s">
        <v>774</v>
      </c>
      <c r="B773" s="18">
        <v>40.020000000000003</v>
      </c>
      <c r="C773" s="18">
        <v>38.43</v>
      </c>
      <c r="D773" s="18">
        <v>37.799999999999997</v>
      </c>
      <c r="E773" s="18">
        <v>29.48</v>
      </c>
      <c r="F773" s="18">
        <v>35.700000000000003</v>
      </c>
      <c r="G773" s="18">
        <v>38.026000000000003</v>
      </c>
      <c r="H773" s="18">
        <v>36.538600000000002</v>
      </c>
      <c r="I773" s="8">
        <v>4.1373926619828312E-2</v>
      </c>
      <c r="J773" s="8">
        <v>5.8730158730158973E-2</v>
      </c>
      <c r="K773" s="8">
        <v>0.35753052917232031</v>
      </c>
      <c r="L773" s="8">
        <v>0.12100840336134459</v>
      </c>
      <c r="M773" s="18">
        <v>0.57864301788365213</v>
      </c>
    </row>
    <row r="774" spans="1:13" x14ac:dyDescent="0.45">
      <c r="A774" t="s">
        <v>1571</v>
      </c>
      <c r="B774" s="18">
        <v>131.94</v>
      </c>
      <c r="C774" s="18">
        <v>140.57</v>
      </c>
      <c r="D774" s="18">
        <v>130.97999999999999</v>
      </c>
      <c r="E774" s="18">
        <v>97.26</v>
      </c>
      <c r="F774" s="18">
        <v>164.97</v>
      </c>
      <c r="G774" s="18">
        <v>135.09020000000001</v>
      </c>
      <c r="H774" s="18">
        <v>126.012</v>
      </c>
      <c r="I774" s="8">
        <v>-6.1392900334352962E-2</v>
      </c>
      <c r="J774" s="8">
        <v>7.3293632615667459E-3</v>
      </c>
      <c r="K774" s="8">
        <v>0.35657001850709441</v>
      </c>
      <c r="L774" s="8">
        <v>-0.2002182214948173</v>
      </c>
      <c r="M774" s="18">
        <v>0.10228825993949089</v>
      </c>
    </row>
    <row r="775" spans="1:13" x14ac:dyDescent="0.45">
      <c r="A775" t="s">
        <v>888</v>
      </c>
      <c r="B775" s="18">
        <v>38.56</v>
      </c>
      <c r="C775" s="18">
        <v>31.26</v>
      </c>
      <c r="D775" s="18">
        <v>32.71</v>
      </c>
      <c r="E775" s="18">
        <v>28.43</v>
      </c>
      <c r="F775" s="18">
        <v>39.01</v>
      </c>
      <c r="G775" s="18">
        <v>32.648400000000002</v>
      </c>
      <c r="H775" s="18">
        <v>33.092550000000003</v>
      </c>
      <c r="I775" s="8">
        <v>0.23352527191298789</v>
      </c>
      <c r="J775" s="8">
        <v>0.17884439009477229</v>
      </c>
      <c r="K775" s="8">
        <v>0.35631375307773488</v>
      </c>
      <c r="L775" s="8">
        <v>-1.1535503716995519E-2</v>
      </c>
      <c r="M775" s="18">
        <v>0.75714791136849957</v>
      </c>
    </row>
    <row r="776" spans="1:13" x14ac:dyDescent="0.45">
      <c r="A776" t="s">
        <v>1335</v>
      </c>
      <c r="B776" s="18">
        <v>7.2</v>
      </c>
      <c r="C776" s="18">
        <v>6.92</v>
      </c>
      <c r="D776" s="18">
        <v>6.415</v>
      </c>
      <c r="E776" s="18">
        <v>5.3150000000000004</v>
      </c>
      <c r="F776" s="18">
        <v>5.96</v>
      </c>
      <c r="G776" s="18">
        <v>6.7763999999999998</v>
      </c>
      <c r="H776" s="18">
        <v>6.1836719999999987</v>
      </c>
      <c r="I776" s="8">
        <v>4.0462427745664893E-2</v>
      </c>
      <c r="J776" s="8">
        <v>0.12236944660950889</v>
      </c>
      <c r="K776" s="8">
        <v>0.35465663217309479</v>
      </c>
      <c r="L776" s="8">
        <v>0.20805369127516779</v>
      </c>
      <c r="M776" s="18">
        <v>0.72554219780343643</v>
      </c>
    </row>
    <row r="777" spans="1:13" x14ac:dyDescent="0.45">
      <c r="A777" t="s">
        <v>247</v>
      </c>
      <c r="B777" s="18">
        <v>73.489999999999995</v>
      </c>
      <c r="C777" s="18">
        <v>63.88</v>
      </c>
      <c r="D777" s="18">
        <v>66.11</v>
      </c>
      <c r="E777" s="18">
        <v>54.25</v>
      </c>
      <c r="F777" s="18">
        <v>65.38</v>
      </c>
      <c r="G777" s="18">
        <v>66.468999999999994</v>
      </c>
      <c r="H777" s="18">
        <v>62.441850000000002</v>
      </c>
      <c r="I777" s="8">
        <v>0.15043832185347511</v>
      </c>
      <c r="J777" s="8">
        <v>0.11163212827106329</v>
      </c>
      <c r="K777" s="8">
        <v>0.35465437788018428</v>
      </c>
      <c r="L777" s="8">
        <v>0.1240440501682472</v>
      </c>
      <c r="M777" s="18">
        <v>0.74076887817296977</v>
      </c>
    </row>
    <row r="778" spans="1:13" x14ac:dyDescent="0.45">
      <c r="A778" t="s">
        <v>490</v>
      </c>
      <c r="B778" s="18">
        <v>9.9700000000000006</v>
      </c>
      <c r="C778" s="18">
        <v>10.45</v>
      </c>
      <c r="D778" s="18">
        <v>9.25</v>
      </c>
      <c r="E778" s="18">
        <v>7.36</v>
      </c>
      <c r="F778" s="18">
        <v>11.59</v>
      </c>
      <c r="G778" s="18">
        <v>9.9936000000000007</v>
      </c>
      <c r="H778" s="18">
        <v>9.6857000000000006</v>
      </c>
      <c r="I778" s="8">
        <v>-4.5933014354066833E-2</v>
      </c>
      <c r="J778" s="8">
        <v>7.7837837837837931E-2</v>
      </c>
      <c r="K778" s="8">
        <v>0.35461956521739141</v>
      </c>
      <c r="L778" s="8">
        <v>-0.13977566867989641</v>
      </c>
      <c r="M778" s="18">
        <v>0.24674872002126599</v>
      </c>
    </row>
    <row r="779" spans="1:13" x14ac:dyDescent="0.45">
      <c r="A779" t="s">
        <v>1888</v>
      </c>
      <c r="B779" s="18">
        <v>69.37</v>
      </c>
      <c r="C779" s="18">
        <v>72.59</v>
      </c>
      <c r="D779" s="18">
        <v>66.900000000000006</v>
      </c>
      <c r="E779" s="18">
        <v>51.21</v>
      </c>
      <c r="F779" s="18">
        <v>49.27</v>
      </c>
      <c r="G779" s="18">
        <v>73.534999999999997</v>
      </c>
      <c r="H779" s="18">
        <v>66.187150000000003</v>
      </c>
      <c r="I779" s="8">
        <v>-4.43587270973963E-2</v>
      </c>
      <c r="J779" s="8">
        <v>3.6920777279521699E-2</v>
      </c>
      <c r="K779" s="8">
        <v>0.35461823862526848</v>
      </c>
      <c r="L779" s="8">
        <v>0.40795615993505191</v>
      </c>
      <c r="M779" s="18">
        <v>0.75513644874244579</v>
      </c>
    </row>
    <row r="780" spans="1:13" x14ac:dyDescent="0.45">
      <c r="A780" t="s">
        <v>373</v>
      </c>
      <c r="B780" s="18">
        <v>89.87</v>
      </c>
      <c r="C780" s="18">
        <v>94.88</v>
      </c>
      <c r="D780" s="18">
        <v>90.73</v>
      </c>
      <c r="E780" s="18">
        <v>66.400000000000006</v>
      </c>
      <c r="F780" s="18">
        <v>72.12</v>
      </c>
      <c r="G780" s="18">
        <v>92.926599999999993</v>
      </c>
      <c r="H780" s="18">
        <v>83.756100000000004</v>
      </c>
      <c r="I780" s="8">
        <v>-5.2803541315345592E-2</v>
      </c>
      <c r="J780" s="8">
        <v>-9.4786729857819774E-3</v>
      </c>
      <c r="K780" s="8">
        <v>0.35346385542168668</v>
      </c>
      <c r="L780" s="8">
        <v>0.24611758180809759</v>
      </c>
      <c r="M780" s="18">
        <v>0.53729922292865673</v>
      </c>
    </row>
    <row r="781" spans="1:13" x14ac:dyDescent="0.45">
      <c r="A781" t="s">
        <v>150</v>
      </c>
      <c r="B781" s="18">
        <v>162.46</v>
      </c>
      <c r="C781" s="18">
        <v>173.17</v>
      </c>
      <c r="D781" s="18">
        <v>164.06</v>
      </c>
      <c r="E781" s="18">
        <v>120.07</v>
      </c>
      <c r="F781" s="18">
        <v>151.91999999999999</v>
      </c>
      <c r="G781" s="18">
        <v>173.17080000000001</v>
      </c>
      <c r="H781" s="18">
        <v>158.01515000000001</v>
      </c>
      <c r="I781" s="8">
        <v>-6.1846740197493699E-2</v>
      </c>
      <c r="J781" s="8">
        <v>-9.7525295623551722E-3</v>
      </c>
      <c r="K781" s="8">
        <v>0.35304405763304758</v>
      </c>
      <c r="L781" s="8">
        <v>6.9378620326487672E-2</v>
      </c>
      <c r="M781" s="18">
        <v>0.35082340819968638</v>
      </c>
    </row>
    <row r="782" spans="1:13" x14ac:dyDescent="0.45">
      <c r="A782" t="s">
        <v>1547</v>
      </c>
      <c r="B782" s="18">
        <v>8.5500000000000007</v>
      </c>
      <c r="C782" s="18">
        <v>8.4499999999999993</v>
      </c>
      <c r="D782" s="18">
        <v>6.89</v>
      </c>
      <c r="E782" s="18">
        <v>6.32</v>
      </c>
      <c r="F782" s="18">
        <v>6.67</v>
      </c>
      <c r="G782" s="18">
        <v>8.0214000000000016</v>
      </c>
      <c r="H782" s="18">
        <v>6.6812250000000004</v>
      </c>
      <c r="I782" s="8">
        <v>1.1834319526627279E-2</v>
      </c>
      <c r="J782" s="8">
        <v>0.2409288824383167</v>
      </c>
      <c r="K782" s="8">
        <v>0.35284810126582289</v>
      </c>
      <c r="L782" s="8">
        <v>0.28185907046476771</v>
      </c>
      <c r="M782" s="18">
        <v>0.8874703736955345</v>
      </c>
    </row>
    <row r="783" spans="1:13" x14ac:dyDescent="0.45">
      <c r="A783" t="s">
        <v>468</v>
      </c>
      <c r="B783" s="18">
        <v>426.37</v>
      </c>
      <c r="C783" s="18">
        <v>409.41</v>
      </c>
      <c r="D783" s="18">
        <v>434.53</v>
      </c>
      <c r="E783" s="18">
        <v>315.20999999999998</v>
      </c>
      <c r="F783" s="18">
        <v>388.36</v>
      </c>
      <c r="G783" s="18">
        <v>419.7432</v>
      </c>
      <c r="H783" s="18">
        <v>395.19725</v>
      </c>
      <c r="I783" s="8">
        <v>4.1425465914364468E-2</v>
      </c>
      <c r="J783" s="8">
        <v>-1.8778910547027738E-2</v>
      </c>
      <c r="K783" s="8">
        <v>0.35265378636464589</v>
      </c>
      <c r="L783" s="8">
        <v>9.7873107426099448E-2</v>
      </c>
      <c r="M783" s="18">
        <v>0.47317344915808213</v>
      </c>
    </row>
    <row r="784" spans="1:13" x14ac:dyDescent="0.45">
      <c r="A784" t="s">
        <v>1877</v>
      </c>
      <c r="B784" s="18">
        <v>54.66</v>
      </c>
      <c r="C784" s="18">
        <v>60.85</v>
      </c>
      <c r="D784" s="18">
        <v>59.81</v>
      </c>
      <c r="E784" s="18">
        <v>40.42</v>
      </c>
      <c r="F784" s="18">
        <v>47.05</v>
      </c>
      <c r="G784" s="18">
        <v>58.791200000000003</v>
      </c>
      <c r="H784" s="18">
        <v>54.01305</v>
      </c>
      <c r="I784" s="8">
        <v>-0.10172555464256371</v>
      </c>
      <c r="J784" s="8">
        <v>-8.6106002340745835E-2</v>
      </c>
      <c r="K784" s="8">
        <v>0.35230084116773858</v>
      </c>
      <c r="L784" s="8">
        <v>0.16174282678002119</v>
      </c>
      <c r="M784" s="18">
        <v>0.32621211096445019</v>
      </c>
    </row>
    <row r="785" spans="1:13" x14ac:dyDescent="0.45">
      <c r="A785" t="s">
        <v>1399</v>
      </c>
      <c r="B785" s="18">
        <v>191.3</v>
      </c>
      <c r="C785" s="18">
        <v>196.72</v>
      </c>
      <c r="D785" s="18">
        <v>190.75</v>
      </c>
      <c r="E785" s="18">
        <v>141.59</v>
      </c>
      <c r="F785" s="18">
        <v>161.63</v>
      </c>
      <c r="G785" s="18">
        <v>198.1396</v>
      </c>
      <c r="H785" s="18">
        <v>179.24709999999999</v>
      </c>
      <c r="I785" s="8">
        <v>-2.7551850345668871E-2</v>
      </c>
      <c r="J785" s="8">
        <v>2.8833551769331671E-3</v>
      </c>
      <c r="K785" s="8">
        <v>0.35108411610989482</v>
      </c>
      <c r="L785" s="8">
        <v>0.18356740704077221</v>
      </c>
      <c r="M785" s="18">
        <v>0.50998302798193129</v>
      </c>
    </row>
    <row r="786" spans="1:13" x14ac:dyDescent="0.45">
      <c r="A786" t="s">
        <v>263</v>
      </c>
      <c r="B786" s="18">
        <v>11.74</v>
      </c>
      <c r="C786" s="18">
        <v>11.49</v>
      </c>
      <c r="D786" s="18">
        <v>11.91</v>
      </c>
      <c r="E786" s="18">
        <v>8.69</v>
      </c>
      <c r="F786" s="18">
        <v>10.57</v>
      </c>
      <c r="G786" s="18">
        <v>11.625400000000001</v>
      </c>
      <c r="H786" s="18">
        <v>10.53885</v>
      </c>
      <c r="I786" s="8">
        <v>2.1758050478677179E-2</v>
      </c>
      <c r="J786" s="8">
        <v>-1.427371956339207E-2</v>
      </c>
      <c r="K786" s="8">
        <v>0.35097813578826242</v>
      </c>
      <c r="L786" s="8">
        <v>0.11069063386944181</v>
      </c>
      <c r="M786" s="18">
        <v>0.46915310057298931</v>
      </c>
    </row>
    <row r="787" spans="1:13" x14ac:dyDescent="0.45">
      <c r="A787" t="s">
        <v>460</v>
      </c>
      <c r="B787" s="18">
        <v>588.01</v>
      </c>
      <c r="C787" s="18">
        <v>544.76</v>
      </c>
      <c r="D787" s="18">
        <v>527.52</v>
      </c>
      <c r="E787" s="18">
        <v>435.54</v>
      </c>
      <c r="F787" s="18">
        <v>440.7</v>
      </c>
      <c r="G787" s="18">
        <v>555.87699999999995</v>
      </c>
      <c r="H787" s="18">
        <v>509.49435</v>
      </c>
      <c r="I787" s="8">
        <v>7.9392760114545879E-2</v>
      </c>
      <c r="J787" s="8">
        <v>0.1146686381558992</v>
      </c>
      <c r="K787" s="8">
        <v>0.35007117601138821</v>
      </c>
      <c r="L787" s="8">
        <v>0.33426367143181301</v>
      </c>
      <c r="M787" s="18">
        <v>0.87839624571364627</v>
      </c>
    </row>
    <row r="788" spans="1:13" x14ac:dyDescent="0.45">
      <c r="A788" t="s">
        <v>2458</v>
      </c>
      <c r="B788" s="18">
        <v>82.35</v>
      </c>
      <c r="C788" s="18">
        <v>88.36</v>
      </c>
      <c r="D788" s="18">
        <v>85.11</v>
      </c>
      <c r="E788" s="18">
        <v>61</v>
      </c>
      <c r="F788" s="18">
        <v>84.41</v>
      </c>
      <c r="G788" s="18">
        <v>85.578600000000009</v>
      </c>
      <c r="H788" s="18">
        <v>80.529849999999996</v>
      </c>
      <c r="I788" s="8">
        <v>-6.8017202354006434E-2</v>
      </c>
      <c r="J788" s="8">
        <v>-3.2428621783574307E-2</v>
      </c>
      <c r="K788" s="8">
        <v>0.34999999999999992</v>
      </c>
      <c r="L788" s="8">
        <v>-2.4404691387276412E-2</v>
      </c>
      <c r="M788" s="18">
        <v>0.22514948447514271</v>
      </c>
    </row>
    <row r="789" spans="1:13" x14ac:dyDescent="0.45">
      <c r="A789" t="s">
        <v>1822</v>
      </c>
      <c r="B789" s="18">
        <v>5.52</v>
      </c>
      <c r="C789" s="18">
        <v>5.19</v>
      </c>
      <c r="D789" s="18">
        <v>4.8899999999999997</v>
      </c>
      <c r="E789" s="18">
        <v>4.09</v>
      </c>
      <c r="F789" s="18">
        <v>5.5</v>
      </c>
      <c r="G789" s="18">
        <v>5.3152357600000002</v>
      </c>
      <c r="H789" s="18">
        <v>4.8617409399999998</v>
      </c>
      <c r="I789" s="8">
        <v>6.3583815028901647E-2</v>
      </c>
      <c r="J789" s="8">
        <v>0.12883435582822081</v>
      </c>
      <c r="K789" s="8">
        <v>0.34963325183374078</v>
      </c>
      <c r="L789" s="8">
        <v>3.6363636363636602E-3</v>
      </c>
      <c r="M789" s="18">
        <v>0.54568778632722692</v>
      </c>
    </row>
    <row r="790" spans="1:13" x14ac:dyDescent="0.45">
      <c r="A790" t="s">
        <v>2315</v>
      </c>
      <c r="B790" s="18">
        <v>8</v>
      </c>
      <c r="C790" s="18">
        <v>8.58</v>
      </c>
      <c r="D790" s="18">
        <v>7.78</v>
      </c>
      <c r="E790" s="18">
        <v>5.93</v>
      </c>
      <c r="F790" s="18">
        <v>9.49</v>
      </c>
      <c r="G790" s="18">
        <v>8.0768000000000004</v>
      </c>
      <c r="H790" s="18">
        <v>7.5313499999999998</v>
      </c>
      <c r="I790" s="8">
        <v>-6.7599067599067642E-2</v>
      </c>
      <c r="J790" s="8">
        <v>2.8277634961439539E-2</v>
      </c>
      <c r="K790" s="8">
        <v>0.3490725126475549</v>
      </c>
      <c r="L790" s="8">
        <v>-0.15700737618545829</v>
      </c>
      <c r="M790" s="18">
        <v>0.15274370382446839</v>
      </c>
    </row>
    <row r="791" spans="1:13" x14ac:dyDescent="0.45">
      <c r="A791" t="s">
        <v>2374</v>
      </c>
      <c r="B791" s="18">
        <v>32.01</v>
      </c>
      <c r="C791" s="18">
        <v>32.61</v>
      </c>
      <c r="D791" s="18">
        <v>31.67</v>
      </c>
      <c r="E791" s="18">
        <v>23.74</v>
      </c>
      <c r="F791" s="18">
        <v>28.41</v>
      </c>
      <c r="G791" s="18">
        <v>31.706800000000001</v>
      </c>
      <c r="H791" s="18">
        <v>30.342099999999999</v>
      </c>
      <c r="I791" s="8">
        <v>-1.8399264029438811E-2</v>
      </c>
      <c r="J791" s="8">
        <v>1.0735712030312429E-2</v>
      </c>
      <c r="K791" s="8">
        <v>0.34835720303285589</v>
      </c>
      <c r="L791" s="8">
        <v>0.126715945089757</v>
      </c>
      <c r="M791" s="18">
        <v>0.46740959612348648</v>
      </c>
    </row>
    <row r="792" spans="1:13" x14ac:dyDescent="0.45">
      <c r="A792" t="s">
        <v>2227</v>
      </c>
      <c r="B792" s="18">
        <v>40.31</v>
      </c>
      <c r="C792" s="18">
        <v>40.869999999999997</v>
      </c>
      <c r="D792" s="18">
        <v>39.799999999999997</v>
      </c>
      <c r="E792" s="18">
        <v>29.9</v>
      </c>
      <c r="F792" s="18">
        <v>32.549999999999997</v>
      </c>
      <c r="G792" s="18">
        <v>39.834400000000002</v>
      </c>
      <c r="H792" s="18">
        <v>36.7027</v>
      </c>
      <c r="I792" s="8">
        <v>-1.370198189380956E-2</v>
      </c>
      <c r="J792" s="8">
        <v>1.2814070351758969E-2</v>
      </c>
      <c r="K792" s="8">
        <v>0.34816053511705691</v>
      </c>
      <c r="L792" s="8">
        <v>0.23840245775729671</v>
      </c>
      <c r="M792" s="18">
        <v>0.58567508133230306</v>
      </c>
    </row>
    <row r="793" spans="1:13" x14ac:dyDescent="0.45">
      <c r="A793" t="s">
        <v>1390</v>
      </c>
      <c r="B793" s="18">
        <v>26.2</v>
      </c>
      <c r="C793" s="18">
        <v>24.92</v>
      </c>
      <c r="D793" s="18">
        <v>23.2</v>
      </c>
      <c r="E793" s="18">
        <v>19.440000000000001</v>
      </c>
      <c r="F793" s="18">
        <v>27.28</v>
      </c>
      <c r="G793" s="18">
        <v>24.420200000000001</v>
      </c>
      <c r="H793" s="18">
        <v>25.097200000000001</v>
      </c>
      <c r="I793" s="8">
        <v>5.1364365971107377E-2</v>
      </c>
      <c r="J793" s="8">
        <v>0.1293103448275863</v>
      </c>
      <c r="K793" s="8">
        <v>0.34773662551440321</v>
      </c>
      <c r="L793" s="8">
        <v>-3.9589442815249343E-2</v>
      </c>
      <c r="M793" s="18">
        <v>0.48882189349784749</v>
      </c>
    </row>
    <row r="794" spans="1:13" x14ac:dyDescent="0.45">
      <c r="A794" t="s">
        <v>32</v>
      </c>
      <c r="B794" s="18">
        <v>35.950000000000003</v>
      </c>
      <c r="C794" s="18">
        <v>32.200000000000003</v>
      </c>
      <c r="D794" s="18">
        <v>33.54</v>
      </c>
      <c r="E794" s="18">
        <v>26.69</v>
      </c>
      <c r="F794" s="18">
        <v>34.49</v>
      </c>
      <c r="G794" s="18">
        <v>34.322399999999988</v>
      </c>
      <c r="H794" s="18">
        <v>32.146700000000003</v>
      </c>
      <c r="I794" s="8">
        <v>0.1164596273291925</v>
      </c>
      <c r="J794" s="8">
        <v>7.1854502087060235E-2</v>
      </c>
      <c r="K794" s="8">
        <v>0.34694642188085423</v>
      </c>
      <c r="L794" s="8">
        <v>4.2331110466802047E-2</v>
      </c>
      <c r="M794" s="18">
        <v>0.57759166176390897</v>
      </c>
    </row>
    <row r="795" spans="1:13" x14ac:dyDescent="0.45">
      <c r="A795" t="s">
        <v>1233</v>
      </c>
      <c r="B795" s="18">
        <v>24.01</v>
      </c>
      <c r="C795" s="18">
        <v>25.29</v>
      </c>
      <c r="D795" s="18">
        <v>23.95</v>
      </c>
      <c r="E795" s="18">
        <v>17.84</v>
      </c>
      <c r="F795" s="18">
        <v>29</v>
      </c>
      <c r="G795" s="18">
        <v>25.167400000000001</v>
      </c>
      <c r="H795" s="18">
        <v>20.636849999999999</v>
      </c>
      <c r="I795" s="8">
        <v>-5.0612890470541627E-2</v>
      </c>
      <c r="J795" s="8">
        <v>2.505219206680787E-3</v>
      </c>
      <c r="K795" s="8">
        <v>0.34585201793721981</v>
      </c>
      <c r="L795" s="8">
        <v>-0.17206896551724141</v>
      </c>
      <c r="M795" s="18">
        <v>0.12567538115611751</v>
      </c>
    </row>
    <row r="796" spans="1:13" x14ac:dyDescent="0.45">
      <c r="A796" t="s">
        <v>82</v>
      </c>
      <c r="B796" s="18">
        <v>167.77</v>
      </c>
      <c r="C796" s="18">
        <v>158.66</v>
      </c>
      <c r="D796" s="18">
        <v>159.09</v>
      </c>
      <c r="E796" s="18">
        <v>124.66</v>
      </c>
      <c r="F796" s="18">
        <v>168.9</v>
      </c>
      <c r="G796" s="18">
        <v>159.8698</v>
      </c>
      <c r="H796" s="18">
        <v>156.5538</v>
      </c>
      <c r="I796" s="8">
        <v>5.7418378923484337E-2</v>
      </c>
      <c r="J796" s="8">
        <v>5.456031177321008E-2</v>
      </c>
      <c r="K796" s="8">
        <v>0.34582063211936492</v>
      </c>
      <c r="L796" s="8">
        <v>-6.6903493191237118E-3</v>
      </c>
      <c r="M796" s="18">
        <v>0.45110897349693557</v>
      </c>
    </row>
    <row r="797" spans="1:13" x14ac:dyDescent="0.45">
      <c r="A797" t="s">
        <v>326</v>
      </c>
      <c r="B797" s="18">
        <v>172.18</v>
      </c>
      <c r="C797" s="18">
        <v>169.1</v>
      </c>
      <c r="D797" s="18">
        <v>164.84</v>
      </c>
      <c r="E797" s="18">
        <v>127.96</v>
      </c>
      <c r="F797" s="18">
        <v>156.38</v>
      </c>
      <c r="G797" s="18">
        <v>168.28319999999999</v>
      </c>
      <c r="H797" s="18">
        <v>161.792</v>
      </c>
      <c r="I797" s="8">
        <v>1.8214074512123091E-2</v>
      </c>
      <c r="J797" s="8">
        <v>4.4528027177869411E-2</v>
      </c>
      <c r="K797" s="8">
        <v>0.34557674273210393</v>
      </c>
      <c r="L797" s="8">
        <v>0.1010359380995014</v>
      </c>
      <c r="M797" s="18">
        <v>0.50935478252159783</v>
      </c>
    </row>
    <row r="798" spans="1:13" x14ac:dyDescent="0.45">
      <c r="A798" t="s">
        <v>1254</v>
      </c>
      <c r="B798" s="18">
        <v>25.9</v>
      </c>
      <c r="C798" s="18">
        <v>27.7</v>
      </c>
      <c r="D798" s="18">
        <v>22.86</v>
      </c>
      <c r="E798" s="18">
        <v>19.25</v>
      </c>
      <c r="F798" s="18">
        <v>32.35</v>
      </c>
      <c r="G798" s="18">
        <v>26.850200000000001</v>
      </c>
      <c r="H798" s="18">
        <v>23.135750000000002</v>
      </c>
      <c r="I798" s="8">
        <v>-6.498194945848379E-2</v>
      </c>
      <c r="J798" s="8">
        <v>0.1329833770778652</v>
      </c>
      <c r="K798" s="8">
        <v>0.34545454545454551</v>
      </c>
      <c r="L798" s="8">
        <v>-0.1993817619783618</v>
      </c>
      <c r="M798" s="18">
        <v>0.2140742110955651</v>
      </c>
    </row>
    <row r="799" spans="1:13" x14ac:dyDescent="0.45">
      <c r="A799" t="s">
        <v>1633</v>
      </c>
      <c r="B799" s="18">
        <v>65.709999999999994</v>
      </c>
      <c r="C799" s="18">
        <v>72.19</v>
      </c>
      <c r="D799" s="18">
        <v>70.37</v>
      </c>
      <c r="E799" s="18">
        <v>48.86</v>
      </c>
      <c r="F799" s="18">
        <v>68.69</v>
      </c>
      <c r="G799" s="18">
        <v>71.843000000000004</v>
      </c>
      <c r="H799" s="18">
        <v>66.386450000000011</v>
      </c>
      <c r="I799" s="8">
        <v>-8.9763125086577134E-2</v>
      </c>
      <c r="J799" s="8">
        <v>-6.6221401165269422E-2</v>
      </c>
      <c r="K799" s="8">
        <v>0.34486287351616851</v>
      </c>
      <c r="L799" s="8">
        <v>-4.3383316348813539E-2</v>
      </c>
      <c r="M799" s="18">
        <v>0.14549503091550839</v>
      </c>
    </row>
    <row r="800" spans="1:13" x14ac:dyDescent="0.45">
      <c r="A800" t="s">
        <v>494</v>
      </c>
      <c r="B800" s="18">
        <v>304.43</v>
      </c>
      <c r="C800" s="18">
        <v>292.44</v>
      </c>
      <c r="D800" s="18">
        <v>270.73</v>
      </c>
      <c r="E800" s="18">
        <v>226.49</v>
      </c>
      <c r="F800" s="18">
        <v>241.43</v>
      </c>
      <c r="G800" s="18">
        <v>292.78199999999998</v>
      </c>
      <c r="H800" s="18">
        <v>266.33629999999999</v>
      </c>
      <c r="I800" s="8">
        <v>4.0999863219805872E-2</v>
      </c>
      <c r="J800" s="8">
        <v>0.12447826247552921</v>
      </c>
      <c r="K800" s="8">
        <v>0.34412115325179921</v>
      </c>
      <c r="L800" s="8">
        <v>0.26094520150768341</v>
      </c>
      <c r="M800" s="18">
        <v>0.7705444804548176</v>
      </c>
    </row>
    <row r="801" spans="1:13" x14ac:dyDescent="0.45">
      <c r="A801" t="s">
        <v>2409</v>
      </c>
      <c r="B801" s="18">
        <v>11.1</v>
      </c>
      <c r="C801" s="18">
        <v>10.35</v>
      </c>
      <c r="D801" s="18">
        <v>9.9600000000000009</v>
      </c>
      <c r="E801" s="18">
        <v>8.26</v>
      </c>
      <c r="F801" s="18">
        <v>11.45</v>
      </c>
      <c r="G801" s="18">
        <v>10.3948</v>
      </c>
      <c r="H801" s="18">
        <v>9.7096999999999998</v>
      </c>
      <c r="I801" s="8">
        <v>7.2463768115942129E-2</v>
      </c>
      <c r="J801" s="8">
        <v>0.1144578313253011</v>
      </c>
      <c r="K801" s="8">
        <v>0.3438256658595642</v>
      </c>
      <c r="L801" s="8">
        <v>-3.0567685589519611E-2</v>
      </c>
      <c r="M801" s="18">
        <v>0.50017957971128779</v>
      </c>
    </row>
    <row r="802" spans="1:13" x14ac:dyDescent="0.45">
      <c r="A802" t="s">
        <v>1381</v>
      </c>
      <c r="B802" s="18">
        <v>320.75</v>
      </c>
      <c r="C802" s="18">
        <v>316.41000000000003</v>
      </c>
      <c r="D802" s="18">
        <v>311.58999999999997</v>
      </c>
      <c r="E802" s="18">
        <v>238.87</v>
      </c>
      <c r="F802" s="18">
        <v>261.44</v>
      </c>
      <c r="G802" s="18">
        <v>317.65339999999998</v>
      </c>
      <c r="H802" s="18">
        <v>279.8168</v>
      </c>
      <c r="I802" s="8">
        <v>1.3716380645365071E-2</v>
      </c>
      <c r="J802" s="8">
        <v>2.939760582817175E-2</v>
      </c>
      <c r="K802" s="8">
        <v>0.3427805919537823</v>
      </c>
      <c r="L802" s="8">
        <v>0.2268589351285191</v>
      </c>
      <c r="M802" s="18">
        <v>0.61275351355583818</v>
      </c>
    </row>
    <row r="803" spans="1:13" x14ac:dyDescent="0.45">
      <c r="A803" t="s">
        <v>1586</v>
      </c>
      <c r="B803" s="18">
        <v>100.92</v>
      </c>
      <c r="C803" s="18">
        <v>111.05</v>
      </c>
      <c r="D803" s="18">
        <v>107.67</v>
      </c>
      <c r="E803" s="18">
        <v>75.180000000000007</v>
      </c>
      <c r="F803" s="18">
        <v>108.04</v>
      </c>
      <c r="G803" s="18">
        <v>103.3472</v>
      </c>
      <c r="H803" s="18">
        <v>95.787049999999994</v>
      </c>
      <c r="I803" s="8">
        <v>-9.1220171094101743E-2</v>
      </c>
      <c r="J803" s="8">
        <v>-6.2691557536918352E-2</v>
      </c>
      <c r="K803" s="8">
        <v>0.34237829209896242</v>
      </c>
      <c r="L803" s="8">
        <v>-6.5901517956312494E-2</v>
      </c>
      <c r="M803" s="18">
        <v>0.12256504551162981</v>
      </c>
    </row>
    <row r="804" spans="1:13" x14ac:dyDescent="0.45">
      <c r="A804" t="s">
        <v>782</v>
      </c>
      <c r="B804" s="18">
        <v>45.02</v>
      </c>
      <c r="C804" s="18">
        <v>46.57</v>
      </c>
      <c r="D804" s="18">
        <v>42.31</v>
      </c>
      <c r="E804" s="18">
        <v>33.54</v>
      </c>
      <c r="F804" s="18">
        <v>32.83</v>
      </c>
      <c r="G804" s="18">
        <v>45.358999999999988</v>
      </c>
      <c r="H804" s="18">
        <v>40.607950000000002</v>
      </c>
      <c r="I804" s="8">
        <v>-3.3283229546918543E-2</v>
      </c>
      <c r="J804" s="8">
        <v>6.4051051760813049E-2</v>
      </c>
      <c r="K804" s="8">
        <v>0.34227787716159819</v>
      </c>
      <c r="L804" s="8">
        <v>0.3713067316478833</v>
      </c>
      <c r="M804" s="18">
        <v>0.744352431023376</v>
      </c>
    </row>
    <row r="805" spans="1:13" x14ac:dyDescent="0.45">
      <c r="A805" t="s">
        <v>2198</v>
      </c>
      <c r="B805" s="18">
        <v>26.63</v>
      </c>
      <c r="C805" s="18">
        <v>25.83</v>
      </c>
      <c r="D805" s="18">
        <v>25.76</v>
      </c>
      <c r="E805" s="18">
        <v>19.84</v>
      </c>
      <c r="F805" s="18">
        <v>24.56</v>
      </c>
      <c r="G805" s="18">
        <v>26.07</v>
      </c>
      <c r="H805" s="18">
        <v>24.422599999999999</v>
      </c>
      <c r="I805" s="8">
        <v>3.0971738288811501E-2</v>
      </c>
      <c r="J805" s="8">
        <v>3.3773291925465632E-2</v>
      </c>
      <c r="K805" s="8">
        <v>0.34223790322580649</v>
      </c>
      <c r="L805" s="8">
        <v>8.4283387622149819E-2</v>
      </c>
      <c r="M805" s="18">
        <v>0.49126632106223339</v>
      </c>
    </row>
    <row r="806" spans="1:13" x14ac:dyDescent="0.45">
      <c r="A806" t="s">
        <v>1353</v>
      </c>
      <c r="B806" s="18">
        <v>1.53</v>
      </c>
      <c r="C806" s="18">
        <v>1.53</v>
      </c>
      <c r="D806" s="18">
        <v>1.5</v>
      </c>
      <c r="E806" s="18">
        <v>1.1399999999999999</v>
      </c>
      <c r="F806" s="18">
        <v>1.28</v>
      </c>
      <c r="G806" s="18">
        <v>1.4854000000000001</v>
      </c>
      <c r="H806" s="18">
        <v>1.39795</v>
      </c>
      <c r="I806" s="8">
        <v>0</v>
      </c>
      <c r="J806" s="8">
        <v>2.0000000000000021E-2</v>
      </c>
      <c r="K806" s="8">
        <v>0.34210526315789491</v>
      </c>
      <c r="L806" s="8">
        <v>0.1953125</v>
      </c>
      <c r="M806" s="18">
        <v>0.55741776315789493</v>
      </c>
    </row>
    <row r="807" spans="1:13" x14ac:dyDescent="0.45">
      <c r="A807" t="s">
        <v>2043</v>
      </c>
      <c r="B807" s="18">
        <v>7.74</v>
      </c>
      <c r="C807" s="18">
        <v>7.32</v>
      </c>
      <c r="D807" s="18">
        <v>7.13</v>
      </c>
      <c r="E807" s="18">
        <v>5.77</v>
      </c>
      <c r="F807" s="18">
        <v>7.79</v>
      </c>
      <c r="G807" s="18">
        <v>7.3458980000000009</v>
      </c>
      <c r="H807" s="18">
        <v>6.6658920000000004</v>
      </c>
      <c r="I807" s="8">
        <v>5.7377049180327822E-2</v>
      </c>
      <c r="J807" s="8">
        <v>8.5553997194951048E-2</v>
      </c>
      <c r="K807" s="8">
        <v>0.34142114384748717</v>
      </c>
      <c r="L807" s="8">
        <v>-6.4184852374838952E-3</v>
      </c>
      <c r="M807" s="18">
        <v>0.4779337049852822</v>
      </c>
    </row>
    <row r="808" spans="1:13" x14ac:dyDescent="0.45">
      <c r="A808" t="s">
        <v>179</v>
      </c>
      <c r="B808" s="18">
        <v>93.79</v>
      </c>
      <c r="C808" s="18">
        <v>93.67</v>
      </c>
      <c r="D808" s="18">
        <v>93.04</v>
      </c>
      <c r="E808" s="18">
        <v>69.930000000000007</v>
      </c>
      <c r="F808" s="18">
        <v>64.75</v>
      </c>
      <c r="G808" s="18">
        <v>95.182000000000002</v>
      </c>
      <c r="H808" s="18">
        <v>85.656750000000017</v>
      </c>
      <c r="I808" s="8">
        <v>1.2810931995304029E-3</v>
      </c>
      <c r="J808" s="8">
        <v>8.0610490111778788E-3</v>
      </c>
      <c r="K808" s="8">
        <v>0.34119834119834119</v>
      </c>
      <c r="L808" s="8">
        <v>0.44849420849420851</v>
      </c>
      <c r="M808" s="18">
        <v>0.79903469190325804</v>
      </c>
    </row>
    <row r="809" spans="1:13" x14ac:dyDescent="0.45">
      <c r="A809" t="s">
        <v>2195</v>
      </c>
      <c r="B809" s="18">
        <v>8.89</v>
      </c>
      <c r="C809" s="18">
        <v>9.9</v>
      </c>
      <c r="D809" s="18">
        <v>8.68</v>
      </c>
      <c r="E809" s="18">
        <v>6.63</v>
      </c>
      <c r="F809" s="18">
        <v>8.5</v>
      </c>
      <c r="G809" s="18">
        <v>9.0977999999999994</v>
      </c>
      <c r="H809" s="18">
        <v>9.7341499999999996</v>
      </c>
      <c r="I809" s="8">
        <v>-0.102020202020202</v>
      </c>
      <c r="J809" s="8">
        <v>2.4193548387096971E-2</v>
      </c>
      <c r="K809" s="8">
        <v>0.34087481146304688</v>
      </c>
      <c r="L809" s="8">
        <v>4.5882352941176492E-2</v>
      </c>
      <c r="M809" s="18">
        <v>0.30893051077111833</v>
      </c>
    </row>
    <row r="810" spans="1:13" x14ac:dyDescent="0.45">
      <c r="A810" t="s">
        <v>1897</v>
      </c>
      <c r="B810" s="18">
        <v>17.760000000000002</v>
      </c>
      <c r="C810" s="18">
        <v>18.760000000000002</v>
      </c>
      <c r="D810" s="18">
        <v>17.53</v>
      </c>
      <c r="E810" s="18">
        <v>13.26</v>
      </c>
      <c r="F810" s="18">
        <v>17.8154</v>
      </c>
      <c r="G810" s="18">
        <v>18.361599999999999</v>
      </c>
      <c r="H810" s="18">
        <v>17.281862499999999</v>
      </c>
      <c r="I810" s="8">
        <v>-5.3304904051172719E-2</v>
      </c>
      <c r="J810" s="8">
        <v>1.3120365088419961E-2</v>
      </c>
      <c r="K810" s="8">
        <v>0.3393665158371042</v>
      </c>
      <c r="L810" s="8">
        <v>-3.1096691626345541E-3</v>
      </c>
      <c r="M810" s="18">
        <v>0.29607230771171689</v>
      </c>
    </row>
    <row r="811" spans="1:13" x14ac:dyDescent="0.45">
      <c r="A811" t="s">
        <v>995</v>
      </c>
      <c r="B811" s="18">
        <v>20.329999999999998</v>
      </c>
      <c r="C811" s="18">
        <v>21.45</v>
      </c>
      <c r="D811" s="18">
        <v>21.61</v>
      </c>
      <c r="E811" s="18">
        <v>15.18</v>
      </c>
      <c r="F811" s="18">
        <v>15.93</v>
      </c>
      <c r="G811" s="18">
        <v>21.1112</v>
      </c>
      <c r="H811" s="18">
        <v>20.0349</v>
      </c>
      <c r="I811" s="8">
        <v>-5.2214452214452312E-2</v>
      </c>
      <c r="J811" s="8">
        <v>-5.9231837112447949E-2</v>
      </c>
      <c r="K811" s="8">
        <v>0.33926218708827388</v>
      </c>
      <c r="L811" s="8">
        <v>0.27620841180163208</v>
      </c>
      <c r="M811" s="18">
        <v>0.50402430956300581</v>
      </c>
    </row>
    <row r="812" spans="1:13" x14ac:dyDescent="0.45">
      <c r="A812" t="s">
        <v>1058</v>
      </c>
      <c r="B812" s="18">
        <v>18.98</v>
      </c>
      <c r="C812" s="18">
        <v>19.239999999999998</v>
      </c>
      <c r="D812" s="18">
        <v>16.89</v>
      </c>
      <c r="E812" s="18">
        <v>14.18</v>
      </c>
      <c r="F812" s="18">
        <v>19.27</v>
      </c>
      <c r="G812" s="18">
        <v>19.003399999999999</v>
      </c>
      <c r="H812" s="18">
        <v>17.663049999999998</v>
      </c>
      <c r="I812" s="8">
        <v>-1.3513513513513381E-2</v>
      </c>
      <c r="J812" s="8">
        <v>0.1237418590882178</v>
      </c>
      <c r="K812" s="8">
        <v>0.33850493653032449</v>
      </c>
      <c r="L812" s="8">
        <v>-1.504929942916444E-2</v>
      </c>
      <c r="M812" s="18">
        <v>0.4336839826758645</v>
      </c>
    </row>
    <row r="813" spans="1:13" x14ac:dyDescent="0.45">
      <c r="A813" t="s">
        <v>2104</v>
      </c>
      <c r="B813" s="18">
        <v>145.04</v>
      </c>
      <c r="C813" s="18">
        <v>143.99</v>
      </c>
      <c r="D813" s="18">
        <v>133.29</v>
      </c>
      <c r="E813" s="18">
        <v>108.36</v>
      </c>
      <c r="F813" s="18">
        <v>122.42</v>
      </c>
      <c r="G813" s="18">
        <v>141.16300000000001</v>
      </c>
      <c r="H813" s="18">
        <v>126.57035</v>
      </c>
      <c r="I813" s="8">
        <v>7.2921730675741259E-3</v>
      </c>
      <c r="J813" s="8">
        <v>8.8153649936229206E-2</v>
      </c>
      <c r="K813" s="8">
        <v>0.33850129198966389</v>
      </c>
      <c r="L813" s="8">
        <v>0.1847737297827152</v>
      </c>
      <c r="M813" s="18">
        <v>0.6187208447761825</v>
      </c>
    </row>
    <row r="814" spans="1:13" x14ac:dyDescent="0.45">
      <c r="A814" t="s">
        <v>1452</v>
      </c>
      <c r="B814" s="18">
        <v>40.31</v>
      </c>
      <c r="C814" s="18">
        <v>40.770000000000003</v>
      </c>
      <c r="D814" s="18">
        <v>37.15</v>
      </c>
      <c r="E814" s="18">
        <v>30.14</v>
      </c>
      <c r="F814" s="18">
        <v>27.16</v>
      </c>
      <c r="G814" s="18">
        <v>39.525199999999998</v>
      </c>
      <c r="H814" s="18">
        <v>34.808149999999998</v>
      </c>
      <c r="I814" s="8">
        <v>-1.128280598479281E-2</v>
      </c>
      <c r="J814" s="8">
        <v>8.5060565275908662E-2</v>
      </c>
      <c r="K814" s="8">
        <v>0.33742534837425348</v>
      </c>
      <c r="L814" s="8">
        <v>0.48416789396170851</v>
      </c>
      <c r="M814" s="18">
        <v>0.89537100162707783</v>
      </c>
    </row>
    <row r="815" spans="1:13" x14ac:dyDescent="0.45">
      <c r="A815" t="s">
        <v>776</v>
      </c>
      <c r="B815" s="18">
        <v>14.71</v>
      </c>
      <c r="C815" s="18">
        <v>15.3</v>
      </c>
      <c r="D815" s="18">
        <v>14.2</v>
      </c>
      <c r="E815" s="18">
        <v>11</v>
      </c>
      <c r="F815" s="18">
        <v>19</v>
      </c>
      <c r="G815" s="18">
        <v>14.616400000000001</v>
      </c>
      <c r="H815" s="18">
        <v>14.43215</v>
      </c>
      <c r="I815" s="8">
        <v>-3.8562091503267948E-2</v>
      </c>
      <c r="J815" s="8">
        <v>3.5915492957746542E-2</v>
      </c>
      <c r="K815" s="8">
        <v>0.33727272727272739</v>
      </c>
      <c r="L815" s="8">
        <v>-0.2257894736842104</v>
      </c>
      <c r="M815" s="18">
        <v>0.1088366550429956</v>
      </c>
    </row>
    <row r="816" spans="1:13" x14ac:dyDescent="0.45">
      <c r="A816" t="s">
        <v>1214</v>
      </c>
      <c r="B816" s="18">
        <v>13.380599999999999</v>
      </c>
      <c r="C816" s="18">
        <v>15.3</v>
      </c>
      <c r="D816" s="18">
        <v>9.41</v>
      </c>
      <c r="E816" s="18">
        <v>10.01</v>
      </c>
      <c r="F816" s="18">
        <v>13.5</v>
      </c>
      <c r="G816" s="18">
        <v>13.622654000000001</v>
      </c>
      <c r="H816" s="18">
        <v>10.821939499999999</v>
      </c>
      <c r="I816" s="8">
        <v>-0.12545098039215699</v>
      </c>
      <c r="J816" s="8">
        <v>0.42195536663124322</v>
      </c>
      <c r="K816" s="8">
        <v>0.33672327672327662</v>
      </c>
      <c r="L816" s="8">
        <v>-8.8444444444445436E-3</v>
      </c>
      <c r="M816" s="18">
        <v>0.62438321851791834</v>
      </c>
    </row>
    <row r="817" spans="1:13" x14ac:dyDescent="0.45">
      <c r="A817" t="s">
        <v>934</v>
      </c>
      <c r="B817" s="18">
        <v>11.18</v>
      </c>
      <c r="C817" s="18">
        <v>12.3</v>
      </c>
      <c r="D817" s="18">
        <v>9.4</v>
      </c>
      <c r="E817" s="18">
        <v>8.3699999999999992</v>
      </c>
      <c r="F817" s="18">
        <v>14.68</v>
      </c>
      <c r="G817" s="18">
        <v>11.645</v>
      </c>
      <c r="H817" s="18">
        <v>10.432550000000001</v>
      </c>
      <c r="I817" s="8">
        <v>-9.1056910569105809E-2</v>
      </c>
      <c r="J817" s="8">
        <v>0.18936170212765949</v>
      </c>
      <c r="K817" s="8">
        <v>0.33572281959378741</v>
      </c>
      <c r="L817" s="8">
        <v>-0.23841961852861041</v>
      </c>
      <c r="M817" s="18">
        <v>0.1956079926237306</v>
      </c>
    </row>
    <row r="818" spans="1:13" x14ac:dyDescent="0.45">
      <c r="A818" t="s">
        <v>41</v>
      </c>
      <c r="B818" s="18">
        <v>47.55</v>
      </c>
      <c r="C818" s="18">
        <v>47.9</v>
      </c>
      <c r="D818" s="18">
        <v>43.56</v>
      </c>
      <c r="E818" s="18">
        <v>35.6</v>
      </c>
      <c r="F818" s="18">
        <v>35.090000000000003</v>
      </c>
      <c r="G818" s="18">
        <v>48.177199999999999</v>
      </c>
      <c r="H818" s="18">
        <v>41.8459875</v>
      </c>
      <c r="I818" s="8">
        <v>-7.3068893528184242E-3</v>
      </c>
      <c r="J818" s="8">
        <v>9.1597796143250587E-2</v>
      </c>
      <c r="K818" s="8">
        <v>0.33567415730337058</v>
      </c>
      <c r="L818" s="8">
        <v>0.35508691935024189</v>
      </c>
      <c r="M818" s="18">
        <v>0.77505198344404469</v>
      </c>
    </row>
    <row r="819" spans="1:13" x14ac:dyDescent="0.45">
      <c r="A819" t="s">
        <v>1366</v>
      </c>
      <c r="B819" s="18">
        <v>230.7</v>
      </c>
      <c r="C819" s="18">
        <v>255.96</v>
      </c>
      <c r="D819" s="18">
        <v>225.13</v>
      </c>
      <c r="E819" s="18">
        <v>172.73</v>
      </c>
      <c r="F819" s="18">
        <v>184.22</v>
      </c>
      <c r="G819" s="18">
        <v>228.66</v>
      </c>
      <c r="H819" s="18">
        <v>211.50614999999999</v>
      </c>
      <c r="I819" s="8">
        <v>-9.8687294889826638E-2</v>
      </c>
      <c r="J819" s="8">
        <v>2.474126060498372E-2</v>
      </c>
      <c r="K819" s="8">
        <v>0.33561049036067853</v>
      </c>
      <c r="L819" s="8">
        <v>0.25230702421018347</v>
      </c>
      <c r="M819" s="18">
        <v>0.51397148028601902</v>
      </c>
    </row>
    <row r="820" spans="1:13" x14ac:dyDescent="0.45">
      <c r="A820" t="s">
        <v>1760</v>
      </c>
      <c r="B820" s="18">
        <v>14.16</v>
      </c>
      <c r="C820" s="18">
        <v>13.76</v>
      </c>
      <c r="D820" s="18">
        <v>12.96</v>
      </c>
      <c r="E820" s="18">
        <v>10.61</v>
      </c>
      <c r="F820" s="18">
        <v>12.44</v>
      </c>
      <c r="G820" s="18">
        <v>13.526199999999999</v>
      </c>
      <c r="H820" s="18">
        <v>12.601896</v>
      </c>
      <c r="I820" s="8">
        <v>2.906976744186052E-2</v>
      </c>
      <c r="J820" s="8">
        <v>9.259259259259256E-2</v>
      </c>
      <c r="K820" s="8">
        <v>0.33459000942507072</v>
      </c>
      <c r="L820" s="8">
        <v>0.13826366559485531</v>
      </c>
      <c r="M820" s="18">
        <v>0.594516035054379</v>
      </c>
    </row>
    <row r="821" spans="1:13" x14ac:dyDescent="0.45">
      <c r="A821" t="s">
        <v>2063</v>
      </c>
      <c r="B821" s="18">
        <v>199.26</v>
      </c>
      <c r="C821" s="18">
        <v>232.98</v>
      </c>
      <c r="D821" s="18">
        <v>213.45</v>
      </c>
      <c r="E821" s="18">
        <v>149.36000000000001</v>
      </c>
      <c r="F821" s="18">
        <v>332.84</v>
      </c>
      <c r="G821" s="18">
        <v>220.4392</v>
      </c>
      <c r="H821" s="18">
        <v>252.99539999999999</v>
      </c>
      <c r="I821" s="8">
        <v>-0.14473345351532321</v>
      </c>
      <c r="J821" s="8">
        <v>-6.6479269149683717E-2</v>
      </c>
      <c r="K821" s="8">
        <v>0.33409212640599878</v>
      </c>
      <c r="L821" s="8">
        <v>-0.40133397428193729</v>
      </c>
      <c r="M821" s="18">
        <v>-0.27845457054094541</v>
      </c>
    </row>
    <row r="822" spans="1:13" x14ac:dyDescent="0.45">
      <c r="A822" t="s">
        <v>1388</v>
      </c>
      <c r="B822" s="18">
        <v>42.42</v>
      </c>
      <c r="C822" s="18">
        <v>47.27</v>
      </c>
      <c r="D822" s="18">
        <v>47.97</v>
      </c>
      <c r="E822" s="18">
        <v>31.8</v>
      </c>
      <c r="F822" s="18">
        <v>36.57</v>
      </c>
      <c r="G822" s="18">
        <v>44.965000000000003</v>
      </c>
      <c r="H822" s="18">
        <v>41.252549999999999</v>
      </c>
      <c r="I822" s="8">
        <v>-0.1026020731965306</v>
      </c>
      <c r="J822" s="8">
        <v>-0.11569731081926191</v>
      </c>
      <c r="K822" s="8">
        <v>0.33396226415094338</v>
      </c>
      <c r="L822" s="8">
        <v>0.15996718621821171</v>
      </c>
      <c r="M822" s="18">
        <v>0.27563006635336262</v>
      </c>
    </row>
    <row r="823" spans="1:13" x14ac:dyDescent="0.45">
      <c r="A823" t="s">
        <v>1449</v>
      </c>
      <c r="B823" s="18">
        <v>12.23</v>
      </c>
      <c r="C823" s="18">
        <v>12.38</v>
      </c>
      <c r="D823" s="18">
        <v>11.64</v>
      </c>
      <c r="E823" s="18">
        <v>9.17</v>
      </c>
      <c r="F823" s="18">
        <v>11.11</v>
      </c>
      <c r="G823" s="18">
        <v>12.225099999999999</v>
      </c>
      <c r="H823" s="18">
        <v>11.136585999999999</v>
      </c>
      <c r="I823" s="8">
        <v>-1.211631663974155E-2</v>
      </c>
      <c r="J823" s="8">
        <v>5.068728522336774E-2</v>
      </c>
      <c r="K823" s="8">
        <v>0.33369683751363161</v>
      </c>
      <c r="L823" s="8">
        <v>0.100810081008101</v>
      </c>
      <c r="M823" s="18">
        <v>0.4730778871053587</v>
      </c>
    </row>
    <row r="824" spans="1:13" x14ac:dyDescent="0.45">
      <c r="A824" t="s">
        <v>1879</v>
      </c>
      <c r="B824" s="18">
        <v>37.31</v>
      </c>
      <c r="C824" s="18">
        <v>43.49</v>
      </c>
      <c r="D824" s="18">
        <v>39.270000000000003</v>
      </c>
      <c r="E824" s="18">
        <v>28</v>
      </c>
      <c r="F824" s="18">
        <v>30.83</v>
      </c>
      <c r="G824" s="18">
        <v>40.781199999999998</v>
      </c>
      <c r="H824" s="18">
        <v>36.085599999999999</v>
      </c>
      <c r="I824" s="8">
        <v>-0.14210163255920899</v>
      </c>
      <c r="J824" s="8">
        <v>-4.9910873440285219E-2</v>
      </c>
      <c r="K824" s="8">
        <v>0.33250000000000002</v>
      </c>
      <c r="L824" s="8">
        <v>0.2101848848524166</v>
      </c>
      <c r="M824" s="18">
        <v>0.35067237885292241</v>
      </c>
    </row>
    <row r="825" spans="1:13" x14ac:dyDescent="0.45">
      <c r="A825" t="s">
        <v>173</v>
      </c>
      <c r="B825" s="18">
        <v>151.69999999999999</v>
      </c>
      <c r="C825" s="18">
        <v>162.09</v>
      </c>
      <c r="D825" s="18">
        <v>141.21</v>
      </c>
      <c r="E825" s="18">
        <v>113.94</v>
      </c>
      <c r="F825" s="18">
        <v>120.84</v>
      </c>
      <c r="G825" s="18">
        <v>159.50120000000001</v>
      </c>
      <c r="H825" s="18">
        <v>139.30930000000001</v>
      </c>
      <c r="I825" s="8">
        <v>-6.4100191251773797E-2</v>
      </c>
      <c r="J825" s="8">
        <v>7.4286523617307365E-2</v>
      </c>
      <c r="K825" s="8">
        <v>0.33140249253993331</v>
      </c>
      <c r="L825" s="8">
        <v>0.25537901357166493</v>
      </c>
      <c r="M825" s="18">
        <v>0.59696783847713175</v>
      </c>
    </row>
    <row r="826" spans="1:13" x14ac:dyDescent="0.45">
      <c r="A826" t="s">
        <v>938</v>
      </c>
      <c r="B826" s="18">
        <v>3.3</v>
      </c>
      <c r="C826" s="18">
        <v>3.75</v>
      </c>
      <c r="D826" s="18">
        <v>3.22</v>
      </c>
      <c r="E826" s="18">
        <v>2.48</v>
      </c>
      <c r="F826" s="18">
        <v>6.89</v>
      </c>
      <c r="G826" s="18">
        <v>3.4504000000000001</v>
      </c>
      <c r="H826" s="18">
        <v>3.20635</v>
      </c>
      <c r="I826" s="8">
        <v>-0.12</v>
      </c>
      <c r="J826" s="8">
        <v>2.4844720496894231E-2</v>
      </c>
      <c r="K826" s="8">
        <v>0.33064516129032251</v>
      </c>
      <c r="L826" s="8">
        <v>-0.52104499274310601</v>
      </c>
      <c r="M826" s="18">
        <v>-0.28555511095588931</v>
      </c>
    </row>
    <row r="827" spans="1:13" x14ac:dyDescent="0.45">
      <c r="A827" t="s">
        <v>2332</v>
      </c>
      <c r="B827" s="18">
        <v>22.75</v>
      </c>
      <c r="C827" s="18">
        <v>23.15</v>
      </c>
      <c r="D827" s="18">
        <v>20.14</v>
      </c>
      <c r="E827" s="18">
        <v>17.100000000000001</v>
      </c>
      <c r="F827" s="18">
        <v>17.700099999999999</v>
      </c>
      <c r="G827" s="18">
        <v>22.559756</v>
      </c>
      <c r="H827" s="18">
        <v>18.885437499999998</v>
      </c>
      <c r="I827" s="8">
        <v>-1.7278617710583141E-2</v>
      </c>
      <c r="J827" s="8">
        <v>0.1295928500496524</v>
      </c>
      <c r="K827" s="8">
        <v>0.33040935672514599</v>
      </c>
      <c r="L827" s="8">
        <v>0.28530347286173541</v>
      </c>
      <c r="M827" s="18">
        <v>0.72802706192595068</v>
      </c>
    </row>
    <row r="828" spans="1:13" x14ac:dyDescent="0.45">
      <c r="A828" t="s">
        <v>577</v>
      </c>
      <c r="B828" s="18">
        <v>24.08</v>
      </c>
      <c r="C828" s="18">
        <v>24.39</v>
      </c>
      <c r="D828" s="18">
        <v>24.5</v>
      </c>
      <c r="E828" s="18">
        <v>18.11</v>
      </c>
      <c r="F828" s="18">
        <v>22.08</v>
      </c>
      <c r="G828" s="18">
        <v>24.305599999999998</v>
      </c>
      <c r="H828" s="18">
        <v>23.404299999999999</v>
      </c>
      <c r="I828" s="8">
        <v>-1.2710127101271061E-2</v>
      </c>
      <c r="J828" s="8">
        <v>-1.7142857142857241E-2</v>
      </c>
      <c r="K828" s="8">
        <v>0.3296521258972942</v>
      </c>
      <c r="L828" s="8">
        <v>9.0579710144927494E-2</v>
      </c>
      <c r="M828" s="18">
        <v>0.3903788517980934</v>
      </c>
    </row>
    <row r="829" spans="1:13" x14ac:dyDescent="0.45">
      <c r="A829" t="s">
        <v>449</v>
      </c>
      <c r="B829" s="18">
        <v>146.55000000000001</v>
      </c>
      <c r="C829" s="18">
        <v>130.29</v>
      </c>
      <c r="D829" s="18">
        <v>137.37</v>
      </c>
      <c r="E829" s="18">
        <v>110.23</v>
      </c>
      <c r="F829" s="18">
        <v>128.22</v>
      </c>
      <c r="G829" s="18">
        <v>132.40020000000001</v>
      </c>
      <c r="H829" s="18">
        <v>128.53082499999999</v>
      </c>
      <c r="I829" s="8">
        <v>0.1247985263642646</v>
      </c>
      <c r="J829" s="8">
        <v>6.6826818082550865E-2</v>
      </c>
      <c r="K829" s="8">
        <v>0.32949287852671683</v>
      </c>
      <c r="L829" s="8">
        <v>0.14295741693963501</v>
      </c>
      <c r="M829" s="18">
        <v>0.66407563991316731</v>
      </c>
    </row>
    <row r="830" spans="1:13" x14ac:dyDescent="0.45">
      <c r="A830" t="s">
        <v>387</v>
      </c>
      <c r="B830" s="18">
        <v>137.84</v>
      </c>
      <c r="C830" s="18">
        <v>141.02000000000001</v>
      </c>
      <c r="D830" s="18">
        <v>143.31</v>
      </c>
      <c r="E830" s="18">
        <v>103.68</v>
      </c>
      <c r="F830" s="18">
        <v>151.44</v>
      </c>
      <c r="G830" s="18">
        <v>141.3176</v>
      </c>
      <c r="H830" s="18">
        <v>128.9579</v>
      </c>
      <c r="I830" s="8">
        <v>-2.2549992908807329E-2</v>
      </c>
      <c r="J830" s="8">
        <v>-3.8169004256506822E-2</v>
      </c>
      <c r="K830" s="8">
        <v>0.32947530864197527</v>
      </c>
      <c r="L830" s="8">
        <v>-8.9804543053354391E-2</v>
      </c>
      <c r="M830" s="18">
        <v>0.17895176842330671</v>
      </c>
    </row>
    <row r="831" spans="1:13" x14ac:dyDescent="0.45">
      <c r="A831" t="s">
        <v>1418</v>
      </c>
      <c r="B831" s="18">
        <v>18.79</v>
      </c>
      <c r="C831" s="18">
        <v>16.8</v>
      </c>
      <c r="D831" s="18">
        <v>16.079999999999998</v>
      </c>
      <c r="E831" s="18">
        <v>14.14</v>
      </c>
      <c r="F831" s="18">
        <v>18.440000000000001</v>
      </c>
      <c r="G831" s="18">
        <v>16.779399999999999</v>
      </c>
      <c r="H831" s="18">
        <v>16.39235</v>
      </c>
      <c r="I831" s="8">
        <v>0.1184523809523808</v>
      </c>
      <c r="J831" s="8">
        <v>0.16853233830845779</v>
      </c>
      <c r="K831" s="8">
        <v>0.32885431400282877</v>
      </c>
      <c r="L831" s="8">
        <v>1.898047722342722E-2</v>
      </c>
      <c r="M831" s="18">
        <v>0.63481951048709462</v>
      </c>
    </row>
    <row r="832" spans="1:13" x14ac:dyDescent="0.45">
      <c r="A832" t="s">
        <v>2141</v>
      </c>
      <c r="B832" s="18">
        <v>12.05</v>
      </c>
      <c r="C832" s="18">
        <v>11.38</v>
      </c>
      <c r="D832" s="18">
        <v>10.82</v>
      </c>
      <c r="E832" s="18">
        <v>9.07</v>
      </c>
      <c r="F832" s="18">
        <v>12.93</v>
      </c>
      <c r="G832" s="18">
        <v>11.315200000000001</v>
      </c>
      <c r="H832" s="18">
        <v>11.045299999999999</v>
      </c>
      <c r="I832" s="8">
        <v>5.88752196836555E-2</v>
      </c>
      <c r="J832" s="8">
        <v>0.11367837338262481</v>
      </c>
      <c r="K832" s="8">
        <v>0.32855567805953689</v>
      </c>
      <c r="L832" s="8">
        <v>-6.805877803557614E-2</v>
      </c>
      <c r="M832" s="18">
        <v>0.43305049309024102</v>
      </c>
    </row>
    <row r="833" spans="1:13" x14ac:dyDescent="0.45">
      <c r="A833" t="s">
        <v>1485</v>
      </c>
      <c r="B833" s="18">
        <v>6.96</v>
      </c>
      <c r="C833" s="18">
        <v>6.99</v>
      </c>
      <c r="D833" s="18">
        <v>6.37</v>
      </c>
      <c r="E833" s="18">
        <v>5.24</v>
      </c>
      <c r="F833" s="18">
        <v>5.8544999999999998</v>
      </c>
      <c r="G833" s="18">
        <v>6.9698000000000002</v>
      </c>
      <c r="H833" s="18">
        <v>6.0725075000000004</v>
      </c>
      <c r="I833" s="8">
        <v>-4.2918454935623176E-3</v>
      </c>
      <c r="J833" s="8">
        <v>9.262166405023553E-2</v>
      </c>
      <c r="K833" s="8">
        <v>0.3282442748091603</v>
      </c>
      <c r="L833" s="8">
        <v>0.18882910581603901</v>
      </c>
      <c r="M833" s="18">
        <v>0.60540319918187246</v>
      </c>
    </row>
    <row r="834" spans="1:13" x14ac:dyDescent="0.45">
      <c r="A834" t="s">
        <v>277</v>
      </c>
      <c r="B834" s="18">
        <v>56.4</v>
      </c>
      <c r="C834" s="18">
        <v>58.01</v>
      </c>
      <c r="D834" s="18">
        <v>53.15</v>
      </c>
      <c r="E834" s="18">
        <v>42.48</v>
      </c>
      <c r="F834" s="18">
        <v>45.68</v>
      </c>
      <c r="G834" s="18">
        <v>57.368599999999986</v>
      </c>
      <c r="H834" s="18">
        <v>51.200850000000003</v>
      </c>
      <c r="I834" s="8">
        <v>-2.7753835545595629E-2</v>
      </c>
      <c r="J834" s="8">
        <v>6.1147695202257817E-2</v>
      </c>
      <c r="K834" s="8">
        <v>0.32768361581920907</v>
      </c>
      <c r="L834" s="8">
        <v>0.23467600700525379</v>
      </c>
      <c r="M834" s="18">
        <v>0.59575348248112514</v>
      </c>
    </row>
    <row r="835" spans="1:13" x14ac:dyDescent="0.45">
      <c r="A835" t="s">
        <v>1240</v>
      </c>
      <c r="B835" s="18">
        <v>52.42</v>
      </c>
      <c r="C835" s="18">
        <v>55.22</v>
      </c>
      <c r="D835" s="18">
        <v>54.14</v>
      </c>
      <c r="E835" s="18">
        <v>39.49</v>
      </c>
      <c r="F835" s="18">
        <v>52.69</v>
      </c>
      <c r="G835" s="18">
        <v>54.195</v>
      </c>
      <c r="H835" s="18">
        <v>52.88839999999999</v>
      </c>
      <c r="I835" s="8">
        <v>-5.0706265845708032E-2</v>
      </c>
      <c r="J835" s="8">
        <v>-3.176948651643885E-2</v>
      </c>
      <c r="K835" s="8">
        <v>0.32742466447201818</v>
      </c>
      <c r="L835" s="8">
        <v>-5.1243120136648113E-3</v>
      </c>
      <c r="M835" s="18">
        <v>0.23982460009620651</v>
      </c>
    </row>
    <row r="836" spans="1:13" x14ac:dyDescent="0.45">
      <c r="A836" t="s">
        <v>1302</v>
      </c>
      <c r="B836" s="18">
        <v>11.8</v>
      </c>
      <c r="C836" s="18">
        <v>11.51</v>
      </c>
      <c r="D836" s="18">
        <v>12.37</v>
      </c>
      <c r="E836" s="18">
        <v>8.89</v>
      </c>
      <c r="F836" s="18">
        <v>8.7543000000000006</v>
      </c>
      <c r="G836" s="18">
        <v>11.652286</v>
      </c>
      <c r="H836" s="18">
        <v>10.489701500000001</v>
      </c>
      <c r="I836" s="8">
        <v>2.5195482189400709E-2</v>
      </c>
      <c r="J836" s="8">
        <v>-4.6079223928859991E-2</v>
      </c>
      <c r="K836" s="8">
        <v>0.32733408323959501</v>
      </c>
      <c r="L836" s="8">
        <v>0.34790902756359721</v>
      </c>
      <c r="M836" s="18">
        <v>0.65435936906373293</v>
      </c>
    </row>
    <row r="837" spans="1:13" x14ac:dyDescent="0.45">
      <c r="A837" t="s">
        <v>1055</v>
      </c>
      <c r="B837" s="18">
        <v>227.14</v>
      </c>
      <c r="C837" s="18">
        <v>220.27</v>
      </c>
      <c r="D837" s="18">
        <v>214.63</v>
      </c>
      <c r="E837" s="18">
        <v>171.2</v>
      </c>
      <c r="F837" s="18">
        <v>215.03</v>
      </c>
      <c r="G837" s="18">
        <v>221.88120000000001</v>
      </c>
      <c r="H837" s="18">
        <v>210.04239999999999</v>
      </c>
      <c r="I837" s="8">
        <v>3.118899532392061E-2</v>
      </c>
      <c r="J837" s="8">
        <v>5.8286353259096917E-2</v>
      </c>
      <c r="K837" s="8">
        <v>0.32675233644859819</v>
      </c>
      <c r="L837" s="8">
        <v>5.6317723108403328E-2</v>
      </c>
      <c r="M837" s="18">
        <v>0.47254540814001911</v>
      </c>
    </row>
    <row r="838" spans="1:13" x14ac:dyDescent="0.45">
      <c r="A838" t="s">
        <v>2190</v>
      </c>
      <c r="B838" s="18">
        <v>16.25</v>
      </c>
      <c r="C838" s="18">
        <v>16.579999999999998</v>
      </c>
      <c r="D838" s="18">
        <v>14.81</v>
      </c>
      <c r="E838" s="18">
        <v>12.25</v>
      </c>
      <c r="F838" s="18">
        <v>12.89</v>
      </c>
      <c r="G838" s="18">
        <v>16.416599999999999</v>
      </c>
      <c r="H838" s="18">
        <v>15.20885</v>
      </c>
      <c r="I838" s="8">
        <v>-1.990349819059101E-2</v>
      </c>
      <c r="J838" s="8">
        <v>9.7231600270087704E-2</v>
      </c>
      <c r="K838" s="8">
        <v>0.32653061224489788</v>
      </c>
      <c r="L838" s="8">
        <v>0.26066718386345999</v>
      </c>
      <c r="M838" s="18">
        <v>0.66452589818785457</v>
      </c>
    </row>
    <row r="839" spans="1:13" x14ac:dyDescent="0.45">
      <c r="A839" t="s">
        <v>2448</v>
      </c>
      <c r="B839" s="18">
        <v>17.239999999999998</v>
      </c>
      <c r="C839" s="18">
        <v>15.66</v>
      </c>
      <c r="D839" s="18">
        <v>18.29</v>
      </c>
      <c r="E839" s="18">
        <v>13</v>
      </c>
      <c r="F839" s="18">
        <v>30.99</v>
      </c>
      <c r="G839" s="18">
        <v>16.570399999999999</v>
      </c>
      <c r="H839" s="18">
        <v>20.847950000000001</v>
      </c>
      <c r="I839" s="8">
        <v>0.1008939974457215</v>
      </c>
      <c r="J839" s="8">
        <v>-5.7408419901585628E-2</v>
      </c>
      <c r="K839" s="8">
        <v>0.32615384615384602</v>
      </c>
      <c r="L839" s="8">
        <v>-0.44369151339141671</v>
      </c>
      <c r="M839" s="18">
        <v>-7.4052089693434797E-2</v>
      </c>
    </row>
    <row r="840" spans="1:13" x14ac:dyDescent="0.45">
      <c r="A840" t="s">
        <v>81</v>
      </c>
      <c r="B840" s="18">
        <v>76.13</v>
      </c>
      <c r="C840" s="18">
        <v>67.680000000000007</v>
      </c>
      <c r="D840" s="18">
        <v>75.7</v>
      </c>
      <c r="E840" s="18">
        <v>57.41</v>
      </c>
      <c r="F840" s="18">
        <v>79.36</v>
      </c>
      <c r="G840" s="18">
        <v>68.7196</v>
      </c>
      <c r="H840" s="18">
        <v>72.76155</v>
      </c>
      <c r="I840" s="8">
        <v>0.124852245862884</v>
      </c>
      <c r="J840" s="8">
        <v>5.6803170409509551E-3</v>
      </c>
      <c r="K840" s="8">
        <v>0.32607559658596053</v>
      </c>
      <c r="L840" s="8">
        <v>-4.0700604838709742E-2</v>
      </c>
      <c r="M840" s="18">
        <v>0.41590755465108581</v>
      </c>
    </row>
    <row r="841" spans="1:13" x14ac:dyDescent="0.45">
      <c r="A841" t="s">
        <v>1496</v>
      </c>
      <c r="B841" s="18">
        <v>54.44</v>
      </c>
      <c r="C841" s="18">
        <v>64.290000000000006</v>
      </c>
      <c r="D841" s="18">
        <v>55.69</v>
      </c>
      <c r="E841" s="18">
        <v>41.06</v>
      </c>
      <c r="F841" s="18">
        <v>63.34</v>
      </c>
      <c r="G841" s="18">
        <v>62.889000000000003</v>
      </c>
      <c r="H841" s="18">
        <v>60.159799999999997</v>
      </c>
      <c r="I841" s="8">
        <v>-0.15321200808834981</v>
      </c>
      <c r="J841" s="8">
        <v>-2.244568145088888E-2</v>
      </c>
      <c r="K841" s="8">
        <v>0.32586458840720889</v>
      </c>
      <c r="L841" s="8">
        <v>-0.14051152510262091</v>
      </c>
      <c r="M841" s="18">
        <v>9.6953737653493466E-3</v>
      </c>
    </row>
    <row r="842" spans="1:13" x14ac:dyDescent="0.45">
      <c r="A842" t="s">
        <v>2506</v>
      </c>
      <c r="B842" s="18">
        <v>10.51</v>
      </c>
      <c r="C842" s="18">
        <v>8.41</v>
      </c>
      <c r="D842" s="18">
        <v>9.74</v>
      </c>
      <c r="E842" s="18">
        <v>7.93</v>
      </c>
      <c r="F842" s="18">
        <v>11.52</v>
      </c>
      <c r="G842" s="18">
        <v>9.1926000000000005</v>
      </c>
      <c r="H842" s="18">
        <v>10.07105</v>
      </c>
      <c r="I842" s="8">
        <v>0.24970273483947669</v>
      </c>
      <c r="J842" s="8">
        <v>7.9055441478439459E-2</v>
      </c>
      <c r="K842" s="8">
        <v>0.32534678436317788</v>
      </c>
      <c r="L842" s="8">
        <v>-8.7673611111111049E-2</v>
      </c>
      <c r="M842" s="18">
        <v>0.56643134956998298</v>
      </c>
    </row>
    <row r="843" spans="1:13" x14ac:dyDescent="0.45">
      <c r="A843" t="s">
        <v>177</v>
      </c>
      <c r="B843" s="18">
        <v>90.69</v>
      </c>
      <c r="C843" s="18">
        <v>84.66</v>
      </c>
      <c r="D843" s="18">
        <v>95.76</v>
      </c>
      <c r="E843" s="18">
        <v>68.47</v>
      </c>
      <c r="F843" s="18">
        <v>90.15</v>
      </c>
      <c r="G843" s="18">
        <v>87.199799999999996</v>
      </c>
      <c r="H843" s="18">
        <v>86.199300000000008</v>
      </c>
      <c r="I843" s="8">
        <v>7.1226080793763247E-2</v>
      </c>
      <c r="J843" s="8">
        <v>-5.2944862155388517E-2</v>
      </c>
      <c r="K843" s="8">
        <v>0.32452168833065559</v>
      </c>
      <c r="L843" s="8">
        <v>5.9900166389350584E-3</v>
      </c>
      <c r="M843" s="18">
        <v>0.34879292360796538</v>
      </c>
    </row>
    <row r="844" spans="1:13" x14ac:dyDescent="0.45">
      <c r="A844" t="s">
        <v>723</v>
      </c>
      <c r="B844" s="18">
        <v>115.32</v>
      </c>
      <c r="C844" s="18">
        <v>127.99</v>
      </c>
      <c r="D844" s="18">
        <v>123.58</v>
      </c>
      <c r="E844" s="18">
        <v>87.1</v>
      </c>
      <c r="F844" s="18">
        <v>117.46</v>
      </c>
      <c r="G844" s="18">
        <v>125.2286</v>
      </c>
      <c r="H844" s="18">
        <v>114.2021</v>
      </c>
      <c r="I844" s="8">
        <v>-9.8992108758496733E-2</v>
      </c>
      <c r="J844" s="8">
        <v>-6.6839294384204662E-2</v>
      </c>
      <c r="K844" s="8">
        <v>0.32399540757749712</v>
      </c>
      <c r="L844" s="8">
        <v>-1.8218968159373409E-2</v>
      </c>
      <c r="M844" s="18">
        <v>0.13994503627542229</v>
      </c>
    </row>
    <row r="845" spans="1:13" x14ac:dyDescent="0.45">
      <c r="A845" t="s">
        <v>18</v>
      </c>
      <c r="B845" s="18">
        <v>150.97</v>
      </c>
      <c r="C845" s="18">
        <v>143.6</v>
      </c>
      <c r="D845" s="18">
        <v>135.33000000000001</v>
      </c>
      <c r="E845" s="18">
        <v>114.05</v>
      </c>
      <c r="F845" s="18">
        <v>185.68</v>
      </c>
      <c r="G845" s="18">
        <v>139.37520000000001</v>
      </c>
      <c r="H845" s="18">
        <v>135.38425000000001</v>
      </c>
      <c r="I845" s="8">
        <v>5.1323119777158872E-2</v>
      </c>
      <c r="J845" s="8">
        <v>0.1155693489987437</v>
      </c>
      <c r="K845" s="8">
        <v>0.32371766768960991</v>
      </c>
      <c r="L845" s="8">
        <v>-0.18693451098664371</v>
      </c>
      <c r="M845" s="18">
        <v>0.30367562547886873</v>
      </c>
    </row>
    <row r="846" spans="1:13" x14ac:dyDescent="0.45">
      <c r="A846" t="s">
        <v>2257</v>
      </c>
      <c r="B846" s="18">
        <v>24.58</v>
      </c>
      <c r="C846" s="18">
        <v>26.55</v>
      </c>
      <c r="D846" s="18">
        <v>25.94</v>
      </c>
      <c r="E846" s="18">
        <v>18.57</v>
      </c>
      <c r="F846" s="18">
        <v>18.97</v>
      </c>
      <c r="G846" s="18">
        <v>24.505600000000001</v>
      </c>
      <c r="H846" s="18">
        <v>22.898800000000001</v>
      </c>
      <c r="I846" s="8">
        <v>-7.4199623352165789E-2</v>
      </c>
      <c r="J846" s="8">
        <v>-5.2428681572860507E-2</v>
      </c>
      <c r="K846" s="8">
        <v>0.32364028002154011</v>
      </c>
      <c r="L846" s="8">
        <v>0.29573010015814449</v>
      </c>
      <c r="M846" s="18">
        <v>0.4927420752546583</v>
      </c>
    </row>
    <row r="847" spans="1:13" x14ac:dyDescent="0.45">
      <c r="A847" t="s">
        <v>548</v>
      </c>
      <c r="B847" s="18">
        <v>22.67</v>
      </c>
      <c r="C847" s="18">
        <v>21.8</v>
      </c>
      <c r="D847" s="18">
        <v>21.75</v>
      </c>
      <c r="E847" s="18">
        <v>17.13</v>
      </c>
      <c r="F847" s="18">
        <v>21.45</v>
      </c>
      <c r="G847" s="18">
        <v>21.931999999999999</v>
      </c>
      <c r="H847" s="18">
        <v>20.616199999999999</v>
      </c>
      <c r="I847" s="8">
        <v>3.9908256880734072E-2</v>
      </c>
      <c r="J847" s="8">
        <v>4.2298850574712832E-2</v>
      </c>
      <c r="K847" s="8">
        <v>0.32340922358435509</v>
      </c>
      <c r="L847" s="8">
        <v>5.6876456876457038E-2</v>
      </c>
      <c r="M847" s="18">
        <v>0.46249278791625897</v>
      </c>
    </row>
    <row r="848" spans="1:13" x14ac:dyDescent="0.45">
      <c r="A848" t="s">
        <v>2317</v>
      </c>
      <c r="B848" s="18">
        <v>75.86</v>
      </c>
      <c r="C848" s="18">
        <v>76.14</v>
      </c>
      <c r="D848" s="18">
        <v>78.569999999999993</v>
      </c>
      <c r="E848" s="18">
        <v>57.34</v>
      </c>
      <c r="F848" s="18">
        <v>83.9</v>
      </c>
      <c r="G848" s="18">
        <v>76.468400000000003</v>
      </c>
      <c r="H848" s="18">
        <v>74.062649999999991</v>
      </c>
      <c r="I848" s="8">
        <v>-3.677436301549819E-3</v>
      </c>
      <c r="J848" s="8">
        <v>-3.4491536209749207E-2</v>
      </c>
      <c r="K848" s="8">
        <v>0.32298569933728638</v>
      </c>
      <c r="L848" s="8">
        <v>-9.5828367103694911E-2</v>
      </c>
      <c r="M848" s="18">
        <v>0.18898835972229239</v>
      </c>
    </row>
    <row r="849" spans="1:13" x14ac:dyDescent="0.45">
      <c r="A849" t="s">
        <v>420</v>
      </c>
      <c r="B849" s="18">
        <v>165.15</v>
      </c>
      <c r="C849" s="18">
        <v>165.59</v>
      </c>
      <c r="D849" s="18">
        <v>160.19999999999999</v>
      </c>
      <c r="E849" s="18">
        <v>124.86</v>
      </c>
      <c r="F849" s="18">
        <v>127.13</v>
      </c>
      <c r="G849" s="18">
        <v>167.8862</v>
      </c>
      <c r="H849" s="18">
        <v>155.19825</v>
      </c>
      <c r="I849" s="8">
        <v>-2.6571652877589451E-3</v>
      </c>
      <c r="J849" s="8">
        <v>3.0898876404494399E-2</v>
      </c>
      <c r="K849" s="8">
        <v>0.32268140317155208</v>
      </c>
      <c r="L849" s="8">
        <v>0.29906395028710769</v>
      </c>
      <c r="M849" s="18">
        <v>0.64998706457539535</v>
      </c>
    </row>
    <row r="850" spans="1:13" x14ac:dyDescent="0.45">
      <c r="A850" t="s">
        <v>1925</v>
      </c>
      <c r="B850" s="18">
        <v>74.44</v>
      </c>
      <c r="C850" s="18">
        <v>70.03</v>
      </c>
      <c r="D850" s="18">
        <v>72.930000000000007</v>
      </c>
      <c r="E850" s="18">
        <v>56.29</v>
      </c>
      <c r="F850" s="18">
        <v>60.28</v>
      </c>
      <c r="G850" s="18">
        <v>68.831199999999995</v>
      </c>
      <c r="H850" s="18">
        <v>70.451399999999992</v>
      </c>
      <c r="I850" s="8">
        <v>6.2973011566471504E-2</v>
      </c>
      <c r="J850" s="8">
        <v>2.070478541066767E-2</v>
      </c>
      <c r="K850" s="8">
        <v>0.32243737786462973</v>
      </c>
      <c r="L850" s="8">
        <v>0.23490378234903789</v>
      </c>
      <c r="M850" s="18">
        <v>0.6410189571908067</v>
      </c>
    </row>
    <row r="851" spans="1:13" x14ac:dyDescent="0.45">
      <c r="A851" t="s">
        <v>30</v>
      </c>
      <c r="B851" s="18">
        <v>70.33</v>
      </c>
      <c r="C851" s="18">
        <v>67.34</v>
      </c>
      <c r="D851" s="18">
        <v>68.760000000000005</v>
      </c>
      <c r="E851" s="18">
        <v>53.19</v>
      </c>
      <c r="F851" s="18">
        <v>52.75</v>
      </c>
      <c r="G851" s="18">
        <v>68.169800000000009</v>
      </c>
      <c r="H851" s="18">
        <v>63.764049999999997</v>
      </c>
      <c r="I851" s="8">
        <v>4.4401544401544417E-2</v>
      </c>
      <c r="J851" s="8">
        <v>2.2833042466550161E-2</v>
      </c>
      <c r="K851" s="8">
        <v>0.32224102274863697</v>
      </c>
      <c r="L851" s="8">
        <v>0.33327014218009482</v>
      </c>
      <c r="M851" s="18">
        <v>0.72274575179682632</v>
      </c>
    </row>
    <row r="852" spans="1:13" x14ac:dyDescent="0.45">
      <c r="A852" t="s">
        <v>805</v>
      </c>
      <c r="B852" s="18">
        <v>34.520000000000003</v>
      </c>
      <c r="C852" s="18">
        <v>34.090000000000003</v>
      </c>
      <c r="D852" s="18">
        <v>31.52</v>
      </c>
      <c r="E852" s="18">
        <v>26.11</v>
      </c>
      <c r="F852" s="18">
        <v>32.880000000000003</v>
      </c>
      <c r="G852" s="18">
        <v>34.266800000000003</v>
      </c>
      <c r="H852" s="18">
        <v>31.791350000000001</v>
      </c>
      <c r="I852" s="8">
        <v>1.2613669697858709E-2</v>
      </c>
      <c r="J852" s="8">
        <v>9.5177664974619436E-2</v>
      </c>
      <c r="K852" s="8">
        <v>0.32209881271543489</v>
      </c>
      <c r="L852" s="8">
        <v>4.987834549878345E-2</v>
      </c>
      <c r="M852" s="18">
        <v>0.47976849288669648</v>
      </c>
    </row>
    <row r="853" spans="1:13" x14ac:dyDescent="0.45">
      <c r="A853" t="s">
        <v>298</v>
      </c>
      <c r="B853" s="18">
        <v>419.67</v>
      </c>
      <c r="C853" s="18">
        <v>437.24</v>
      </c>
      <c r="D853" s="18">
        <v>422.26</v>
      </c>
      <c r="E853" s="18">
        <v>317.5</v>
      </c>
      <c r="F853" s="18">
        <v>429.72</v>
      </c>
      <c r="G853" s="18">
        <v>431.77240000000012</v>
      </c>
      <c r="H853" s="18">
        <v>398.40240000000011</v>
      </c>
      <c r="I853" s="8">
        <v>-4.0183880706248232E-2</v>
      </c>
      <c r="J853" s="8">
        <v>-6.1336617250035141E-3</v>
      </c>
      <c r="K853" s="8">
        <v>0.32179527559055132</v>
      </c>
      <c r="L853" s="8">
        <v>-2.3387321977101361E-2</v>
      </c>
      <c r="M853" s="18">
        <v>0.25209041118219822</v>
      </c>
    </row>
    <row r="854" spans="1:13" x14ac:dyDescent="0.45">
      <c r="A854" t="s">
        <v>651</v>
      </c>
      <c r="B854" s="18">
        <v>11.24</v>
      </c>
      <c r="C854" s="18">
        <v>12.37</v>
      </c>
      <c r="D854" s="18">
        <v>10.36</v>
      </c>
      <c r="E854" s="18">
        <v>8.51</v>
      </c>
      <c r="F854" s="18">
        <v>18.32</v>
      </c>
      <c r="G854" s="18">
        <v>11.6744</v>
      </c>
      <c r="H854" s="18">
        <v>10.674250000000001</v>
      </c>
      <c r="I854" s="8">
        <v>-9.1350040420371759E-2</v>
      </c>
      <c r="J854" s="8">
        <v>8.4942084942084994E-2</v>
      </c>
      <c r="K854" s="8">
        <v>0.32079905992949481</v>
      </c>
      <c r="L854" s="8">
        <v>-0.38646288209606983</v>
      </c>
      <c r="M854" s="18">
        <v>-7.2071777644861834E-2</v>
      </c>
    </row>
    <row r="855" spans="1:13" x14ac:dyDescent="0.45">
      <c r="A855" t="s">
        <v>330</v>
      </c>
      <c r="B855" s="18">
        <v>124.73</v>
      </c>
      <c r="C855" s="18">
        <v>137.38999999999999</v>
      </c>
      <c r="D855" s="18">
        <v>143.05000000000001</v>
      </c>
      <c r="E855" s="18">
        <v>94.51</v>
      </c>
      <c r="F855" s="18">
        <v>133.28</v>
      </c>
      <c r="G855" s="18">
        <v>139.6448</v>
      </c>
      <c r="H855" s="18">
        <v>132.72274999999999</v>
      </c>
      <c r="I855" s="8">
        <v>-9.2146444428269803E-2</v>
      </c>
      <c r="J855" s="8">
        <v>-0.12806710940230689</v>
      </c>
      <c r="K855" s="8">
        <v>0.31975452333086452</v>
      </c>
      <c r="L855" s="8">
        <v>-6.4150660264105652E-2</v>
      </c>
      <c r="M855" s="18">
        <v>3.5390309236182138E-2</v>
      </c>
    </row>
    <row r="856" spans="1:13" x14ac:dyDescent="0.45">
      <c r="A856" t="s">
        <v>11</v>
      </c>
      <c r="B856" s="18">
        <v>225.22</v>
      </c>
      <c r="C856" s="18">
        <v>238.24</v>
      </c>
      <c r="D856" s="18">
        <v>222.26</v>
      </c>
      <c r="E856" s="18">
        <v>170.66</v>
      </c>
      <c r="F856" s="18">
        <v>186.51</v>
      </c>
      <c r="G856" s="18">
        <v>226.05439999999999</v>
      </c>
      <c r="H856" s="18">
        <v>214.50020000000001</v>
      </c>
      <c r="I856" s="8">
        <v>-5.4650772330423147E-2</v>
      </c>
      <c r="J856" s="8">
        <v>1.3317735984882621E-2</v>
      </c>
      <c r="K856" s="8">
        <v>0.31969998828079232</v>
      </c>
      <c r="L856" s="8">
        <v>0.20754919307275749</v>
      </c>
      <c r="M856" s="18">
        <v>0.48591614500800928</v>
      </c>
    </row>
    <row r="857" spans="1:13" x14ac:dyDescent="0.45">
      <c r="A857" t="s">
        <v>455</v>
      </c>
      <c r="B857" s="18">
        <v>105.82</v>
      </c>
      <c r="C857" s="18">
        <v>107.15</v>
      </c>
      <c r="D857" s="18">
        <v>102.96</v>
      </c>
      <c r="E857" s="18">
        <v>80.27</v>
      </c>
      <c r="F857" s="18">
        <v>108.47</v>
      </c>
      <c r="G857" s="18">
        <v>105.6866</v>
      </c>
      <c r="H857" s="18">
        <v>101.528875</v>
      </c>
      <c r="I857" s="8">
        <v>-1.241250583294462E-2</v>
      </c>
      <c r="J857" s="8">
        <v>2.7777777777777679E-2</v>
      </c>
      <c r="K857" s="8">
        <v>0.31830073501930989</v>
      </c>
      <c r="L857" s="8">
        <v>-2.4430718170922901E-2</v>
      </c>
      <c r="M857" s="18">
        <v>0.30923528879321999</v>
      </c>
    </row>
    <row r="858" spans="1:13" x14ac:dyDescent="0.45">
      <c r="A858" t="s">
        <v>749</v>
      </c>
      <c r="B858" s="18">
        <v>6.34</v>
      </c>
      <c r="C858" s="18">
        <v>7.21</v>
      </c>
      <c r="D858" s="18">
        <v>6.62</v>
      </c>
      <c r="E858" s="18">
        <v>4.8099999999999996</v>
      </c>
      <c r="F858" s="18">
        <v>8.32</v>
      </c>
      <c r="G858" s="18">
        <v>6.8726000000000003</v>
      </c>
      <c r="H858" s="18">
        <v>6.4354499999999986</v>
      </c>
      <c r="I858" s="8">
        <v>-0.1206657420249654</v>
      </c>
      <c r="J858" s="8">
        <v>-4.2296072507552962E-2</v>
      </c>
      <c r="K858" s="8">
        <v>0.31808731808731833</v>
      </c>
      <c r="L858" s="8">
        <v>-0.2379807692307693</v>
      </c>
      <c r="M858" s="18">
        <v>-8.2855265675969347E-2</v>
      </c>
    </row>
    <row r="859" spans="1:13" x14ac:dyDescent="0.45">
      <c r="A859" t="s">
        <v>1140</v>
      </c>
      <c r="B859" s="18">
        <v>8.6199999999999992</v>
      </c>
      <c r="C859" s="18">
        <v>8.08</v>
      </c>
      <c r="D859" s="18">
        <v>7.95</v>
      </c>
      <c r="E859" s="18">
        <v>6.54</v>
      </c>
      <c r="F859" s="18">
        <v>6.52</v>
      </c>
      <c r="G859" s="18">
        <v>8.3689700000000009</v>
      </c>
      <c r="H859" s="18">
        <v>7.1805405000000011</v>
      </c>
      <c r="I859" s="8">
        <v>6.6831683168316669E-2</v>
      </c>
      <c r="J859" s="8">
        <v>8.4276729559748409E-2</v>
      </c>
      <c r="K859" s="8">
        <v>0.31804281345565738</v>
      </c>
      <c r="L859" s="8">
        <v>0.32208588957055212</v>
      </c>
      <c r="M859" s="18">
        <v>0.79123711575427458</v>
      </c>
    </row>
    <row r="860" spans="1:13" x14ac:dyDescent="0.45">
      <c r="A860" t="s">
        <v>1903</v>
      </c>
      <c r="B860" s="18">
        <v>230.71</v>
      </c>
      <c r="C860" s="18">
        <v>251.2</v>
      </c>
      <c r="D860" s="18">
        <v>232.75</v>
      </c>
      <c r="E860" s="18">
        <v>175.11</v>
      </c>
      <c r="F860" s="18">
        <v>172.74</v>
      </c>
      <c r="G860" s="18">
        <v>243.51400000000001</v>
      </c>
      <c r="H860" s="18">
        <v>213.91274999999999</v>
      </c>
      <c r="I860" s="8">
        <v>-8.1568471337579496E-2</v>
      </c>
      <c r="J860" s="8">
        <v>-8.7647690655209276E-3</v>
      </c>
      <c r="K860" s="8">
        <v>0.31751470504254459</v>
      </c>
      <c r="L860" s="8">
        <v>0.33559106171124231</v>
      </c>
      <c r="M860" s="18">
        <v>0.56277252635068653</v>
      </c>
    </row>
    <row r="861" spans="1:13" x14ac:dyDescent="0.45">
      <c r="A861" t="s">
        <v>1883</v>
      </c>
      <c r="B861" s="18">
        <v>139.12</v>
      </c>
      <c r="C861" s="18">
        <v>104.21</v>
      </c>
      <c r="D861" s="18">
        <v>102.87</v>
      </c>
      <c r="E861" s="18">
        <v>105.6</v>
      </c>
      <c r="F861" s="18">
        <v>209.05</v>
      </c>
      <c r="G861" s="18">
        <v>113.7334</v>
      </c>
      <c r="H861" s="18">
        <v>128.86779999999999</v>
      </c>
      <c r="I861" s="8">
        <v>0.334996641397179</v>
      </c>
      <c r="J861" s="8">
        <v>0.35238650724215043</v>
      </c>
      <c r="K861" s="8">
        <v>0.31742424242424261</v>
      </c>
      <c r="L861" s="8">
        <v>-0.3345132743362832</v>
      </c>
      <c r="M861" s="18">
        <v>0.67029411672728878</v>
      </c>
    </row>
    <row r="862" spans="1:13" x14ac:dyDescent="0.45">
      <c r="A862" t="s">
        <v>965</v>
      </c>
      <c r="B862" s="18">
        <v>7.27</v>
      </c>
      <c r="C862" s="18">
        <v>6.68</v>
      </c>
      <c r="D862" s="18">
        <v>6.11</v>
      </c>
      <c r="E862" s="18">
        <v>5.52</v>
      </c>
      <c r="F862" s="18">
        <v>5.83</v>
      </c>
      <c r="G862" s="18">
        <v>6.6471280000000004</v>
      </c>
      <c r="H862" s="18">
        <v>5.9767460000000003</v>
      </c>
      <c r="I862" s="8">
        <v>8.832335329341312E-2</v>
      </c>
      <c r="J862" s="8">
        <v>0.1898527004909982</v>
      </c>
      <c r="K862" s="8">
        <v>0.31702898550724629</v>
      </c>
      <c r="L862" s="8">
        <v>0.24699828473413371</v>
      </c>
      <c r="M862" s="18">
        <v>0.84220332402579134</v>
      </c>
    </row>
    <row r="863" spans="1:13" x14ac:dyDescent="0.45">
      <c r="A863" t="s">
        <v>1031</v>
      </c>
      <c r="B863" s="18">
        <v>3.49</v>
      </c>
      <c r="C863" s="18">
        <v>4.4000000000000004</v>
      </c>
      <c r="D863" s="18">
        <v>3.04</v>
      </c>
      <c r="E863" s="18">
        <v>2.65</v>
      </c>
      <c r="F863" s="18">
        <v>6.82</v>
      </c>
      <c r="G863" s="18">
        <v>3.6265999999999998</v>
      </c>
      <c r="H863" s="18">
        <v>3.7745500000000001</v>
      </c>
      <c r="I863" s="8">
        <v>-0.20681818181818179</v>
      </c>
      <c r="J863" s="8">
        <v>0.1480263157894737</v>
      </c>
      <c r="K863" s="8">
        <v>0.31698113207547179</v>
      </c>
      <c r="L863" s="8">
        <v>-0.48826979472140758</v>
      </c>
      <c r="M863" s="18">
        <v>-0.2300805286746439</v>
      </c>
    </row>
    <row r="864" spans="1:13" x14ac:dyDescent="0.45">
      <c r="A864" t="s">
        <v>105</v>
      </c>
      <c r="B864" s="18">
        <v>231.24</v>
      </c>
      <c r="C864" s="18">
        <v>210.42</v>
      </c>
      <c r="D864" s="18">
        <v>195</v>
      </c>
      <c r="E864" s="18">
        <v>175.67</v>
      </c>
      <c r="F864" s="18">
        <v>194.29</v>
      </c>
      <c r="G864" s="18">
        <v>212.8792</v>
      </c>
      <c r="H864" s="18">
        <v>195.227</v>
      </c>
      <c r="I864" s="8">
        <v>9.8944967208440371E-2</v>
      </c>
      <c r="J864" s="8">
        <v>0.18584615384615399</v>
      </c>
      <c r="K864" s="8">
        <v>0.31633175841065642</v>
      </c>
      <c r="L864" s="8">
        <v>0.19017962839055039</v>
      </c>
      <c r="M864" s="18">
        <v>0.79130250785580114</v>
      </c>
    </row>
    <row r="865" spans="1:13" x14ac:dyDescent="0.45">
      <c r="A865" t="s">
        <v>1401</v>
      </c>
      <c r="B865" s="18">
        <v>3.08</v>
      </c>
      <c r="C865" s="18">
        <v>3.67</v>
      </c>
      <c r="D865" s="18">
        <v>2.2400000000000002</v>
      </c>
      <c r="E865" s="18">
        <v>2.34</v>
      </c>
      <c r="F865" s="18">
        <v>2.81</v>
      </c>
      <c r="G865" s="18">
        <v>3.286</v>
      </c>
      <c r="H865" s="18">
        <v>2.659650000000001</v>
      </c>
      <c r="I865" s="8">
        <v>-0.16076294277929151</v>
      </c>
      <c r="J865" s="8">
        <v>0.375</v>
      </c>
      <c r="K865" s="8">
        <v>0.31623931623931639</v>
      </c>
      <c r="L865" s="8">
        <v>9.6085409252669063E-2</v>
      </c>
      <c r="M865" s="18">
        <v>0.62656178271269403</v>
      </c>
    </row>
    <row r="866" spans="1:13" x14ac:dyDescent="0.45">
      <c r="A866" t="s">
        <v>17</v>
      </c>
      <c r="B866" s="18">
        <v>85.38</v>
      </c>
      <c r="C866" s="18">
        <v>81.22</v>
      </c>
      <c r="D866" s="18">
        <v>71.81</v>
      </c>
      <c r="E866" s="18">
        <v>64.900000000000006</v>
      </c>
      <c r="F866" s="18">
        <v>77.47</v>
      </c>
      <c r="G866" s="18">
        <v>78.665199999999999</v>
      </c>
      <c r="H866" s="18">
        <v>72.824524999999994</v>
      </c>
      <c r="I866" s="8">
        <v>5.1218911598128518E-2</v>
      </c>
      <c r="J866" s="8">
        <v>0.18897089541846521</v>
      </c>
      <c r="K866" s="8">
        <v>0.31556240369799671</v>
      </c>
      <c r="L866" s="8">
        <v>0.1021040402736544</v>
      </c>
      <c r="M866" s="18">
        <v>0.65785625098824485</v>
      </c>
    </row>
    <row r="867" spans="1:13" x14ac:dyDescent="0.45">
      <c r="A867" t="s">
        <v>94</v>
      </c>
      <c r="B867" s="18">
        <v>258.07</v>
      </c>
      <c r="C867" s="18">
        <v>247.86</v>
      </c>
      <c r="D867" s="18">
        <v>235.33</v>
      </c>
      <c r="E867" s="18">
        <v>196.25</v>
      </c>
      <c r="F867" s="18">
        <v>151.69</v>
      </c>
      <c r="G867" s="18">
        <v>240.1602</v>
      </c>
      <c r="H867" s="18">
        <v>220.63140000000001</v>
      </c>
      <c r="I867" s="8">
        <v>4.1192608730735047E-2</v>
      </c>
      <c r="J867" s="8">
        <v>9.6630263884757595E-2</v>
      </c>
      <c r="K867" s="8">
        <v>0.31500636942675148</v>
      </c>
      <c r="L867" s="8">
        <v>0.70129870129870131</v>
      </c>
      <c r="M867" s="18">
        <v>1.154127943340945</v>
      </c>
    </row>
    <row r="868" spans="1:13" x14ac:dyDescent="0.45">
      <c r="A868" t="s">
        <v>2054</v>
      </c>
      <c r="B868" s="18">
        <v>41.49</v>
      </c>
      <c r="C868" s="18">
        <v>42.72</v>
      </c>
      <c r="D868" s="18">
        <v>36.93</v>
      </c>
      <c r="E868" s="18">
        <v>31.57</v>
      </c>
      <c r="F868" s="18">
        <v>48.4</v>
      </c>
      <c r="G868" s="18">
        <v>40.333200000000012</v>
      </c>
      <c r="H868" s="18">
        <v>38.143000000000001</v>
      </c>
      <c r="I868" s="8">
        <v>-2.8792134831460588E-2</v>
      </c>
      <c r="J868" s="8">
        <v>0.1234768480909829</v>
      </c>
      <c r="K868" s="8">
        <v>0.31422236300285089</v>
      </c>
      <c r="L868" s="8">
        <v>-0.14276859504132219</v>
      </c>
      <c r="M868" s="18">
        <v>0.26613848122105099</v>
      </c>
    </row>
    <row r="869" spans="1:13" x14ac:dyDescent="0.45">
      <c r="A869" t="s">
        <v>532</v>
      </c>
      <c r="B869" s="18">
        <v>92.85</v>
      </c>
      <c r="C869" s="18">
        <v>95.57</v>
      </c>
      <c r="D869" s="18">
        <v>91.84</v>
      </c>
      <c r="E869" s="18">
        <v>70.66</v>
      </c>
      <c r="F869" s="18">
        <v>93.3</v>
      </c>
      <c r="G869" s="18">
        <v>94.252599999999987</v>
      </c>
      <c r="H869" s="18">
        <v>89.920849999999987</v>
      </c>
      <c r="I869" s="8">
        <v>-2.8460814062990499E-2</v>
      </c>
      <c r="J869" s="8">
        <v>1.099738675958184E-2</v>
      </c>
      <c r="K869" s="8">
        <v>0.31403906028870637</v>
      </c>
      <c r="L869" s="8">
        <v>-4.8231511254019921E-3</v>
      </c>
      <c r="M869" s="18">
        <v>0.29175248185989577</v>
      </c>
    </row>
    <row r="870" spans="1:13" x14ac:dyDescent="0.45">
      <c r="A870" t="s">
        <v>1139</v>
      </c>
      <c r="B870" s="18">
        <v>9.2100000000000009</v>
      </c>
      <c r="C870" s="18">
        <v>9.09</v>
      </c>
      <c r="D870" s="18">
        <v>8.56</v>
      </c>
      <c r="E870" s="18">
        <v>7.01</v>
      </c>
      <c r="F870" s="18">
        <v>7.28</v>
      </c>
      <c r="G870" s="18">
        <v>9.1943999999999999</v>
      </c>
      <c r="H870" s="18">
        <v>8.0193499999999993</v>
      </c>
      <c r="I870" s="8">
        <v>1.3201320132013359E-2</v>
      </c>
      <c r="J870" s="8">
        <v>7.5934579439252303E-2</v>
      </c>
      <c r="K870" s="8">
        <v>0.31383737517831678</v>
      </c>
      <c r="L870" s="8">
        <v>0.26510989010989028</v>
      </c>
      <c r="M870" s="18">
        <v>0.66808316485947272</v>
      </c>
    </row>
    <row r="871" spans="1:13" x14ac:dyDescent="0.45">
      <c r="A871" t="s">
        <v>2455</v>
      </c>
      <c r="B871" s="18">
        <v>59.95</v>
      </c>
      <c r="C871" s="18">
        <v>54.65</v>
      </c>
      <c r="D871" s="18">
        <v>49.72</v>
      </c>
      <c r="E871" s="18">
        <v>45.66</v>
      </c>
      <c r="F871" s="18">
        <v>58.55</v>
      </c>
      <c r="G871" s="18">
        <v>56.160200000000003</v>
      </c>
      <c r="H871" s="18">
        <v>50.262</v>
      </c>
      <c r="I871" s="8">
        <v>9.6980786825251686E-2</v>
      </c>
      <c r="J871" s="8">
        <v>0.20575221238938071</v>
      </c>
      <c r="K871" s="8">
        <v>0.31296539640823479</v>
      </c>
      <c r="L871" s="8">
        <v>2.3911187019641341E-2</v>
      </c>
      <c r="M871" s="18">
        <v>0.63960958264250856</v>
      </c>
    </row>
    <row r="872" spans="1:13" x14ac:dyDescent="0.45">
      <c r="A872" t="s">
        <v>598</v>
      </c>
      <c r="B872" s="18">
        <v>8.65</v>
      </c>
      <c r="C872" s="18">
        <v>9.1300000000000008</v>
      </c>
      <c r="D872" s="18">
        <v>7.1</v>
      </c>
      <c r="E872" s="18">
        <v>6.59</v>
      </c>
      <c r="F872" s="18">
        <v>11.15</v>
      </c>
      <c r="G872" s="18">
        <v>8.7059999999999995</v>
      </c>
      <c r="H872" s="18">
        <v>8.9265499999999989</v>
      </c>
      <c r="I872" s="8">
        <v>-5.257393209200445E-2</v>
      </c>
      <c r="J872" s="8">
        <v>0.2183098591549297</v>
      </c>
      <c r="K872" s="8">
        <v>0.3125948406676784</v>
      </c>
      <c r="L872" s="8">
        <v>-0.22421524663677131</v>
      </c>
      <c r="M872" s="18">
        <v>0.2541155210938324</v>
      </c>
    </row>
    <row r="873" spans="1:13" x14ac:dyDescent="0.45">
      <c r="A873" t="s">
        <v>2466</v>
      </c>
      <c r="B873" s="18">
        <v>15.09</v>
      </c>
      <c r="C873" s="18">
        <v>16.23</v>
      </c>
      <c r="D873" s="18">
        <v>15.8</v>
      </c>
      <c r="E873" s="18">
        <v>11.5</v>
      </c>
      <c r="F873" s="18">
        <v>18.25</v>
      </c>
      <c r="G873" s="18">
        <v>16.465399999999999</v>
      </c>
      <c r="H873" s="18">
        <v>15.2339</v>
      </c>
      <c r="I873" s="8">
        <v>-7.0240295748613679E-2</v>
      </c>
      <c r="J873" s="8">
        <v>-4.4936708860759511E-2</v>
      </c>
      <c r="K873" s="8">
        <v>0.31217391304347819</v>
      </c>
      <c r="L873" s="8">
        <v>-0.1731506849315069</v>
      </c>
      <c r="M873" s="18">
        <v>2.384622350259813E-2</v>
      </c>
    </row>
    <row r="874" spans="1:13" x14ac:dyDescent="0.45">
      <c r="A874" t="s">
        <v>2443</v>
      </c>
      <c r="B874" s="18">
        <v>192.69</v>
      </c>
      <c r="C874" s="18">
        <v>195.43</v>
      </c>
      <c r="D874" s="18">
        <v>202.02</v>
      </c>
      <c r="E874" s="18">
        <v>146.87</v>
      </c>
      <c r="F874" s="18">
        <v>208.39</v>
      </c>
      <c r="G874" s="18">
        <v>193.69759999999999</v>
      </c>
      <c r="H874" s="18">
        <v>186.39644999999999</v>
      </c>
      <c r="I874" s="8">
        <v>-1.4020365348206609E-2</v>
      </c>
      <c r="J874" s="8">
        <v>-4.6183546183546247E-2</v>
      </c>
      <c r="K874" s="8">
        <v>0.31197657792605699</v>
      </c>
      <c r="L874" s="8">
        <v>-7.5339507653918059E-2</v>
      </c>
      <c r="M874" s="18">
        <v>0.17643315874038609</v>
      </c>
    </row>
    <row r="875" spans="1:13" x14ac:dyDescent="0.45">
      <c r="A875" t="s">
        <v>1849</v>
      </c>
      <c r="B875" s="18">
        <v>50.02</v>
      </c>
      <c r="C875" s="18">
        <v>46.55</v>
      </c>
      <c r="D875" s="18">
        <v>49.5</v>
      </c>
      <c r="E875" s="18">
        <v>38.130000000000003</v>
      </c>
      <c r="F875" s="18">
        <v>44.33</v>
      </c>
      <c r="G875" s="18">
        <v>48.005920000000003</v>
      </c>
      <c r="H875" s="18">
        <v>47.365049499999998</v>
      </c>
      <c r="I875" s="8">
        <v>7.4543501611170848E-2</v>
      </c>
      <c r="J875" s="8">
        <v>1.0505050505050569E-2</v>
      </c>
      <c r="K875" s="8">
        <v>0.31182795698924731</v>
      </c>
      <c r="L875" s="8">
        <v>0.12835551545228971</v>
      </c>
      <c r="M875" s="18">
        <v>0.52523202455775841</v>
      </c>
    </row>
    <row r="876" spans="1:13" x14ac:dyDescent="0.45">
      <c r="A876" t="s">
        <v>2085</v>
      </c>
      <c r="B876" s="18">
        <v>36.56</v>
      </c>
      <c r="C876" s="18">
        <v>38.700000000000003</v>
      </c>
      <c r="D876" s="18">
        <v>38.74</v>
      </c>
      <c r="E876" s="18">
        <v>27.87</v>
      </c>
      <c r="F876" s="18">
        <v>31.86</v>
      </c>
      <c r="G876" s="18">
        <v>37.661200000000001</v>
      </c>
      <c r="H876" s="18">
        <v>35.818849999999998</v>
      </c>
      <c r="I876" s="8">
        <v>-5.5297157622739013E-2</v>
      </c>
      <c r="J876" s="8">
        <v>-5.6272586473928743E-2</v>
      </c>
      <c r="K876" s="8">
        <v>0.31180480803731608</v>
      </c>
      <c r="L876" s="8">
        <v>0.14752040175768991</v>
      </c>
      <c r="M876" s="18">
        <v>0.34775546569833832</v>
      </c>
    </row>
    <row r="877" spans="1:13" x14ac:dyDescent="0.45">
      <c r="A877" t="s">
        <v>446</v>
      </c>
      <c r="B877" s="18">
        <v>32.450000000000003</v>
      </c>
      <c r="C877" s="18">
        <v>30.99</v>
      </c>
      <c r="D877" s="18">
        <v>37.35</v>
      </c>
      <c r="E877" s="18">
        <v>24.75</v>
      </c>
      <c r="F877" s="18">
        <v>31.25</v>
      </c>
      <c r="G877" s="18">
        <v>31.648199999999999</v>
      </c>
      <c r="H877" s="18">
        <v>31.6234</v>
      </c>
      <c r="I877" s="8">
        <v>4.7111971603743363E-2</v>
      </c>
      <c r="J877" s="8">
        <v>-0.13119143239625161</v>
      </c>
      <c r="K877" s="8">
        <v>0.31111111111111112</v>
      </c>
      <c r="L877" s="8">
        <v>3.839999999999999E-2</v>
      </c>
      <c r="M877" s="18">
        <v>0.26543165031860277</v>
      </c>
    </row>
    <row r="878" spans="1:13" x14ac:dyDescent="0.45">
      <c r="A878" t="s">
        <v>1914</v>
      </c>
      <c r="B878" s="18">
        <v>31.95</v>
      </c>
      <c r="C878" s="18">
        <v>35.64</v>
      </c>
      <c r="D878" s="18">
        <v>29.3</v>
      </c>
      <c r="E878" s="18">
        <v>24.37</v>
      </c>
      <c r="F878" s="18">
        <v>20.8</v>
      </c>
      <c r="G878" s="18">
        <v>34.265999999999998</v>
      </c>
      <c r="H878" s="18">
        <v>32.129649999999998</v>
      </c>
      <c r="I878" s="8">
        <v>-0.10353535353535361</v>
      </c>
      <c r="J878" s="8">
        <v>9.0443686006825841E-2</v>
      </c>
      <c r="K878" s="8">
        <v>0.31103816167418952</v>
      </c>
      <c r="L878" s="8">
        <v>0.53605769230769229</v>
      </c>
      <c r="M878" s="18">
        <v>0.83400418645335406</v>
      </c>
    </row>
    <row r="879" spans="1:13" x14ac:dyDescent="0.45">
      <c r="A879" t="s">
        <v>378</v>
      </c>
      <c r="B879" s="18">
        <v>84.04</v>
      </c>
      <c r="C879" s="18">
        <v>70.069999999999993</v>
      </c>
      <c r="D879" s="18">
        <v>74.64</v>
      </c>
      <c r="E879" s="18">
        <v>64.11</v>
      </c>
      <c r="F879" s="18">
        <v>83.85</v>
      </c>
      <c r="G879" s="18">
        <v>73.666399999999996</v>
      </c>
      <c r="H879" s="18">
        <v>71.394199999999998</v>
      </c>
      <c r="I879" s="8">
        <v>0.19937205651491399</v>
      </c>
      <c r="J879" s="8">
        <v>0.12593783494105051</v>
      </c>
      <c r="K879" s="8">
        <v>0.3108719388550929</v>
      </c>
      <c r="L879" s="8">
        <v>2.265951103160635E-3</v>
      </c>
      <c r="M879" s="18">
        <v>0.63844778141421799</v>
      </c>
    </row>
    <row r="880" spans="1:13" x14ac:dyDescent="0.45">
      <c r="A880" t="s">
        <v>2098</v>
      </c>
      <c r="B880" s="18">
        <v>16.38</v>
      </c>
      <c r="C880" s="18">
        <v>16.32</v>
      </c>
      <c r="D880" s="18">
        <v>15.55</v>
      </c>
      <c r="E880" s="18">
        <v>12.5</v>
      </c>
      <c r="F880" s="18">
        <v>15.59</v>
      </c>
      <c r="G880" s="18">
        <v>15.9056</v>
      </c>
      <c r="H880" s="18">
        <v>15.2394</v>
      </c>
      <c r="I880" s="8">
        <v>3.6764705882352811E-3</v>
      </c>
      <c r="J880" s="8">
        <v>5.3376205787781128E-2</v>
      </c>
      <c r="K880" s="8">
        <v>0.31040000000000001</v>
      </c>
      <c r="L880" s="8">
        <v>5.0673508659397022E-2</v>
      </c>
      <c r="M880" s="18">
        <v>0.41812618503541338</v>
      </c>
    </row>
    <row r="881" spans="1:13" x14ac:dyDescent="0.45">
      <c r="A881" t="s">
        <v>1023</v>
      </c>
      <c r="B881" s="18">
        <v>3.17</v>
      </c>
      <c r="C881" s="18">
        <v>3</v>
      </c>
      <c r="D881" s="18">
        <v>3.58</v>
      </c>
      <c r="E881" s="18">
        <v>2.42</v>
      </c>
      <c r="F881" s="18">
        <v>5.64</v>
      </c>
      <c r="G881" s="18">
        <v>2.8485999999999998</v>
      </c>
      <c r="H881" s="18">
        <v>3.1072500000000001</v>
      </c>
      <c r="I881" s="8">
        <v>5.6666666666666643E-2</v>
      </c>
      <c r="J881" s="8">
        <v>-0.1145251396648045</v>
      </c>
      <c r="K881" s="8">
        <v>0.30991735537190079</v>
      </c>
      <c r="L881" s="8">
        <v>-0.43794326241134751</v>
      </c>
      <c r="M881" s="18">
        <v>-0.18588438003758459</v>
      </c>
    </row>
    <row r="882" spans="1:13" x14ac:dyDescent="0.45">
      <c r="A882" t="s">
        <v>302</v>
      </c>
      <c r="B882" s="18">
        <v>289.45999999999998</v>
      </c>
      <c r="C882" s="18">
        <v>259.11</v>
      </c>
      <c r="D882" s="18">
        <v>287.43</v>
      </c>
      <c r="E882" s="18">
        <v>221.03</v>
      </c>
      <c r="F882" s="18">
        <v>226</v>
      </c>
      <c r="G882" s="18">
        <v>257.21879999999999</v>
      </c>
      <c r="H882" s="18">
        <v>254.58895000000001</v>
      </c>
      <c r="I882" s="8">
        <v>0.1171317201188682</v>
      </c>
      <c r="J882" s="8">
        <v>7.0625891521411974E-3</v>
      </c>
      <c r="K882" s="8">
        <v>0.30959598244582159</v>
      </c>
      <c r="L882" s="8">
        <v>0.280796460176991</v>
      </c>
      <c r="M882" s="18">
        <v>0.71458675189382204</v>
      </c>
    </row>
    <row r="883" spans="1:13" x14ac:dyDescent="0.45">
      <c r="A883" t="s">
        <v>2277</v>
      </c>
      <c r="B883" s="18">
        <v>30.01</v>
      </c>
      <c r="C883" s="18">
        <v>21.77</v>
      </c>
      <c r="D883" s="18">
        <v>19.260000000000002</v>
      </c>
      <c r="E883" s="18">
        <v>22.92</v>
      </c>
      <c r="F883" s="18">
        <v>20</v>
      </c>
      <c r="G883" s="18">
        <v>22.147099999999998</v>
      </c>
      <c r="H883" s="18">
        <v>21.970203000000001</v>
      </c>
      <c r="I883" s="8">
        <v>0.37850252641249438</v>
      </c>
      <c r="J883" s="8">
        <v>0.55815160955347864</v>
      </c>
      <c r="K883" s="8">
        <v>0.30933682373472943</v>
      </c>
      <c r="L883" s="8">
        <v>0.50050000000000017</v>
      </c>
      <c r="M883" s="18">
        <v>1.746490959700703</v>
      </c>
    </row>
    <row r="884" spans="1:13" x14ac:dyDescent="0.45">
      <c r="A884" t="s">
        <v>754</v>
      </c>
      <c r="B884" s="18">
        <v>2.63</v>
      </c>
      <c r="C884" s="18">
        <v>2.91</v>
      </c>
      <c r="D884" s="18">
        <v>2.65</v>
      </c>
      <c r="E884" s="18">
        <v>2.0099999999999998</v>
      </c>
      <c r="F884" s="18">
        <v>3.04</v>
      </c>
      <c r="G884" s="18">
        <v>2.5621999999999998</v>
      </c>
      <c r="H884" s="18">
        <v>2.5156000000000001</v>
      </c>
      <c r="I884" s="8">
        <v>-9.6219931271477765E-2</v>
      </c>
      <c r="J884" s="8">
        <v>-7.547169811320753E-3</v>
      </c>
      <c r="K884" s="8">
        <v>0.30845771144278622</v>
      </c>
      <c r="L884" s="8">
        <v>-0.13486842105263161</v>
      </c>
      <c r="M884" s="18">
        <v>6.9822189307356064E-2</v>
      </c>
    </row>
    <row r="885" spans="1:13" x14ac:dyDescent="0.45">
      <c r="A885" t="s">
        <v>644</v>
      </c>
      <c r="B885" s="18">
        <v>120.48</v>
      </c>
      <c r="C885" s="18">
        <v>126.22</v>
      </c>
      <c r="D885" s="18">
        <v>133.24</v>
      </c>
      <c r="E885" s="18">
        <v>92.08</v>
      </c>
      <c r="F885" s="18">
        <v>130.94999999999999</v>
      </c>
      <c r="G885" s="18">
        <v>123.3278</v>
      </c>
      <c r="H885" s="18">
        <v>117.163</v>
      </c>
      <c r="I885" s="8">
        <v>-4.5476152749168053E-2</v>
      </c>
      <c r="J885" s="8">
        <v>-9.5767036925848092E-2</v>
      </c>
      <c r="K885" s="8">
        <v>0.3084274543874892</v>
      </c>
      <c r="L885" s="8">
        <v>-7.9954180985108758E-2</v>
      </c>
      <c r="M885" s="18">
        <v>8.7230083727364294E-2</v>
      </c>
    </row>
    <row r="886" spans="1:13" x14ac:dyDescent="0.45">
      <c r="A886" t="s">
        <v>300</v>
      </c>
      <c r="B886" s="18">
        <v>16.34</v>
      </c>
      <c r="C886" s="18">
        <v>17.64</v>
      </c>
      <c r="D886" s="18">
        <v>17.559999999999999</v>
      </c>
      <c r="E886" s="18">
        <v>12.49</v>
      </c>
      <c r="F886" s="18">
        <v>14.62</v>
      </c>
      <c r="G886" s="18">
        <v>17.088999999999999</v>
      </c>
      <c r="H886" s="18">
        <v>16.138574999999999</v>
      </c>
      <c r="I886" s="8">
        <v>-7.3696145124716561E-2</v>
      </c>
      <c r="J886" s="8">
        <v>-6.9476082004555795E-2</v>
      </c>
      <c r="K886" s="8">
        <v>0.30824659727782228</v>
      </c>
      <c r="L886" s="8">
        <v>0.1176470588235294</v>
      </c>
      <c r="M886" s="18">
        <v>0.28272142897207941</v>
      </c>
    </row>
    <row r="887" spans="1:13" x14ac:dyDescent="0.45">
      <c r="A887" t="s">
        <v>1024</v>
      </c>
      <c r="B887" s="18">
        <v>86.94</v>
      </c>
      <c r="C887" s="18">
        <v>96.14</v>
      </c>
      <c r="D887" s="18">
        <v>89.02</v>
      </c>
      <c r="E887" s="18">
        <v>66.47</v>
      </c>
      <c r="F887" s="18">
        <v>86.61</v>
      </c>
      <c r="G887" s="18">
        <v>92.673600000000008</v>
      </c>
      <c r="H887" s="18">
        <v>84.795350000000013</v>
      </c>
      <c r="I887" s="8">
        <v>-9.5693779904306275E-2</v>
      </c>
      <c r="J887" s="8">
        <v>-2.336553583464385E-2</v>
      </c>
      <c r="K887" s="8">
        <v>0.30795847750865057</v>
      </c>
      <c r="L887" s="8">
        <v>3.8101835815724789E-3</v>
      </c>
      <c r="M887" s="18">
        <v>0.1927093453512729</v>
      </c>
    </row>
    <row r="888" spans="1:13" x14ac:dyDescent="0.45">
      <c r="A888" t="s">
        <v>1219</v>
      </c>
      <c r="B888" s="18">
        <v>21.79</v>
      </c>
      <c r="C888" s="18">
        <v>21.34</v>
      </c>
      <c r="D888" s="18">
        <v>20.73</v>
      </c>
      <c r="E888" s="18">
        <v>16.66</v>
      </c>
      <c r="F888" s="18">
        <v>20.010000000000002</v>
      </c>
      <c r="G888" s="18">
        <v>21.238140000000001</v>
      </c>
      <c r="H888" s="18">
        <v>20.253268500000001</v>
      </c>
      <c r="I888" s="8">
        <v>2.1087160262417859E-2</v>
      </c>
      <c r="J888" s="8">
        <v>5.1133622768933851E-2</v>
      </c>
      <c r="K888" s="8">
        <v>0.30792316926770708</v>
      </c>
      <c r="L888" s="8">
        <v>8.895552223888048E-2</v>
      </c>
      <c r="M888" s="18">
        <v>0.46909947453793932</v>
      </c>
    </row>
    <row r="889" spans="1:13" x14ac:dyDescent="0.45">
      <c r="A889" t="s">
        <v>833</v>
      </c>
      <c r="B889" s="18">
        <v>27.09</v>
      </c>
      <c r="C889" s="18">
        <v>26.77</v>
      </c>
      <c r="D889" s="18">
        <v>26.34</v>
      </c>
      <c r="E889" s="18">
        <v>20.72</v>
      </c>
      <c r="F889" s="18">
        <v>24.19</v>
      </c>
      <c r="G889" s="18">
        <v>26.693000000000001</v>
      </c>
      <c r="H889" s="18">
        <v>24.419612499999999</v>
      </c>
      <c r="I889" s="8">
        <v>1.195367949196857E-2</v>
      </c>
      <c r="J889" s="8">
        <v>2.847380410022771E-2</v>
      </c>
      <c r="K889" s="8">
        <v>0.30743243243243251</v>
      </c>
      <c r="L889" s="8">
        <v>0.1198842496899544</v>
      </c>
      <c r="M889" s="18">
        <v>0.4677441657145831</v>
      </c>
    </row>
    <row r="890" spans="1:13" x14ac:dyDescent="0.45">
      <c r="A890" t="s">
        <v>1777</v>
      </c>
      <c r="B890" s="18">
        <v>25.52</v>
      </c>
      <c r="C890" s="18">
        <v>25.06</v>
      </c>
      <c r="D890" s="18">
        <v>23.99</v>
      </c>
      <c r="E890" s="18">
        <v>19.52</v>
      </c>
      <c r="F890" s="18">
        <v>23.01</v>
      </c>
      <c r="G890" s="18">
        <v>24.71754</v>
      </c>
      <c r="H890" s="18">
        <v>23.662189999999999</v>
      </c>
      <c r="I890" s="8">
        <v>1.8355945730247351E-2</v>
      </c>
      <c r="J890" s="8">
        <v>6.3776573572321915E-2</v>
      </c>
      <c r="K890" s="8">
        <v>0.30737704918032782</v>
      </c>
      <c r="L890" s="8">
        <v>0.109083007388092</v>
      </c>
      <c r="M890" s="18">
        <v>0.49859257587098899</v>
      </c>
    </row>
    <row r="891" spans="1:13" x14ac:dyDescent="0.45">
      <c r="A891" t="s">
        <v>1705</v>
      </c>
      <c r="B891" s="18">
        <v>173.6</v>
      </c>
      <c r="C891" s="18">
        <v>168.79</v>
      </c>
      <c r="D891" s="18">
        <v>174.99</v>
      </c>
      <c r="E891" s="18">
        <v>132.82</v>
      </c>
      <c r="F891" s="18">
        <v>171.99</v>
      </c>
      <c r="G891" s="18">
        <v>172.19460000000001</v>
      </c>
      <c r="H891" s="18">
        <v>163.52395000000001</v>
      </c>
      <c r="I891" s="8">
        <v>2.8496948871378661E-2</v>
      </c>
      <c r="J891" s="8">
        <v>-7.9433110463456025E-3</v>
      </c>
      <c r="K891" s="8">
        <v>0.30703207348290928</v>
      </c>
      <c r="L891" s="8">
        <v>9.3610093610092537E-3</v>
      </c>
      <c r="M891" s="18">
        <v>0.33694672066895159</v>
      </c>
    </row>
    <row r="892" spans="1:13" x14ac:dyDescent="0.45">
      <c r="A892" t="s">
        <v>1184</v>
      </c>
      <c r="B892" s="18">
        <v>28.04</v>
      </c>
      <c r="C892" s="18">
        <v>27.51</v>
      </c>
      <c r="D892" s="18">
        <v>27.85</v>
      </c>
      <c r="E892" s="18">
        <v>21.46</v>
      </c>
      <c r="F892" s="18">
        <v>26.29</v>
      </c>
      <c r="G892" s="18">
        <v>27.4085</v>
      </c>
      <c r="H892" s="18">
        <v>26.063254000000001</v>
      </c>
      <c r="I892" s="8">
        <v>1.9265721555797869E-2</v>
      </c>
      <c r="J892" s="8">
        <v>6.8222621184919063E-3</v>
      </c>
      <c r="K892" s="8">
        <v>0.30661696178937548</v>
      </c>
      <c r="L892" s="8">
        <v>6.6565233929250622E-2</v>
      </c>
      <c r="M892" s="18">
        <v>0.39927017939291592</v>
      </c>
    </row>
    <row r="893" spans="1:13" x14ac:dyDescent="0.45">
      <c r="A893" t="s">
        <v>1776</v>
      </c>
      <c r="B893" s="18">
        <v>132.94</v>
      </c>
      <c r="C893" s="18">
        <v>135.41999999999999</v>
      </c>
      <c r="D893" s="18">
        <v>130.34</v>
      </c>
      <c r="E893" s="18">
        <v>101.83</v>
      </c>
      <c r="F893" s="18">
        <v>92.67</v>
      </c>
      <c r="G893" s="18">
        <v>132.7046</v>
      </c>
      <c r="H893" s="18">
        <v>120.61320000000001</v>
      </c>
      <c r="I893" s="8">
        <v>-1.8313395362575591E-2</v>
      </c>
      <c r="J893" s="8">
        <v>1.9947828755562339E-2</v>
      </c>
      <c r="K893" s="8">
        <v>0.30550918196994981</v>
      </c>
      <c r="L893" s="8">
        <v>0.43455271393115358</v>
      </c>
      <c r="M893" s="18">
        <v>0.74169632929409013</v>
      </c>
    </row>
    <row r="894" spans="1:13" x14ac:dyDescent="0.45">
      <c r="A894" t="s">
        <v>844</v>
      </c>
      <c r="B894" s="18">
        <v>25.06</v>
      </c>
      <c r="C894" s="18">
        <v>25</v>
      </c>
      <c r="D894" s="18">
        <v>19.760000000000002</v>
      </c>
      <c r="E894" s="18">
        <v>19.2</v>
      </c>
      <c r="F894" s="18">
        <v>24.03</v>
      </c>
      <c r="G894" s="18">
        <v>23.493918000000001</v>
      </c>
      <c r="H894" s="18">
        <v>20.9658625</v>
      </c>
      <c r="I894" s="8">
        <v>2.3999999999999582E-3</v>
      </c>
      <c r="J894" s="8">
        <v>0.26821862348178122</v>
      </c>
      <c r="K894" s="8">
        <v>0.3052083333333333</v>
      </c>
      <c r="L894" s="8">
        <v>4.286308780690784E-2</v>
      </c>
      <c r="M894" s="18">
        <v>0.61869004462202226</v>
      </c>
    </row>
    <row r="895" spans="1:13" x14ac:dyDescent="0.45">
      <c r="A895" t="s">
        <v>214</v>
      </c>
      <c r="B895" s="18">
        <v>34.97</v>
      </c>
      <c r="C895" s="18">
        <v>34.31</v>
      </c>
      <c r="D895" s="18">
        <v>33.950000000000003</v>
      </c>
      <c r="E895" s="18">
        <v>26.8</v>
      </c>
      <c r="F895" s="18">
        <v>42.42</v>
      </c>
      <c r="G895" s="18">
        <v>34.450200000000002</v>
      </c>
      <c r="H895" s="18">
        <v>33.711799999999997</v>
      </c>
      <c r="I895" s="8">
        <v>1.9236374234916861E-2</v>
      </c>
      <c r="J895" s="8">
        <v>3.0044182621502099E-2</v>
      </c>
      <c r="K895" s="8">
        <v>0.30485074626865671</v>
      </c>
      <c r="L895" s="8">
        <v>-0.17562470532767571</v>
      </c>
      <c r="M895" s="18">
        <v>0.1785065977974</v>
      </c>
    </row>
    <row r="896" spans="1:13" x14ac:dyDescent="0.45">
      <c r="A896" t="s">
        <v>826</v>
      </c>
      <c r="B896" s="18">
        <v>51.6</v>
      </c>
      <c r="C896" s="18">
        <v>56.26</v>
      </c>
      <c r="D896" s="18">
        <v>50.82</v>
      </c>
      <c r="E896" s="18">
        <v>39.549999999999997</v>
      </c>
      <c r="F896" s="18">
        <v>35.29</v>
      </c>
      <c r="G896" s="18">
        <v>55.42</v>
      </c>
      <c r="H896" s="18">
        <v>45.898700000000012</v>
      </c>
      <c r="I896" s="8">
        <v>-8.2829719161037985E-2</v>
      </c>
      <c r="J896" s="8">
        <v>1.534828807556088E-2</v>
      </c>
      <c r="K896" s="8">
        <v>0.30467762326169412</v>
      </c>
      <c r="L896" s="8">
        <v>0.46217058656843307</v>
      </c>
      <c r="M896" s="18">
        <v>0.69936677874465014</v>
      </c>
    </row>
    <row r="897" spans="1:13" x14ac:dyDescent="0.45">
      <c r="A897" t="s">
        <v>1096</v>
      </c>
      <c r="B897" s="18">
        <v>2.4</v>
      </c>
      <c r="C897" s="18">
        <v>2.73</v>
      </c>
      <c r="D897" s="18">
        <v>2.66</v>
      </c>
      <c r="E897" s="18">
        <v>1.84</v>
      </c>
      <c r="F897" s="18">
        <v>2.76</v>
      </c>
      <c r="G897" s="18">
        <v>2.6288</v>
      </c>
      <c r="H897" s="18">
        <v>2.6595</v>
      </c>
      <c r="I897" s="8">
        <v>-0.12087912087912089</v>
      </c>
      <c r="J897" s="8">
        <v>-9.7744360902255689E-2</v>
      </c>
      <c r="K897" s="8">
        <v>0.30434782608695632</v>
      </c>
      <c r="L897" s="8">
        <v>-0.13043478260869559</v>
      </c>
      <c r="M897" s="18">
        <v>-4.4710438303115829E-2</v>
      </c>
    </row>
    <row r="898" spans="1:13" x14ac:dyDescent="0.45">
      <c r="A898" t="s">
        <v>1389</v>
      </c>
      <c r="B898" s="18">
        <v>82.67</v>
      </c>
      <c r="C898" s="18">
        <v>78.12</v>
      </c>
      <c r="D898" s="18">
        <v>71.12</v>
      </c>
      <c r="E898" s="18">
        <v>63.39</v>
      </c>
      <c r="F898" s="18">
        <v>76.510000000000005</v>
      </c>
      <c r="G898" s="18">
        <v>77.0976</v>
      </c>
      <c r="H898" s="18">
        <v>73.115200000000002</v>
      </c>
      <c r="I898" s="8">
        <v>5.8243727598566331E-2</v>
      </c>
      <c r="J898" s="8">
        <v>0.16240157480314951</v>
      </c>
      <c r="K898" s="8">
        <v>0.30414891938791611</v>
      </c>
      <c r="L898" s="8">
        <v>8.0512351326623932E-2</v>
      </c>
      <c r="M898" s="18">
        <v>0.60530657311625591</v>
      </c>
    </row>
    <row r="899" spans="1:13" x14ac:dyDescent="0.45">
      <c r="A899" t="s">
        <v>6</v>
      </c>
      <c r="B899" s="18">
        <v>311.41000000000003</v>
      </c>
      <c r="C899" s="18">
        <v>325.19</v>
      </c>
      <c r="D899" s="18">
        <v>286.11</v>
      </c>
      <c r="E899" s="18">
        <v>238.84</v>
      </c>
      <c r="F899" s="18">
        <v>271.16000000000003</v>
      </c>
      <c r="G899" s="18">
        <v>307.83359999999999</v>
      </c>
      <c r="H899" s="18">
        <v>292.21395000000001</v>
      </c>
      <c r="I899" s="8">
        <v>-4.237522679049166E-2</v>
      </c>
      <c r="J899" s="8">
        <v>8.8427527873894629E-2</v>
      </c>
      <c r="K899" s="8">
        <v>0.30384357729023609</v>
      </c>
      <c r="L899" s="8">
        <v>0.14843634754388549</v>
      </c>
      <c r="M899" s="18">
        <v>0.49833222591752457</v>
      </c>
    </row>
    <row r="900" spans="1:13" x14ac:dyDescent="0.45">
      <c r="A900" t="s">
        <v>1159</v>
      </c>
      <c r="B900" s="18">
        <v>24.15</v>
      </c>
      <c r="C900" s="18">
        <v>24.18</v>
      </c>
      <c r="D900" s="18">
        <v>24.33</v>
      </c>
      <c r="E900" s="18">
        <v>18.53</v>
      </c>
      <c r="F900" s="18">
        <v>21.66</v>
      </c>
      <c r="G900" s="18">
        <v>24.02505</v>
      </c>
      <c r="H900" s="18">
        <v>23.227562500000001</v>
      </c>
      <c r="I900" s="8">
        <v>-1.2406947890819531E-3</v>
      </c>
      <c r="J900" s="8">
        <v>-7.3982737361282247E-3</v>
      </c>
      <c r="K900" s="8">
        <v>0.30329195898542882</v>
      </c>
      <c r="L900" s="8">
        <v>0.11495844875346251</v>
      </c>
      <c r="M900" s="18">
        <v>0.40961143921368109</v>
      </c>
    </row>
    <row r="901" spans="1:13" x14ac:dyDescent="0.45">
      <c r="A901" t="s">
        <v>185</v>
      </c>
      <c r="B901" s="18">
        <v>165.55</v>
      </c>
      <c r="C901" s="18">
        <v>153.69</v>
      </c>
      <c r="D901" s="18">
        <v>147.85499999999999</v>
      </c>
      <c r="E901" s="18">
        <v>127.05</v>
      </c>
      <c r="F901" s="18">
        <v>138.72</v>
      </c>
      <c r="G901" s="18">
        <v>154.49029999999999</v>
      </c>
      <c r="H901" s="18">
        <v>145.84059999999999</v>
      </c>
      <c r="I901" s="8">
        <v>7.7168325850738517E-2</v>
      </c>
      <c r="J901" s="8">
        <v>0.1196780629670964</v>
      </c>
      <c r="K901" s="8">
        <v>0.30303030303030321</v>
      </c>
      <c r="L901" s="8">
        <v>0.19341118800461371</v>
      </c>
      <c r="M901" s="18">
        <v>0.69328787985275175</v>
      </c>
    </row>
    <row r="902" spans="1:13" x14ac:dyDescent="0.45">
      <c r="A902" t="s">
        <v>1041</v>
      </c>
      <c r="B902" s="18">
        <v>13.85</v>
      </c>
      <c r="C902" s="18">
        <v>15.58</v>
      </c>
      <c r="D902" s="18">
        <v>14.47</v>
      </c>
      <c r="E902" s="18">
        <v>10.63</v>
      </c>
      <c r="F902" s="18">
        <v>11.92</v>
      </c>
      <c r="G902" s="18">
        <v>14.9818</v>
      </c>
      <c r="H902" s="18">
        <v>14.44195</v>
      </c>
      <c r="I902" s="8">
        <v>-0.11103979460847251</v>
      </c>
      <c r="J902" s="8">
        <v>-4.2847270214236399E-2</v>
      </c>
      <c r="K902" s="8">
        <v>0.3029162746942613</v>
      </c>
      <c r="L902" s="8">
        <v>0.16191275167785221</v>
      </c>
      <c r="M902" s="18">
        <v>0.31094196154940468</v>
      </c>
    </row>
    <row r="903" spans="1:13" x14ac:dyDescent="0.45">
      <c r="A903" t="s">
        <v>619</v>
      </c>
      <c r="B903" s="18">
        <v>9.68</v>
      </c>
      <c r="C903" s="18">
        <v>9.2100000000000009</v>
      </c>
      <c r="D903" s="18">
        <v>8.98</v>
      </c>
      <c r="E903" s="18">
        <v>7.43</v>
      </c>
      <c r="F903" s="18">
        <v>9.02</v>
      </c>
      <c r="G903" s="18">
        <v>9.2262000000000004</v>
      </c>
      <c r="H903" s="18">
        <v>8.722150000000001</v>
      </c>
      <c r="I903" s="8">
        <v>5.1031487513571998E-2</v>
      </c>
      <c r="J903" s="8">
        <v>7.795100222717144E-2</v>
      </c>
      <c r="K903" s="8">
        <v>0.30282637954239577</v>
      </c>
      <c r="L903" s="8">
        <v>7.3170731707317138E-2</v>
      </c>
      <c r="M903" s="18">
        <v>0.50497960099045636</v>
      </c>
    </row>
    <row r="904" spans="1:13" x14ac:dyDescent="0.45">
      <c r="A904" t="s">
        <v>259</v>
      </c>
      <c r="B904" s="18">
        <v>43.54</v>
      </c>
      <c r="C904" s="18">
        <v>45.42</v>
      </c>
      <c r="D904" s="18">
        <v>44.05</v>
      </c>
      <c r="E904" s="18">
        <v>33.42</v>
      </c>
      <c r="F904" s="18">
        <v>42.1</v>
      </c>
      <c r="G904" s="18">
        <v>44.101599999999998</v>
      </c>
      <c r="H904" s="18">
        <v>41.325000000000003</v>
      </c>
      <c r="I904" s="8">
        <v>-4.1391457507705898E-2</v>
      </c>
      <c r="J904" s="8">
        <v>-1.157775255391591E-2</v>
      </c>
      <c r="K904" s="8">
        <v>0.30281268701376418</v>
      </c>
      <c r="L904" s="8">
        <v>3.420427553444183E-2</v>
      </c>
      <c r="M904" s="18">
        <v>0.2840477524865842</v>
      </c>
    </row>
    <row r="905" spans="1:13" x14ac:dyDescent="0.45">
      <c r="A905" t="s">
        <v>1157</v>
      </c>
      <c r="B905" s="18">
        <v>5.77</v>
      </c>
      <c r="C905" s="18">
        <v>5.73</v>
      </c>
      <c r="D905" s="18">
        <v>5.46</v>
      </c>
      <c r="E905" s="18">
        <v>4.43</v>
      </c>
      <c r="F905" s="18">
        <v>4.95</v>
      </c>
      <c r="G905" s="18">
        <v>5.6736000000000004</v>
      </c>
      <c r="H905" s="18">
        <v>5.2460855000000004</v>
      </c>
      <c r="I905" s="8">
        <v>6.9808027923210503E-3</v>
      </c>
      <c r="J905" s="8">
        <v>5.6776556776556797E-2</v>
      </c>
      <c r="K905" s="8">
        <v>0.30248306997742658</v>
      </c>
      <c r="L905" s="8">
        <v>0.16565656565656561</v>
      </c>
      <c r="M905" s="18">
        <v>0.53189699520287004</v>
      </c>
    </row>
    <row r="906" spans="1:13" x14ac:dyDescent="0.45">
      <c r="A906" t="s">
        <v>2204</v>
      </c>
      <c r="B906" s="18">
        <v>28.43</v>
      </c>
      <c r="C906" s="18">
        <v>27.68</v>
      </c>
      <c r="D906" s="18">
        <v>26.16</v>
      </c>
      <c r="E906" s="18">
        <v>21.83</v>
      </c>
      <c r="F906" s="18"/>
      <c r="G906" s="18">
        <v>27.724599999999999</v>
      </c>
      <c r="H906" s="18">
        <v>25.901399999999999</v>
      </c>
      <c r="I906" s="8">
        <v>2.7095375722543391E-2</v>
      </c>
      <c r="J906" s="8">
        <v>8.6773700305810442E-2</v>
      </c>
      <c r="K906" s="8">
        <v>0.30233623453962449</v>
      </c>
      <c r="L906" s="8"/>
      <c r="M906" s="18">
        <v>0.41620531056797838</v>
      </c>
    </row>
    <row r="907" spans="1:13" x14ac:dyDescent="0.45">
      <c r="A907" t="s">
        <v>447</v>
      </c>
      <c r="B907" s="18">
        <v>72.739999999999995</v>
      </c>
      <c r="C907" s="18">
        <v>76.739999999999995</v>
      </c>
      <c r="D907" s="18">
        <v>73.849999999999994</v>
      </c>
      <c r="E907" s="18">
        <v>55.86</v>
      </c>
      <c r="F907" s="18">
        <v>107.38</v>
      </c>
      <c r="G907" s="18">
        <v>74.0976</v>
      </c>
      <c r="H907" s="18">
        <v>74.203000000000003</v>
      </c>
      <c r="I907" s="8">
        <v>-5.2124055251498547E-2</v>
      </c>
      <c r="J907" s="8">
        <v>-1.503046716316858E-2</v>
      </c>
      <c r="K907" s="8">
        <v>0.30218403150733958</v>
      </c>
      <c r="L907" s="8">
        <v>-0.32259266157571242</v>
      </c>
      <c r="M907" s="18">
        <v>-8.7563152483039919E-2</v>
      </c>
    </row>
    <row r="908" spans="1:13" x14ac:dyDescent="0.45">
      <c r="A908" t="s">
        <v>1759</v>
      </c>
      <c r="B908" s="18">
        <v>15.53</v>
      </c>
      <c r="C908" s="18">
        <v>15.12</v>
      </c>
      <c r="D908" s="18">
        <v>14.33</v>
      </c>
      <c r="E908" s="18">
        <v>11.93</v>
      </c>
      <c r="F908" s="18">
        <v>13.96</v>
      </c>
      <c r="G908" s="18">
        <v>14.821</v>
      </c>
      <c r="H908" s="18">
        <v>13.9064</v>
      </c>
      <c r="I908" s="8">
        <v>2.7116402116402091E-2</v>
      </c>
      <c r="J908" s="8">
        <v>8.3740404745289654E-2</v>
      </c>
      <c r="K908" s="8">
        <v>0.3017602682313496</v>
      </c>
      <c r="L908" s="8">
        <v>0.1124641833810887</v>
      </c>
      <c r="M908" s="18">
        <v>0.52508125847413001</v>
      </c>
    </row>
    <row r="909" spans="1:13" x14ac:dyDescent="0.45">
      <c r="A909" t="s">
        <v>2226</v>
      </c>
      <c r="B909" s="18">
        <v>674.75</v>
      </c>
      <c r="C909" s="18">
        <v>719.16</v>
      </c>
      <c r="D909" s="18">
        <v>709.95</v>
      </c>
      <c r="E909" s="18">
        <v>518.35</v>
      </c>
      <c r="F909" s="18">
        <v>371.45</v>
      </c>
      <c r="G909" s="18">
        <v>696.33979999999997</v>
      </c>
      <c r="H909" s="18">
        <v>629.24135000000001</v>
      </c>
      <c r="I909" s="8">
        <v>-6.1752600255854051E-2</v>
      </c>
      <c r="J909" s="8">
        <v>-4.9580956405380738E-2</v>
      </c>
      <c r="K909" s="8">
        <v>0.30172663258416121</v>
      </c>
      <c r="L909" s="8">
        <v>0.81652981558756221</v>
      </c>
      <c r="M909" s="18">
        <v>1.0069228915104891</v>
      </c>
    </row>
    <row r="910" spans="1:13" x14ac:dyDescent="0.45">
      <c r="A910" t="s">
        <v>1587</v>
      </c>
      <c r="B910" s="18">
        <v>8.9</v>
      </c>
      <c r="C910" s="18">
        <v>9.74</v>
      </c>
      <c r="D910" s="18">
        <v>10.33</v>
      </c>
      <c r="E910" s="18">
        <v>6.84</v>
      </c>
      <c r="F910" s="18">
        <v>13.45</v>
      </c>
      <c r="G910" s="18">
        <v>9.2454000000000001</v>
      </c>
      <c r="H910" s="18">
        <v>9.2157499999999999</v>
      </c>
      <c r="I910" s="8">
        <v>-8.6242299794661137E-2</v>
      </c>
      <c r="J910" s="8">
        <v>-0.13843175217812201</v>
      </c>
      <c r="K910" s="8">
        <v>0.30116959064327498</v>
      </c>
      <c r="L910" s="8">
        <v>-0.33828996282527879</v>
      </c>
      <c r="M910" s="18">
        <v>-0.26179442415478688</v>
      </c>
    </row>
    <row r="911" spans="1:13" x14ac:dyDescent="0.45">
      <c r="A911" t="s">
        <v>1669</v>
      </c>
      <c r="B911" s="18">
        <v>135.58000000000001</v>
      </c>
      <c r="C911" s="18">
        <v>152.96</v>
      </c>
      <c r="D911" s="18">
        <v>121.03</v>
      </c>
      <c r="E911" s="18">
        <v>104.27</v>
      </c>
      <c r="F911" s="18">
        <v>165.72</v>
      </c>
      <c r="G911" s="18">
        <v>143.00280000000001</v>
      </c>
      <c r="H911" s="18">
        <v>123.44425</v>
      </c>
      <c r="I911" s="8">
        <v>-0.1136244769874477</v>
      </c>
      <c r="J911" s="8">
        <v>0.12021812773692481</v>
      </c>
      <c r="K911" s="8">
        <v>0.30027812410089211</v>
      </c>
      <c r="L911" s="8">
        <v>-0.18187303886072881</v>
      </c>
      <c r="M911" s="18">
        <v>0.1249987359896403</v>
      </c>
    </row>
    <row r="912" spans="1:13" x14ac:dyDescent="0.45">
      <c r="A912" t="s">
        <v>1707</v>
      </c>
      <c r="B912" s="18">
        <v>4.68</v>
      </c>
      <c r="C912" s="18">
        <v>3.58</v>
      </c>
      <c r="D912" s="18">
        <v>4.24</v>
      </c>
      <c r="E912" s="18">
        <v>3.6</v>
      </c>
      <c r="F912" s="18">
        <v>6.25</v>
      </c>
      <c r="G912" s="18">
        <v>4.3555799999999998</v>
      </c>
      <c r="H912" s="18">
        <v>4.0332074999999996</v>
      </c>
      <c r="I912" s="8">
        <v>0.30726256983240208</v>
      </c>
      <c r="J912" s="8">
        <v>0.1037735849056602</v>
      </c>
      <c r="K912" s="8">
        <v>0.29999999999999982</v>
      </c>
      <c r="L912" s="8">
        <v>-0.25120000000000009</v>
      </c>
      <c r="M912" s="18">
        <v>0.45983615473806211</v>
      </c>
    </row>
    <row r="913" spans="1:13" x14ac:dyDescent="0.45">
      <c r="A913" t="s">
        <v>1622</v>
      </c>
      <c r="B913" s="18">
        <v>17.190000000000001</v>
      </c>
      <c r="C913" s="18">
        <v>18.07</v>
      </c>
      <c r="D913" s="18">
        <v>16.39</v>
      </c>
      <c r="E913" s="18">
        <v>13.24</v>
      </c>
      <c r="F913" s="18">
        <v>17.87</v>
      </c>
      <c r="G913" s="18">
        <v>17.595800000000001</v>
      </c>
      <c r="H913" s="18">
        <v>17.395700000000001</v>
      </c>
      <c r="I913" s="8">
        <v>-4.8699501936911971E-2</v>
      </c>
      <c r="J913" s="8">
        <v>4.8810250152532042E-2</v>
      </c>
      <c r="K913" s="8">
        <v>0.29833836858006052</v>
      </c>
      <c r="L913" s="8">
        <v>-3.8052602126468882E-2</v>
      </c>
      <c r="M913" s="18">
        <v>0.26039651466921171</v>
      </c>
    </row>
    <row r="914" spans="1:13" x14ac:dyDescent="0.45">
      <c r="A914" t="s">
        <v>949</v>
      </c>
      <c r="B914" s="18">
        <v>32.630000000000003</v>
      </c>
      <c r="C914" s="18">
        <v>30.89</v>
      </c>
      <c r="D914" s="18">
        <v>31.79</v>
      </c>
      <c r="E914" s="18">
        <v>25.14</v>
      </c>
      <c r="F914" s="18">
        <v>35.549999999999997</v>
      </c>
      <c r="G914" s="18">
        <v>31.303000000000001</v>
      </c>
      <c r="H914" s="18">
        <v>30.677900000000001</v>
      </c>
      <c r="I914" s="8">
        <v>5.6328909032049353E-2</v>
      </c>
      <c r="J914" s="8">
        <v>2.6423403586033341E-2</v>
      </c>
      <c r="K914" s="8">
        <v>0.29793158313444712</v>
      </c>
      <c r="L914" s="8">
        <v>-8.2137834036568047E-2</v>
      </c>
      <c r="M914" s="18">
        <v>0.29854606171596182</v>
      </c>
    </row>
    <row r="915" spans="1:13" x14ac:dyDescent="0.45">
      <c r="A915" t="s">
        <v>1839</v>
      </c>
      <c r="B915" s="18">
        <v>132.31</v>
      </c>
      <c r="C915" s="18">
        <v>128.05000000000001</v>
      </c>
      <c r="D915" s="18">
        <v>123.73</v>
      </c>
      <c r="E915" s="18">
        <v>101.96</v>
      </c>
      <c r="F915" s="18">
        <v>113.95</v>
      </c>
      <c r="G915" s="18">
        <v>124.29940000000001</v>
      </c>
      <c r="H915" s="18">
        <v>113.792</v>
      </c>
      <c r="I915" s="8">
        <v>3.3268254588051382E-2</v>
      </c>
      <c r="J915" s="8">
        <v>6.9344540531803167E-2</v>
      </c>
      <c r="K915" s="8">
        <v>0.29766575127500983</v>
      </c>
      <c r="L915" s="8">
        <v>0.1611232996928478</v>
      </c>
      <c r="M915" s="18">
        <v>0.56140184608771215</v>
      </c>
    </row>
    <row r="916" spans="1:13" x14ac:dyDescent="0.45">
      <c r="A916" t="s">
        <v>379</v>
      </c>
      <c r="B916" s="18">
        <v>69.09</v>
      </c>
      <c r="C916" s="18">
        <v>73.599999999999994</v>
      </c>
      <c r="D916" s="18">
        <v>74.62</v>
      </c>
      <c r="E916" s="18">
        <v>53.27</v>
      </c>
      <c r="F916" s="18">
        <v>82.25</v>
      </c>
      <c r="G916" s="18">
        <v>74.096400000000003</v>
      </c>
      <c r="H916" s="18">
        <v>69.746050000000011</v>
      </c>
      <c r="I916" s="8">
        <v>-6.1277173913043333E-2</v>
      </c>
      <c r="J916" s="8">
        <v>-7.4108818011257016E-2</v>
      </c>
      <c r="K916" s="8">
        <v>0.29697766097240458</v>
      </c>
      <c r="L916" s="8">
        <v>-0.15999999999999989</v>
      </c>
      <c r="M916" s="18">
        <v>1.591669048104372E-3</v>
      </c>
    </row>
    <row r="917" spans="1:13" x14ac:dyDescent="0.45">
      <c r="A917" t="s">
        <v>1125</v>
      </c>
      <c r="B917" s="18">
        <v>4.0199999999999996</v>
      </c>
      <c r="C917" s="18">
        <v>3.86</v>
      </c>
      <c r="D917" s="18">
        <v>3.86</v>
      </c>
      <c r="E917" s="18">
        <v>3.1</v>
      </c>
      <c r="F917" s="18">
        <v>6.32</v>
      </c>
      <c r="G917" s="18">
        <v>3.9163999999999999</v>
      </c>
      <c r="H917" s="18">
        <v>3.854849999999999</v>
      </c>
      <c r="I917" s="8">
        <v>4.1450777202072457E-2</v>
      </c>
      <c r="J917" s="8">
        <v>4.1450777202072457E-2</v>
      </c>
      <c r="K917" s="8">
        <v>0.29677419354838702</v>
      </c>
      <c r="L917" s="8">
        <v>-0.36392405063291139</v>
      </c>
      <c r="M917" s="18">
        <v>1.575169731962045E-2</v>
      </c>
    </row>
    <row r="918" spans="1:13" x14ac:dyDescent="0.45">
      <c r="A918" t="s">
        <v>384</v>
      </c>
      <c r="B918" s="18">
        <v>637.95000000000005</v>
      </c>
      <c r="C918" s="18">
        <v>571.63</v>
      </c>
      <c r="D918" s="18">
        <v>513.87</v>
      </c>
      <c r="E918" s="18">
        <v>491.97</v>
      </c>
      <c r="F918" s="18">
        <v>536.74</v>
      </c>
      <c r="G918" s="18">
        <v>588.07659999999998</v>
      </c>
      <c r="H918" s="18">
        <v>514.32114999999999</v>
      </c>
      <c r="I918" s="8">
        <v>0.11601910326609891</v>
      </c>
      <c r="J918" s="8">
        <v>0.241461848327398</v>
      </c>
      <c r="K918" s="8">
        <v>0.29672541008598091</v>
      </c>
      <c r="L918" s="8">
        <v>0.1885642955620972</v>
      </c>
      <c r="M918" s="18">
        <v>0.84277065724157496</v>
      </c>
    </row>
    <row r="919" spans="1:13" x14ac:dyDescent="0.45">
      <c r="A919" t="s">
        <v>1398</v>
      </c>
      <c r="B919" s="18">
        <v>9.15</v>
      </c>
      <c r="C919" s="18">
        <v>9.48</v>
      </c>
      <c r="D919" s="18">
        <v>10.37</v>
      </c>
      <c r="E919" s="18">
        <v>7.06</v>
      </c>
      <c r="F919" s="18">
        <v>7</v>
      </c>
      <c r="G919" s="18">
        <v>9.2433999999999994</v>
      </c>
      <c r="H919" s="18">
        <v>7.9800500000000003</v>
      </c>
      <c r="I919" s="8">
        <v>-3.4810126582278438E-2</v>
      </c>
      <c r="J919" s="8">
        <v>-0.1176470588235293</v>
      </c>
      <c r="K919" s="8">
        <v>0.29603399433427779</v>
      </c>
      <c r="L919" s="8">
        <v>0.30714285714285722</v>
      </c>
      <c r="M919" s="18">
        <v>0.45071966607132719</v>
      </c>
    </row>
    <row r="920" spans="1:13" x14ac:dyDescent="0.45">
      <c r="A920" t="s">
        <v>1188</v>
      </c>
      <c r="B920" s="18">
        <v>15.87</v>
      </c>
      <c r="C920" s="18">
        <v>15.96</v>
      </c>
      <c r="D920" s="18">
        <v>15.71</v>
      </c>
      <c r="E920" s="18">
        <v>12.25</v>
      </c>
      <c r="F920" s="18">
        <v>14.6</v>
      </c>
      <c r="G920" s="18">
        <v>15.800800000000001</v>
      </c>
      <c r="H920" s="18">
        <v>15.05715</v>
      </c>
      <c r="I920" s="8">
        <v>-5.6390977443609991E-3</v>
      </c>
      <c r="J920" s="8">
        <v>1.018459579885422E-2</v>
      </c>
      <c r="K920" s="8">
        <v>0.29551020408163259</v>
      </c>
      <c r="L920" s="8">
        <v>8.6986301369863073E-2</v>
      </c>
      <c r="M920" s="18">
        <v>0.38704200350598889</v>
      </c>
    </row>
    <row r="921" spans="1:13" x14ac:dyDescent="0.45">
      <c r="A921" t="s">
        <v>1115</v>
      </c>
      <c r="B921" s="18">
        <v>53.39</v>
      </c>
      <c r="C921" s="18">
        <v>52.05</v>
      </c>
      <c r="D921" s="18">
        <v>52.92</v>
      </c>
      <c r="E921" s="18">
        <v>41.22</v>
      </c>
      <c r="F921" s="18">
        <v>80.599999999999994</v>
      </c>
      <c r="G921" s="18">
        <v>49.565400000000011</v>
      </c>
      <c r="H921" s="18">
        <v>50.030549999999991</v>
      </c>
      <c r="I921" s="8">
        <v>2.5744476464937719E-2</v>
      </c>
      <c r="J921" s="8">
        <v>8.8813303099017915E-3</v>
      </c>
      <c r="K921" s="8">
        <v>0.29524502668607472</v>
      </c>
      <c r="L921" s="8">
        <v>-0.33759305210918111</v>
      </c>
      <c r="M921" s="18">
        <v>-7.722218648266943E-3</v>
      </c>
    </row>
    <row r="922" spans="1:13" x14ac:dyDescent="0.45">
      <c r="A922" t="s">
        <v>2259</v>
      </c>
      <c r="B922" s="18">
        <v>40.840000000000003</v>
      </c>
      <c r="C922" s="18">
        <v>40.96</v>
      </c>
      <c r="D922" s="18">
        <v>39.409999999999997</v>
      </c>
      <c r="E922" s="18">
        <v>31.54</v>
      </c>
      <c r="F922" s="18">
        <v>39.97</v>
      </c>
      <c r="G922" s="18">
        <v>40.639600000000002</v>
      </c>
      <c r="H922" s="18">
        <v>38.134999999999998</v>
      </c>
      <c r="I922" s="8">
        <v>-2.929687499999889E-3</v>
      </c>
      <c r="J922" s="8">
        <v>3.6285206800304559E-2</v>
      </c>
      <c r="K922" s="8">
        <v>0.29486366518706419</v>
      </c>
      <c r="L922" s="8">
        <v>2.1766324743557771E-2</v>
      </c>
      <c r="M922" s="18">
        <v>0.34998550923092658</v>
      </c>
    </row>
    <row r="923" spans="1:13" x14ac:dyDescent="0.45">
      <c r="A923" t="s">
        <v>625</v>
      </c>
      <c r="B923" s="18">
        <v>43.82</v>
      </c>
      <c r="C923" s="18">
        <v>46.49</v>
      </c>
      <c r="D923" s="18">
        <v>48.12</v>
      </c>
      <c r="E923" s="18">
        <v>33.85</v>
      </c>
      <c r="F923" s="18">
        <v>42.9</v>
      </c>
      <c r="G923" s="18">
        <v>45.616999999999997</v>
      </c>
      <c r="H923" s="18">
        <v>42.896850000000001</v>
      </c>
      <c r="I923" s="8">
        <v>-5.743170574317058E-2</v>
      </c>
      <c r="J923" s="8">
        <v>-8.9359933499584265E-2</v>
      </c>
      <c r="K923" s="8">
        <v>0.29453471196454939</v>
      </c>
      <c r="L923" s="8">
        <v>2.144522144522143E-2</v>
      </c>
      <c r="M923" s="18">
        <v>0.169188294167016</v>
      </c>
    </row>
    <row r="924" spans="1:13" x14ac:dyDescent="0.45">
      <c r="A924" t="s">
        <v>2067</v>
      </c>
      <c r="B924" s="18">
        <v>67.7</v>
      </c>
      <c r="C924" s="18">
        <v>61.87</v>
      </c>
      <c r="D924" s="18">
        <v>60.1</v>
      </c>
      <c r="E924" s="18">
        <v>52.32</v>
      </c>
      <c r="F924" s="18">
        <v>69.7</v>
      </c>
      <c r="G924" s="18">
        <v>62.845399999999998</v>
      </c>
      <c r="H924" s="18">
        <v>60.914200000000001</v>
      </c>
      <c r="I924" s="8">
        <v>9.4229836754485374E-2</v>
      </c>
      <c r="J924" s="8">
        <v>0.1264559068219635</v>
      </c>
      <c r="K924" s="8">
        <v>0.29396024464831799</v>
      </c>
      <c r="L924" s="8">
        <v>-2.8694404591104731E-2</v>
      </c>
      <c r="M924" s="18">
        <v>0.4859515836336622</v>
      </c>
    </row>
    <row r="925" spans="1:13" x14ac:dyDescent="0.45">
      <c r="A925" t="s">
        <v>2074</v>
      </c>
      <c r="B925" s="18">
        <v>2.38</v>
      </c>
      <c r="C925" s="18">
        <v>2.73</v>
      </c>
      <c r="D925" s="18">
        <v>2.2599999999999998</v>
      </c>
      <c r="E925" s="18">
        <v>1.84</v>
      </c>
      <c r="F925" s="18">
        <v>1.76</v>
      </c>
      <c r="G925" s="18">
        <v>2.431</v>
      </c>
      <c r="H925" s="18">
        <v>2.1899000000000002</v>
      </c>
      <c r="I925" s="8">
        <v>-0.12820512820512819</v>
      </c>
      <c r="J925" s="8">
        <v>5.3097345132743452E-2</v>
      </c>
      <c r="K925" s="8">
        <v>0.29347826086956519</v>
      </c>
      <c r="L925" s="8">
        <v>0.35227272727272729</v>
      </c>
      <c r="M925" s="18">
        <v>0.57064320506990773</v>
      </c>
    </row>
    <row r="926" spans="1:13" x14ac:dyDescent="0.45">
      <c r="A926" t="s">
        <v>1409</v>
      </c>
      <c r="B926" s="18">
        <v>26.93</v>
      </c>
      <c r="C926" s="18">
        <v>30.98</v>
      </c>
      <c r="D926" s="18">
        <v>25.11</v>
      </c>
      <c r="E926" s="18">
        <v>20.82</v>
      </c>
      <c r="F926" s="18">
        <v>34.78</v>
      </c>
      <c r="G926" s="18">
        <v>27.9024</v>
      </c>
      <c r="H926" s="18">
        <v>26.022649999999999</v>
      </c>
      <c r="I926" s="8">
        <v>-0.1307295029051001</v>
      </c>
      <c r="J926" s="8">
        <v>7.2481083233771448E-2</v>
      </c>
      <c r="K926" s="8">
        <v>0.29346781940441891</v>
      </c>
      <c r="L926" s="8">
        <v>-0.22570442783208741</v>
      </c>
      <c r="M926" s="18">
        <v>9.5149719010028111E-3</v>
      </c>
    </row>
    <row r="927" spans="1:13" x14ac:dyDescent="0.45">
      <c r="A927" t="s">
        <v>1083</v>
      </c>
      <c r="B927" s="18">
        <v>114.75</v>
      </c>
      <c r="C927" s="18">
        <v>105.04</v>
      </c>
      <c r="D927" s="18">
        <v>102.66</v>
      </c>
      <c r="E927" s="18">
        <v>88.73</v>
      </c>
      <c r="F927" s="18">
        <v>84.05</v>
      </c>
      <c r="G927" s="18">
        <v>106.46299999999999</v>
      </c>
      <c r="H927" s="18">
        <v>102.2908</v>
      </c>
      <c r="I927" s="8">
        <v>9.2440974866717429E-2</v>
      </c>
      <c r="J927" s="8">
        <v>0.1177673874926943</v>
      </c>
      <c r="K927" s="8">
        <v>0.29324918291445939</v>
      </c>
      <c r="L927" s="8">
        <v>0.36525877453896499</v>
      </c>
      <c r="M927" s="18">
        <v>0.86871631981283626</v>
      </c>
    </row>
    <row r="928" spans="1:13" x14ac:dyDescent="0.45">
      <c r="A928" t="s">
        <v>922</v>
      </c>
      <c r="B928" s="18">
        <v>235.5</v>
      </c>
      <c r="C928" s="18">
        <v>236.5</v>
      </c>
      <c r="D928" s="18">
        <v>231.25</v>
      </c>
      <c r="E928" s="18">
        <v>182.1</v>
      </c>
      <c r="F928" s="18">
        <v>245.79</v>
      </c>
      <c r="G928" s="18">
        <v>238.27500000000001</v>
      </c>
      <c r="H928" s="18">
        <v>225.41919999999999</v>
      </c>
      <c r="I928" s="8">
        <v>-4.2283298097252056E-3</v>
      </c>
      <c r="J928" s="8">
        <v>1.8378378378378409E-2</v>
      </c>
      <c r="K928" s="8">
        <v>0.29324546952224062</v>
      </c>
      <c r="L928" s="8">
        <v>-4.1865006713047707E-2</v>
      </c>
      <c r="M928" s="18">
        <v>0.26553051137784611</v>
      </c>
    </row>
    <row r="929" spans="1:13" x14ac:dyDescent="0.45">
      <c r="A929" t="s">
        <v>1948</v>
      </c>
      <c r="B929" s="18">
        <v>19.37</v>
      </c>
      <c r="C929" s="18">
        <v>19.75</v>
      </c>
      <c r="D929" s="18">
        <v>18.79</v>
      </c>
      <c r="E929" s="18">
        <v>14.98</v>
      </c>
      <c r="F929" s="18">
        <v>17.829999999999998</v>
      </c>
      <c r="G929" s="18">
        <v>19.323399999999999</v>
      </c>
      <c r="H929" s="18">
        <v>18.044799999999999</v>
      </c>
      <c r="I929" s="8">
        <v>-1.924050632911389E-2</v>
      </c>
      <c r="J929" s="8">
        <v>3.0867482703565759E-2</v>
      </c>
      <c r="K929" s="8">
        <v>0.29305740987983969</v>
      </c>
      <c r="L929" s="8">
        <v>8.6371284352215527E-2</v>
      </c>
      <c r="M929" s="18">
        <v>0.39105567060650709</v>
      </c>
    </row>
    <row r="930" spans="1:13" x14ac:dyDescent="0.45">
      <c r="A930" t="s">
        <v>411</v>
      </c>
      <c r="B930" s="18">
        <v>115.99</v>
      </c>
      <c r="C930" s="18">
        <v>111.97</v>
      </c>
      <c r="D930" s="18">
        <v>108.41</v>
      </c>
      <c r="E930" s="18">
        <v>89.76</v>
      </c>
      <c r="F930" s="18">
        <v>122.42</v>
      </c>
      <c r="G930" s="18">
        <v>111.3792</v>
      </c>
      <c r="H930" s="18">
        <v>110.0745</v>
      </c>
      <c r="I930" s="8">
        <v>3.5902473876931351E-2</v>
      </c>
      <c r="J930" s="8">
        <v>6.9919749100636475E-2</v>
      </c>
      <c r="K930" s="8">
        <v>0.29222370766488392</v>
      </c>
      <c r="L930" s="8">
        <v>-5.2524097369710858E-2</v>
      </c>
      <c r="M930" s="18">
        <v>0.34552183327274089</v>
      </c>
    </row>
    <row r="931" spans="1:13" x14ac:dyDescent="0.45">
      <c r="A931" t="s">
        <v>291</v>
      </c>
      <c r="B931" s="18">
        <v>260.06</v>
      </c>
      <c r="C931" s="18">
        <v>274.97000000000003</v>
      </c>
      <c r="D931" s="18">
        <v>277.48</v>
      </c>
      <c r="E931" s="18">
        <v>201.28</v>
      </c>
      <c r="F931" s="18">
        <v>233.72</v>
      </c>
      <c r="G931" s="18">
        <v>268.06279999999998</v>
      </c>
      <c r="H931" s="18">
        <v>252.7818</v>
      </c>
      <c r="I931" s="8">
        <v>-5.4224097174237262E-2</v>
      </c>
      <c r="J931" s="8">
        <v>-6.2779299408966427E-2</v>
      </c>
      <c r="K931" s="8">
        <v>0.29203100158982509</v>
      </c>
      <c r="L931" s="8">
        <v>0.11269895601574539</v>
      </c>
      <c r="M931" s="18">
        <v>0.28772656102236682</v>
      </c>
    </row>
    <row r="932" spans="1:13" x14ac:dyDescent="0.45">
      <c r="A932" t="s">
        <v>1581</v>
      </c>
      <c r="B932" s="18">
        <v>12.92</v>
      </c>
      <c r="C932" s="18">
        <v>10.02</v>
      </c>
      <c r="D932" s="18">
        <v>12.53</v>
      </c>
      <c r="E932" s="18">
        <v>10</v>
      </c>
      <c r="F932" s="18">
        <v>20.51</v>
      </c>
      <c r="G932" s="18">
        <v>11.4732</v>
      </c>
      <c r="H932" s="18">
        <v>13.979050000000001</v>
      </c>
      <c r="I932" s="8">
        <v>0.28942115768463078</v>
      </c>
      <c r="J932" s="8">
        <v>3.1125299281723921E-2</v>
      </c>
      <c r="K932" s="8">
        <v>0.29199999999999998</v>
      </c>
      <c r="L932" s="8">
        <v>-0.37006338371526087</v>
      </c>
      <c r="M932" s="18">
        <v>0.24248307325109389</v>
      </c>
    </row>
    <row r="933" spans="1:13" x14ac:dyDescent="0.45">
      <c r="A933" t="s">
        <v>1459</v>
      </c>
      <c r="B933" s="18">
        <v>124.05</v>
      </c>
      <c r="C933" s="18">
        <v>123.68</v>
      </c>
      <c r="D933" s="18">
        <v>121.89</v>
      </c>
      <c r="E933" s="18">
        <v>96.02</v>
      </c>
      <c r="F933" s="18">
        <v>110.87</v>
      </c>
      <c r="G933" s="18">
        <v>120.7282</v>
      </c>
      <c r="H933" s="18">
        <v>119.1396</v>
      </c>
      <c r="I933" s="8">
        <v>2.9915912031046599E-3</v>
      </c>
      <c r="J933" s="8">
        <v>1.772089588973658E-2</v>
      </c>
      <c r="K933" s="8">
        <v>0.29191835034367841</v>
      </c>
      <c r="L933" s="8">
        <v>0.1188779651844503</v>
      </c>
      <c r="M933" s="18">
        <v>0.43150880262096991</v>
      </c>
    </row>
    <row r="934" spans="1:13" x14ac:dyDescent="0.45">
      <c r="A934" t="s">
        <v>869</v>
      </c>
      <c r="B934" s="18">
        <v>28.96</v>
      </c>
      <c r="C934" s="18">
        <v>32.01</v>
      </c>
      <c r="D934" s="18">
        <v>26.04</v>
      </c>
      <c r="E934" s="18">
        <v>22.42</v>
      </c>
      <c r="F934" s="18">
        <v>25.3</v>
      </c>
      <c r="G934" s="18">
        <v>30.236000000000001</v>
      </c>
      <c r="H934" s="18">
        <v>27.848700000000001</v>
      </c>
      <c r="I934" s="8">
        <v>-9.5282724148703424E-2</v>
      </c>
      <c r="J934" s="8">
        <v>0.11213517665130571</v>
      </c>
      <c r="K934" s="8">
        <v>0.29170383586083842</v>
      </c>
      <c r="L934" s="8">
        <v>0.14466403162055341</v>
      </c>
      <c r="M934" s="18">
        <v>0.45322031998399398</v>
      </c>
    </row>
    <row r="935" spans="1:13" x14ac:dyDescent="0.45">
      <c r="A935" t="s">
        <v>629</v>
      </c>
      <c r="B935" s="18">
        <v>5.89</v>
      </c>
      <c r="C935" s="18">
        <v>5.61</v>
      </c>
      <c r="D935" s="18">
        <v>5.85</v>
      </c>
      <c r="E935" s="18">
        <v>4.5599999999999996</v>
      </c>
      <c r="F935" s="18">
        <v>5.25</v>
      </c>
      <c r="G935" s="18">
        <v>5.6973999999999991</v>
      </c>
      <c r="H935" s="18">
        <v>5.3069499999999996</v>
      </c>
      <c r="I935" s="8">
        <v>4.9910873440285108E-2</v>
      </c>
      <c r="J935" s="8">
        <v>6.8376068376068133E-3</v>
      </c>
      <c r="K935" s="8">
        <v>0.29166666666666669</v>
      </c>
      <c r="L935" s="8">
        <v>0.1219047619047617</v>
      </c>
      <c r="M935" s="18">
        <v>0.4703199088493204</v>
      </c>
    </row>
    <row r="936" spans="1:13" x14ac:dyDescent="0.45">
      <c r="A936" t="s">
        <v>475</v>
      </c>
      <c r="B936" s="18">
        <v>46.99</v>
      </c>
      <c r="C936" s="18">
        <v>49.37</v>
      </c>
      <c r="D936" s="18">
        <v>47.57</v>
      </c>
      <c r="E936" s="18">
        <v>36.4</v>
      </c>
      <c r="F936" s="18">
        <v>44.7</v>
      </c>
      <c r="G936" s="18">
        <v>47.630199999999988</v>
      </c>
      <c r="H936" s="18">
        <v>45.37115</v>
      </c>
      <c r="I936" s="8">
        <v>-4.8207413408952737E-2</v>
      </c>
      <c r="J936" s="8">
        <v>-1.219255833508515E-2</v>
      </c>
      <c r="K936" s="8">
        <v>0.29093406593406601</v>
      </c>
      <c r="L936" s="8">
        <v>5.1230425055928341E-2</v>
      </c>
      <c r="M936" s="18">
        <v>0.28176451924595652</v>
      </c>
    </row>
    <row r="937" spans="1:13" x14ac:dyDescent="0.45">
      <c r="A937" t="s">
        <v>1640</v>
      </c>
      <c r="B937" s="18">
        <v>17.13</v>
      </c>
      <c r="C937" s="18">
        <v>16.97</v>
      </c>
      <c r="D937" s="18">
        <v>13.5</v>
      </c>
      <c r="E937" s="18">
        <v>13.27</v>
      </c>
      <c r="F937" s="18">
        <v>12.13</v>
      </c>
      <c r="G937" s="18">
        <v>16.0212</v>
      </c>
      <c r="H937" s="18">
        <v>14.37345</v>
      </c>
      <c r="I937" s="8">
        <v>9.4284030642310945E-3</v>
      </c>
      <c r="J937" s="8">
        <v>0.26888888888888868</v>
      </c>
      <c r="K937" s="8">
        <v>0.29088168801808578</v>
      </c>
      <c r="L937" s="8">
        <v>0.41220115416323161</v>
      </c>
      <c r="M937" s="18">
        <v>0.98140013413443716</v>
      </c>
    </row>
    <row r="938" spans="1:13" x14ac:dyDescent="0.45">
      <c r="A938" t="s">
        <v>1295</v>
      </c>
      <c r="B938" s="18">
        <v>27.26</v>
      </c>
      <c r="C938" s="18">
        <v>26.91</v>
      </c>
      <c r="D938" s="18">
        <v>26.64</v>
      </c>
      <c r="E938" s="18">
        <v>21.12</v>
      </c>
      <c r="F938" s="18">
        <v>24.37</v>
      </c>
      <c r="G938" s="18">
        <v>26.816199999999998</v>
      </c>
      <c r="H938" s="18">
        <v>25.156700000000001</v>
      </c>
      <c r="I938" s="8">
        <v>1.300631735414348E-2</v>
      </c>
      <c r="J938" s="8">
        <v>2.3273273273273221E-2</v>
      </c>
      <c r="K938" s="8">
        <v>0.29071969696969702</v>
      </c>
      <c r="L938" s="8">
        <v>0.1185884283955683</v>
      </c>
      <c r="M938" s="18">
        <v>0.44558771599268199</v>
      </c>
    </row>
    <row r="939" spans="1:13" x14ac:dyDescent="0.45">
      <c r="A939" t="s">
        <v>1827</v>
      </c>
      <c r="B939" s="18">
        <v>60.44</v>
      </c>
      <c r="C939" s="18">
        <v>56.45</v>
      </c>
      <c r="D939" s="18">
        <v>60.8</v>
      </c>
      <c r="E939" s="18">
        <v>46.88</v>
      </c>
      <c r="F939" s="18">
        <v>49.82</v>
      </c>
      <c r="G939" s="18">
        <v>57.694000000000003</v>
      </c>
      <c r="H939" s="18">
        <v>55.078400000000002</v>
      </c>
      <c r="I939" s="8">
        <v>7.0682019486270953E-2</v>
      </c>
      <c r="J939" s="8">
        <v>-5.921052631578938E-3</v>
      </c>
      <c r="K939" s="8">
        <v>0.28924914675767899</v>
      </c>
      <c r="L939" s="8">
        <v>0.21316740264953829</v>
      </c>
      <c r="M939" s="18">
        <v>0.56717751626190926</v>
      </c>
    </row>
    <row r="940" spans="1:13" x14ac:dyDescent="0.45">
      <c r="A940" t="s">
        <v>737</v>
      </c>
      <c r="B940" s="18">
        <v>2.68</v>
      </c>
      <c r="C940" s="18">
        <v>1.58</v>
      </c>
      <c r="D940" s="18">
        <v>1.87</v>
      </c>
      <c r="E940" s="18">
        <v>2.08</v>
      </c>
      <c r="F940" s="18">
        <v>1.96</v>
      </c>
      <c r="G940" s="18">
        <v>1.6912</v>
      </c>
      <c r="H940" s="18">
        <v>2.52495</v>
      </c>
      <c r="I940" s="8">
        <v>0.69620253164556956</v>
      </c>
      <c r="J940" s="8">
        <v>0.4331550802139037</v>
      </c>
      <c r="K940" s="8">
        <v>0.28846153846153849</v>
      </c>
      <c r="L940" s="8">
        <v>0.36734693877551039</v>
      </c>
      <c r="M940" s="18">
        <v>1.785166089096522</v>
      </c>
    </row>
    <row r="941" spans="1:13" x14ac:dyDescent="0.45">
      <c r="A941" t="s">
        <v>1963</v>
      </c>
      <c r="B941" s="18">
        <v>31.79</v>
      </c>
      <c r="C941" s="18">
        <v>36.5</v>
      </c>
      <c r="D941" s="18">
        <v>35.799999999999997</v>
      </c>
      <c r="E941" s="18">
        <v>24.68</v>
      </c>
      <c r="F941" s="18">
        <v>33.25</v>
      </c>
      <c r="G941" s="18">
        <v>35.561000000000007</v>
      </c>
      <c r="H941" s="18">
        <v>33.311349999999997</v>
      </c>
      <c r="I941" s="8">
        <v>-0.12904109589041099</v>
      </c>
      <c r="J941" s="8">
        <v>-0.11201117318435749</v>
      </c>
      <c r="K941" s="8">
        <v>0.28808752025931922</v>
      </c>
      <c r="L941" s="8">
        <v>-4.3909774436090232E-2</v>
      </c>
      <c r="M941" s="18">
        <v>3.1254767484604211E-3</v>
      </c>
    </row>
    <row r="942" spans="1:13" x14ac:dyDescent="0.45">
      <c r="A942" t="s">
        <v>1348</v>
      </c>
      <c r="B942" s="18">
        <v>68.88</v>
      </c>
      <c r="C942" s="18">
        <v>73.77</v>
      </c>
      <c r="D942" s="18">
        <v>67.150000000000006</v>
      </c>
      <c r="E942" s="18">
        <v>53.49</v>
      </c>
      <c r="F942" s="18">
        <v>79.36</v>
      </c>
      <c r="G942" s="18">
        <v>70.163600000000002</v>
      </c>
      <c r="H942" s="18">
        <v>62.4709</v>
      </c>
      <c r="I942" s="8">
        <v>-6.6287108580723841E-2</v>
      </c>
      <c r="J942" s="8">
        <v>2.5763216679076439E-2</v>
      </c>
      <c r="K942" s="8">
        <v>0.28771733034211988</v>
      </c>
      <c r="L942" s="8">
        <v>-0.13205645161290319</v>
      </c>
      <c r="M942" s="18">
        <v>0.1151369868275692</v>
      </c>
    </row>
    <row r="943" spans="1:13" x14ac:dyDescent="0.45">
      <c r="A943" t="s">
        <v>2490</v>
      </c>
      <c r="B943" s="18">
        <v>76.31</v>
      </c>
      <c r="C943" s="18">
        <v>75.45</v>
      </c>
      <c r="D943" s="18">
        <v>74.84</v>
      </c>
      <c r="E943" s="18">
        <v>59.31</v>
      </c>
      <c r="F943" s="18">
        <v>49</v>
      </c>
      <c r="G943" s="18">
        <v>75.554000000000002</v>
      </c>
      <c r="H943" s="18">
        <v>63.766500000000008</v>
      </c>
      <c r="I943" s="8">
        <v>1.13982770046388E-2</v>
      </c>
      <c r="J943" s="8">
        <v>1.9641902725815012E-2</v>
      </c>
      <c r="K943" s="8">
        <v>0.28662957342775242</v>
      </c>
      <c r="L943" s="8">
        <v>0.55734693877551034</v>
      </c>
      <c r="M943" s="18">
        <v>0.87501669193371656</v>
      </c>
    </row>
    <row r="944" spans="1:13" x14ac:dyDescent="0.45">
      <c r="A944" t="s">
        <v>1199</v>
      </c>
      <c r="B944" s="18">
        <v>9.25</v>
      </c>
      <c r="C944" s="18">
        <v>8.9700000000000006</v>
      </c>
      <c r="D944" s="18">
        <v>8.91</v>
      </c>
      <c r="E944" s="18">
        <v>7.19</v>
      </c>
      <c r="F944" s="18">
        <v>8.5299999999999994</v>
      </c>
      <c r="G944" s="18">
        <v>8.9269999999999996</v>
      </c>
      <c r="H944" s="18">
        <v>8.5182000000000002</v>
      </c>
      <c r="I944" s="8">
        <v>3.121516164994409E-2</v>
      </c>
      <c r="J944" s="8">
        <v>3.8159371492704867E-2</v>
      </c>
      <c r="K944" s="8">
        <v>0.28650904033379693</v>
      </c>
      <c r="L944" s="8">
        <v>8.440797186400939E-2</v>
      </c>
      <c r="M944" s="18">
        <v>0.44029154534045523</v>
      </c>
    </row>
    <row r="945" spans="1:13" x14ac:dyDescent="0.45">
      <c r="A945" t="s">
        <v>1860</v>
      </c>
      <c r="B945" s="18">
        <v>7.55</v>
      </c>
      <c r="C945" s="18">
        <v>7.15</v>
      </c>
      <c r="D945" s="18">
        <v>7.47</v>
      </c>
      <c r="E945" s="18">
        <v>5.87</v>
      </c>
      <c r="F945" s="18">
        <v>3.07</v>
      </c>
      <c r="G945" s="18">
        <v>7.3538000000000006</v>
      </c>
      <c r="H945" s="18">
        <v>6.078155999999999</v>
      </c>
      <c r="I945" s="8">
        <v>5.5944055944055833E-2</v>
      </c>
      <c r="J945" s="8">
        <v>1.0709504685408209E-2</v>
      </c>
      <c r="K945" s="8">
        <v>0.28620102214650772</v>
      </c>
      <c r="L945" s="8">
        <v>1.45928338762215</v>
      </c>
      <c r="M945" s="18">
        <v>1.812137970398122</v>
      </c>
    </row>
    <row r="946" spans="1:13" x14ac:dyDescent="0.45">
      <c r="A946" t="s">
        <v>1150</v>
      </c>
      <c r="B946" s="18">
        <v>3.87</v>
      </c>
      <c r="C946" s="18">
        <v>3.64</v>
      </c>
      <c r="D946" s="18">
        <v>3.51</v>
      </c>
      <c r="E946" s="18">
        <v>3.01</v>
      </c>
      <c r="F946" s="18">
        <v>2.74</v>
      </c>
      <c r="G946" s="18">
        <v>3.5771999999999999</v>
      </c>
      <c r="H946" s="18">
        <v>3.4073000000000002</v>
      </c>
      <c r="I946" s="8">
        <v>6.3186813186813184E-2</v>
      </c>
      <c r="J946" s="8">
        <v>0.1025641025641026</v>
      </c>
      <c r="K946" s="8">
        <v>0.28571428571428581</v>
      </c>
      <c r="L946" s="8">
        <v>0.41240875912408748</v>
      </c>
      <c r="M946" s="18">
        <v>0.86387396058928911</v>
      </c>
    </row>
    <row r="947" spans="1:13" x14ac:dyDescent="0.45">
      <c r="A947" t="s">
        <v>1898</v>
      </c>
      <c r="B947" s="18">
        <v>40.07</v>
      </c>
      <c r="C947" s="18">
        <v>41.45</v>
      </c>
      <c r="D947" s="18">
        <v>40.909999999999997</v>
      </c>
      <c r="E947" s="18">
        <v>31.18</v>
      </c>
      <c r="F947" s="18">
        <v>43.53</v>
      </c>
      <c r="G947" s="18">
        <v>40.819600000000001</v>
      </c>
      <c r="H947" s="18">
        <v>39.986899999999999</v>
      </c>
      <c r="I947" s="8">
        <v>-3.3293124246079657E-2</v>
      </c>
      <c r="J947" s="8">
        <v>-2.053287704717666E-2</v>
      </c>
      <c r="K947" s="8">
        <v>0.28511866581141748</v>
      </c>
      <c r="L947" s="8">
        <v>-7.9485412359292407E-2</v>
      </c>
      <c r="M947" s="18">
        <v>0.15180725215886881</v>
      </c>
    </row>
    <row r="948" spans="1:13" x14ac:dyDescent="0.45">
      <c r="A948" t="s">
        <v>2407</v>
      </c>
      <c r="B948" s="18">
        <v>65.34</v>
      </c>
      <c r="C948" s="18">
        <v>78.28</v>
      </c>
      <c r="D948" s="18">
        <v>83.36</v>
      </c>
      <c r="E948" s="18">
        <v>50.86</v>
      </c>
      <c r="F948" s="18">
        <v>76.38</v>
      </c>
      <c r="G948" s="18">
        <v>74.2166</v>
      </c>
      <c r="H948" s="18">
        <v>73.695400000000006</v>
      </c>
      <c r="I948" s="8">
        <v>-0.16530403679100661</v>
      </c>
      <c r="J948" s="8">
        <v>-0.21617082533589249</v>
      </c>
      <c r="K948" s="8">
        <v>0.28470310656704689</v>
      </c>
      <c r="L948" s="8">
        <v>-0.14454045561665349</v>
      </c>
      <c r="M948" s="18">
        <v>-0.2413122111765057</v>
      </c>
    </row>
    <row r="949" spans="1:13" x14ac:dyDescent="0.45">
      <c r="A949" t="s">
        <v>2310</v>
      </c>
      <c r="B949" s="18">
        <v>12.91</v>
      </c>
      <c r="C949" s="18">
        <v>12.07</v>
      </c>
      <c r="D949" s="18">
        <v>10.49</v>
      </c>
      <c r="E949" s="18">
        <v>10.050000000000001</v>
      </c>
      <c r="F949" s="18">
        <v>13.33</v>
      </c>
      <c r="G949" s="18">
        <v>11.721</v>
      </c>
      <c r="H949" s="18">
        <v>11.228</v>
      </c>
      <c r="I949" s="8">
        <v>6.9594034797017423E-2</v>
      </c>
      <c r="J949" s="8">
        <v>0.23069590085795991</v>
      </c>
      <c r="K949" s="8">
        <v>0.2845771144278606</v>
      </c>
      <c r="L949" s="8">
        <v>-3.1507876969242288E-2</v>
      </c>
      <c r="M949" s="18">
        <v>0.55335917311359561</v>
      </c>
    </row>
    <row r="950" spans="1:13" x14ac:dyDescent="0.45">
      <c r="A950" t="s">
        <v>161</v>
      </c>
      <c r="B950" s="18">
        <v>73.03</v>
      </c>
      <c r="C950" s="18">
        <v>72.400000000000006</v>
      </c>
      <c r="D950" s="18">
        <v>70.28</v>
      </c>
      <c r="E950" s="18">
        <v>56.86</v>
      </c>
      <c r="F950" s="18">
        <v>80.739999999999995</v>
      </c>
      <c r="G950" s="18">
        <v>71.422200000000004</v>
      </c>
      <c r="H950" s="18">
        <v>69.511300000000006</v>
      </c>
      <c r="I950" s="8">
        <v>8.7016574585634388E-3</v>
      </c>
      <c r="J950" s="8">
        <v>3.9129197495731287E-2</v>
      </c>
      <c r="K950" s="8">
        <v>0.28438269433696811</v>
      </c>
      <c r="L950" s="8">
        <v>-9.5491701758731673E-2</v>
      </c>
      <c r="M950" s="18">
        <v>0.23672184753253109</v>
      </c>
    </row>
    <row r="951" spans="1:13" x14ac:dyDescent="0.45">
      <c r="A951" t="s">
        <v>504</v>
      </c>
      <c r="B951" s="18">
        <v>79.73</v>
      </c>
      <c r="C951" s="18">
        <v>80.760000000000005</v>
      </c>
      <c r="D951" s="18">
        <v>82.36</v>
      </c>
      <c r="E951" s="18">
        <v>62.08</v>
      </c>
      <c r="F951" s="18">
        <v>56.96</v>
      </c>
      <c r="G951" s="18">
        <v>80.651600000000002</v>
      </c>
      <c r="H951" s="18">
        <v>76.066800000000001</v>
      </c>
      <c r="I951" s="8">
        <v>-1.2753838533927749E-2</v>
      </c>
      <c r="J951" s="8">
        <v>-3.1932977173385058E-2</v>
      </c>
      <c r="K951" s="8">
        <v>0.28431056701030938</v>
      </c>
      <c r="L951" s="8">
        <v>0.39975421348314621</v>
      </c>
      <c r="M951" s="18">
        <v>0.63937796478614284</v>
      </c>
    </row>
    <row r="952" spans="1:13" x14ac:dyDescent="0.45">
      <c r="A952" t="s">
        <v>735</v>
      </c>
      <c r="B952" s="18">
        <v>55.02</v>
      </c>
      <c r="C952" s="18">
        <v>64.22</v>
      </c>
      <c r="D952" s="18">
        <v>62.56</v>
      </c>
      <c r="E952" s="18">
        <v>42.85</v>
      </c>
      <c r="F952" s="18">
        <v>48.34</v>
      </c>
      <c r="G952" s="18">
        <v>61.041400000000003</v>
      </c>
      <c r="H952" s="18">
        <v>56.556150000000002</v>
      </c>
      <c r="I952" s="8">
        <v>-0.1432575521644347</v>
      </c>
      <c r="J952" s="8">
        <v>-0.12052429667519179</v>
      </c>
      <c r="K952" s="8">
        <v>0.28401400233372232</v>
      </c>
      <c r="L952" s="8">
        <v>0.13818783616052949</v>
      </c>
      <c r="M952" s="18">
        <v>0.15841998965462531</v>
      </c>
    </row>
    <row r="953" spans="1:13" x14ac:dyDescent="0.45">
      <c r="A953" t="s">
        <v>286</v>
      </c>
      <c r="B953" s="18">
        <v>426.27</v>
      </c>
      <c r="C953" s="18">
        <v>413.4</v>
      </c>
      <c r="D953" s="18">
        <v>378.32</v>
      </c>
      <c r="E953" s="18">
        <v>332.18</v>
      </c>
      <c r="F953" s="18">
        <v>394.07</v>
      </c>
      <c r="G953" s="18">
        <v>401.67380000000003</v>
      </c>
      <c r="H953" s="18">
        <v>357.18459999999999</v>
      </c>
      <c r="I953" s="8">
        <v>3.1132075471698158E-2</v>
      </c>
      <c r="J953" s="8">
        <v>0.1267445548741806</v>
      </c>
      <c r="K953" s="8">
        <v>0.28325004515624053</v>
      </c>
      <c r="L953" s="8">
        <v>8.1711371076204742E-2</v>
      </c>
      <c r="M953" s="18">
        <v>0.522838046578324</v>
      </c>
    </row>
    <row r="954" spans="1:13" x14ac:dyDescent="0.45">
      <c r="A954" t="s">
        <v>678</v>
      </c>
      <c r="B954" s="18">
        <v>12.96</v>
      </c>
      <c r="C954" s="18">
        <v>12.55</v>
      </c>
      <c r="D954" s="18">
        <v>12.36</v>
      </c>
      <c r="E954" s="18">
        <v>10.1</v>
      </c>
      <c r="F954" s="18">
        <v>11.52</v>
      </c>
      <c r="G954" s="18">
        <v>12.5212</v>
      </c>
      <c r="H954" s="18">
        <v>11.940975</v>
      </c>
      <c r="I954" s="8">
        <v>3.2669322709163451E-2</v>
      </c>
      <c r="J954" s="8">
        <v>4.854368932038855E-2</v>
      </c>
      <c r="K954" s="8">
        <v>0.2831683168316832</v>
      </c>
      <c r="L954" s="8">
        <v>0.12500000000000019</v>
      </c>
      <c r="M954" s="18">
        <v>0.48938132886123542</v>
      </c>
    </row>
    <row r="955" spans="1:13" x14ac:dyDescent="0.45">
      <c r="A955" t="s">
        <v>1551</v>
      </c>
      <c r="B955" s="18">
        <v>6.8</v>
      </c>
      <c r="C955" s="18">
        <v>5.85</v>
      </c>
      <c r="D955" s="18">
        <v>6.49</v>
      </c>
      <c r="E955" s="18">
        <v>5.3</v>
      </c>
      <c r="F955" s="18">
        <v>4.88</v>
      </c>
      <c r="G955" s="18">
        <v>6.2082000000000006</v>
      </c>
      <c r="H955" s="18">
        <v>6.44</v>
      </c>
      <c r="I955" s="8">
        <v>0.16239316239316251</v>
      </c>
      <c r="J955" s="8">
        <v>4.7765793528505407E-2</v>
      </c>
      <c r="K955" s="8">
        <v>0.28301886792452818</v>
      </c>
      <c r="L955" s="8">
        <v>0.39344262295081972</v>
      </c>
      <c r="M955" s="18">
        <v>0.88662044679701579</v>
      </c>
    </row>
    <row r="956" spans="1:13" x14ac:dyDescent="0.45">
      <c r="A956" t="s">
        <v>1869</v>
      </c>
      <c r="B956" s="18">
        <v>12.34</v>
      </c>
      <c r="C956" s="18">
        <v>12.89</v>
      </c>
      <c r="D956" s="18">
        <v>15.53</v>
      </c>
      <c r="E956" s="18">
        <v>9.6199999999999992</v>
      </c>
      <c r="F956" s="18">
        <v>13.19</v>
      </c>
      <c r="G956" s="18">
        <v>12.9848</v>
      </c>
      <c r="H956" s="18">
        <v>12.531599999999999</v>
      </c>
      <c r="I956" s="8">
        <v>-4.2668735453840201E-2</v>
      </c>
      <c r="J956" s="8">
        <v>-0.20540888602704441</v>
      </c>
      <c r="K956" s="8">
        <v>0.28274428274428282</v>
      </c>
      <c r="L956" s="8">
        <v>-6.4442759666413885E-2</v>
      </c>
      <c r="M956" s="18">
        <v>-2.977609840301576E-2</v>
      </c>
    </row>
    <row r="957" spans="1:13" x14ac:dyDescent="0.45">
      <c r="A957" t="s">
        <v>2172</v>
      </c>
      <c r="B957" s="18">
        <v>6.17</v>
      </c>
      <c r="C957" s="18">
        <v>5.83</v>
      </c>
      <c r="D957" s="18">
        <v>6.16</v>
      </c>
      <c r="E957" s="18">
        <v>4.8099999999999996</v>
      </c>
      <c r="F957" s="18">
        <v>3.88</v>
      </c>
      <c r="G957" s="18">
        <v>5.8827999999999996</v>
      </c>
      <c r="H957" s="18">
        <v>5.5205000000000011</v>
      </c>
      <c r="I957" s="8">
        <v>5.8319039451114829E-2</v>
      </c>
      <c r="J957" s="8">
        <v>1.623376623376638E-3</v>
      </c>
      <c r="K957" s="8">
        <v>0.28274428274428282</v>
      </c>
      <c r="L957" s="8">
        <v>0.59020618556701043</v>
      </c>
      <c r="M957" s="18">
        <v>0.93289288438578466</v>
      </c>
    </row>
    <row r="958" spans="1:13" x14ac:dyDescent="0.45">
      <c r="A958" t="s">
        <v>88</v>
      </c>
      <c r="B958" s="18">
        <v>489.36</v>
      </c>
      <c r="C958" s="18">
        <v>604.37</v>
      </c>
      <c r="D958" s="18">
        <v>566.19000000000005</v>
      </c>
      <c r="E958" s="18">
        <v>381.59</v>
      </c>
      <c r="F958" s="18">
        <v>499.12</v>
      </c>
      <c r="G958" s="18">
        <v>551.42059999999992</v>
      </c>
      <c r="H958" s="18">
        <v>505.12374999999997</v>
      </c>
      <c r="I958" s="8">
        <v>-0.19029733441434879</v>
      </c>
      <c r="J958" s="8">
        <v>-0.13569649764213429</v>
      </c>
      <c r="K958" s="8">
        <v>0.28242354359390981</v>
      </c>
      <c r="L958" s="8">
        <v>-1.9554415771758319E-2</v>
      </c>
      <c r="M958" s="18">
        <v>-6.3124704234331697E-2</v>
      </c>
    </row>
    <row r="959" spans="1:13" x14ac:dyDescent="0.45">
      <c r="A959" t="s">
        <v>2492</v>
      </c>
      <c r="B959" s="18">
        <v>56.52</v>
      </c>
      <c r="C959" s="18">
        <v>63.26</v>
      </c>
      <c r="D959" s="18">
        <v>64.3</v>
      </c>
      <c r="E959" s="18">
        <v>44.09</v>
      </c>
      <c r="F959" s="18">
        <v>41.85</v>
      </c>
      <c r="G959" s="18">
        <v>62.050800000000002</v>
      </c>
      <c r="H959" s="18">
        <v>53.292949999999998</v>
      </c>
      <c r="I959" s="8">
        <v>-0.1065444198545684</v>
      </c>
      <c r="J959" s="8">
        <v>-0.1209953343701399</v>
      </c>
      <c r="K959" s="8">
        <v>0.28192333862553859</v>
      </c>
      <c r="L959" s="8">
        <v>0.35053763440860219</v>
      </c>
      <c r="M959" s="18">
        <v>0.40492121880943249</v>
      </c>
    </row>
    <row r="960" spans="1:13" x14ac:dyDescent="0.45">
      <c r="A960" t="s">
        <v>759</v>
      </c>
      <c r="B960" s="18">
        <v>34.590000000000003</v>
      </c>
      <c r="C960" s="18">
        <v>30.57</v>
      </c>
      <c r="D960" s="18">
        <v>32.85</v>
      </c>
      <c r="E960" s="18">
        <v>26.99</v>
      </c>
      <c r="F960" s="18">
        <v>34.67</v>
      </c>
      <c r="G960" s="18">
        <v>31.324000000000002</v>
      </c>
      <c r="H960" s="18">
        <v>31.49145</v>
      </c>
      <c r="I960" s="8">
        <v>0.13150147203140339</v>
      </c>
      <c r="J960" s="8">
        <v>5.2968036529680518E-2</v>
      </c>
      <c r="K960" s="8">
        <v>0.28158577250833661</v>
      </c>
      <c r="L960" s="8">
        <v>-2.3074704355350311E-3</v>
      </c>
      <c r="M960" s="18">
        <v>0.46374781063388548</v>
      </c>
    </row>
    <row r="961" spans="1:13" x14ac:dyDescent="0.45">
      <c r="A961" t="s">
        <v>1591</v>
      </c>
      <c r="B961" s="18">
        <v>17.66</v>
      </c>
      <c r="C961" s="18">
        <v>17.73</v>
      </c>
      <c r="D961" s="18">
        <v>16.95</v>
      </c>
      <c r="E961" s="18">
        <v>13.78</v>
      </c>
      <c r="F961" s="18">
        <v>17.84</v>
      </c>
      <c r="G961" s="18">
        <v>17.441002000000001</v>
      </c>
      <c r="H961" s="18">
        <v>16.401341649999999</v>
      </c>
      <c r="I961" s="8">
        <v>-3.9481105470953182E-3</v>
      </c>
      <c r="J961" s="8">
        <v>4.1887905604719888E-2</v>
      </c>
      <c r="K961" s="8">
        <v>0.2815674891146589</v>
      </c>
      <c r="L961" s="8">
        <v>-1.008968609865468E-2</v>
      </c>
      <c r="M961" s="18">
        <v>0.30941759807362879</v>
      </c>
    </row>
    <row r="962" spans="1:13" x14ac:dyDescent="0.45">
      <c r="A962" t="s">
        <v>1836</v>
      </c>
      <c r="B962" s="18">
        <v>14.84</v>
      </c>
      <c r="C962" s="18">
        <v>16.48</v>
      </c>
      <c r="D962" s="18">
        <v>15.29</v>
      </c>
      <c r="E962" s="18">
        <v>11.58</v>
      </c>
      <c r="F962" s="18">
        <v>16.66</v>
      </c>
      <c r="G962" s="18">
        <v>16.035799999999998</v>
      </c>
      <c r="H962" s="18">
        <v>15.010300000000001</v>
      </c>
      <c r="I962" s="8">
        <v>-9.9514563106796183E-2</v>
      </c>
      <c r="J962" s="8">
        <v>-2.9431000654022151E-2</v>
      </c>
      <c r="K962" s="8">
        <v>0.28151986183074262</v>
      </c>
      <c r="L962" s="8">
        <v>-0.10924369747899169</v>
      </c>
      <c r="M962" s="18">
        <v>4.3330600590932633E-2</v>
      </c>
    </row>
    <row r="963" spans="1:13" x14ac:dyDescent="0.45">
      <c r="A963" t="s">
        <v>817</v>
      </c>
      <c r="B963" s="18">
        <v>26.79</v>
      </c>
      <c r="C963" s="18">
        <v>25.63</v>
      </c>
      <c r="D963" s="18">
        <v>24.49</v>
      </c>
      <c r="E963" s="18">
        <v>20.93</v>
      </c>
      <c r="F963" s="18">
        <v>19.77</v>
      </c>
      <c r="G963" s="18">
        <v>24.952200000000001</v>
      </c>
      <c r="H963" s="18">
        <v>23.273849999999999</v>
      </c>
      <c r="I963" s="8">
        <v>4.5259461568474491E-2</v>
      </c>
      <c r="J963" s="8">
        <v>9.3915884034299735E-2</v>
      </c>
      <c r="K963" s="8">
        <v>0.27998088867654092</v>
      </c>
      <c r="L963" s="8">
        <v>0.35508345978755701</v>
      </c>
      <c r="M963" s="18">
        <v>0.7742396940668721</v>
      </c>
    </row>
    <row r="964" spans="1:13" x14ac:dyDescent="0.45">
      <c r="A964" t="s">
        <v>215</v>
      </c>
      <c r="B964" s="18">
        <v>174.2</v>
      </c>
      <c r="C964" s="18">
        <v>163.98</v>
      </c>
      <c r="D964" s="18">
        <v>170.48</v>
      </c>
      <c r="E964" s="18">
        <v>136.11000000000001</v>
      </c>
      <c r="F964" s="18">
        <v>157</v>
      </c>
      <c r="G964" s="18">
        <v>170.0916</v>
      </c>
      <c r="H964" s="18">
        <v>166.5693</v>
      </c>
      <c r="I964" s="8">
        <v>6.2324673740700158E-2</v>
      </c>
      <c r="J964" s="8">
        <v>2.1820741435945479E-2</v>
      </c>
      <c r="K964" s="8">
        <v>0.27984718242597872</v>
      </c>
      <c r="L964" s="8">
        <v>0.1095541401273885</v>
      </c>
      <c r="M964" s="18">
        <v>0.47354673773001288</v>
      </c>
    </row>
    <row r="965" spans="1:13" x14ac:dyDescent="0.45">
      <c r="A965" t="s">
        <v>295</v>
      </c>
      <c r="B965" s="18">
        <v>16.25</v>
      </c>
      <c r="C965" s="18">
        <v>17.440000000000001</v>
      </c>
      <c r="D965" s="18">
        <v>16.579999999999998</v>
      </c>
      <c r="E965" s="18">
        <v>12.7</v>
      </c>
      <c r="F965" s="18">
        <v>17.86</v>
      </c>
      <c r="G965" s="18">
        <v>16.732199999999999</v>
      </c>
      <c r="H965" s="18">
        <v>15.987724999999999</v>
      </c>
      <c r="I965" s="8">
        <v>-6.8233944954128489E-2</v>
      </c>
      <c r="J965" s="8">
        <v>-1.990349819059101E-2</v>
      </c>
      <c r="K965" s="8">
        <v>0.27952755905511828</v>
      </c>
      <c r="L965" s="8">
        <v>-9.0145576707726716E-2</v>
      </c>
      <c r="M965" s="18">
        <v>0.1012445392026721</v>
      </c>
    </row>
    <row r="966" spans="1:13" x14ac:dyDescent="0.45">
      <c r="A966" t="s">
        <v>43</v>
      </c>
      <c r="B966" s="18">
        <v>75.13</v>
      </c>
      <c r="C966" s="18">
        <v>78.709999999999994</v>
      </c>
      <c r="D966" s="18">
        <v>76.5</v>
      </c>
      <c r="E966" s="18">
        <v>58.75</v>
      </c>
      <c r="F966" s="18">
        <v>91.42</v>
      </c>
      <c r="G966" s="18">
        <v>74.182200000000009</v>
      </c>
      <c r="H966" s="18">
        <v>76.659449999999993</v>
      </c>
      <c r="I966" s="8">
        <v>-4.5483420149917353E-2</v>
      </c>
      <c r="J966" s="8">
        <v>-1.790849673202621E-2</v>
      </c>
      <c r="K966" s="8">
        <v>0.27880851063829781</v>
      </c>
      <c r="L966" s="8">
        <v>-0.1781885801793919</v>
      </c>
      <c r="M966" s="18">
        <v>3.7228013576962371E-2</v>
      </c>
    </row>
    <row r="967" spans="1:13" x14ac:dyDescent="0.45">
      <c r="A967" t="s">
        <v>727</v>
      </c>
      <c r="B967" s="18">
        <v>2.11</v>
      </c>
      <c r="C967" s="18">
        <v>1.5009999999999999</v>
      </c>
      <c r="D967" s="18">
        <v>1.81</v>
      </c>
      <c r="E967" s="18">
        <v>1.65</v>
      </c>
      <c r="F967" s="18">
        <v>1.9098999999999999</v>
      </c>
      <c r="G967" s="18">
        <v>1.8206119999999999</v>
      </c>
      <c r="H967" s="18">
        <v>1.7495575000000001</v>
      </c>
      <c r="I967" s="8">
        <v>0.4057295136575616</v>
      </c>
      <c r="J967" s="8">
        <v>0.16574585635359099</v>
      </c>
      <c r="K967" s="8">
        <v>0.27878787878787881</v>
      </c>
      <c r="L967" s="8">
        <v>0.1047698832399602</v>
      </c>
      <c r="M967" s="18">
        <v>0.95503313203899154</v>
      </c>
    </row>
    <row r="968" spans="1:13" x14ac:dyDescent="0.45">
      <c r="A968" t="s">
        <v>464</v>
      </c>
      <c r="B968" s="18">
        <v>536.19000000000005</v>
      </c>
      <c r="C968" s="18">
        <v>482.41</v>
      </c>
      <c r="D968" s="18">
        <v>430.73</v>
      </c>
      <c r="E968" s="18">
        <v>419.31</v>
      </c>
      <c r="F968" s="18">
        <v>598.61</v>
      </c>
      <c r="G968" s="18">
        <v>485.5994</v>
      </c>
      <c r="H968" s="18">
        <v>478.07004999999998</v>
      </c>
      <c r="I968" s="8">
        <v>0.1114819344540952</v>
      </c>
      <c r="J968" s="8">
        <v>0.2448401550855526</v>
      </c>
      <c r="K968" s="8">
        <v>0.27874365028260728</v>
      </c>
      <c r="L968" s="8">
        <v>-0.104274903526503</v>
      </c>
      <c r="M968" s="18">
        <v>0.53079083629575197</v>
      </c>
    </row>
    <row r="969" spans="1:13" x14ac:dyDescent="0.45">
      <c r="A969" t="s">
        <v>1646</v>
      </c>
      <c r="B969" s="18">
        <v>14.96</v>
      </c>
      <c r="C969" s="18">
        <v>14.35</v>
      </c>
      <c r="D969" s="18">
        <v>14.17</v>
      </c>
      <c r="E969" s="18">
        <v>11.7</v>
      </c>
      <c r="F969" s="18">
        <v>14.66</v>
      </c>
      <c r="G969" s="18">
        <v>14.459199999999999</v>
      </c>
      <c r="H969" s="18">
        <v>13.54095</v>
      </c>
      <c r="I969" s="8">
        <v>4.2508710801393727E-2</v>
      </c>
      <c r="J969" s="8">
        <v>5.5751587861679663E-2</v>
      </c>
      <c r="K969" s="8">
        <v>0.27863247863247881</v>
      </c>
      <c r="L969" s="8">
        <v>2.0463847203274321E-2</v>
      </c>
      <c r="M969" s="18">
        <v>0.39735662449882653</v>
      </c>
    </row>
    <row r="970" spans="1:13" x14ac:dyDescent="0.45">
      <c r="A970" t="s">
        <v>722</v>
      </c>
      <c r="B970" s="18">
        <v>10.33</v>
      </c>
      <c r="C970" s="18">
        <v>10.06</v>
      </c>
      <c r="D970" s="18">
        <v>9.7799999999999994</v>
      </c>
      <c r="E970" s="18">
        <v>8.08</v>
      </c>
      <c r="F970" s="18">
        <v>9.6300000000000008</v>
      </c>
      <c r="G970" s="18">
        <v>9.9300759999999997</v>
      </c>
      <c r="H970" s="18">
        <v>9.346069</v>
      </c>
      <c r="I970" s="8">
        <v>2.6838966202783251E-2</v>
      </c>
      <c r="J970" s="8">
        <v>5.6237218813905983E-2</v>
      </c>
      <c r="K970" s="8">
        <v>0.27846534653465338</v>
      </c>
      <c r="L970" s="8">
        <v>7.268951194184825E-2</v>
      </c>
      <c r="M970" s="18">
        <v>0.43423104349319092</v>
      </c>
    </row>
    <row r="971" spans="1:13" x14ac:dyDescent="0.45">
      <c r="A971" t="s">
        <v>591</v>
      </c>
      <c r="B971" s="18">
        <v>39.08</v>
      </c>
      <c r="C971" s="18">
        <v>41.41</v>
      </c>
      <c r="D971" s="18">
        <v>40.520000000000003</v>
      </c>
      <c r="E971" s="18">
        <v>30.57</v>
      </c>
      <c r="F971" s="18">
        <v>35.119999999999997</v>
      </c>
      <c r="G971" s="18">
        <v>40.1252</v>
      </c>
      <c r="H971" s="18">
        <v>37.217250000000007</v>
      </c>
      <c r="I971" s="8">
        <v>-5.6266602269983028E-2</v>
      </c>
      <c r="J971" s="8">
        <v>-3.5538005923001159E-2</v>
      </c>
      <c r="K971" s="8">
        <v>0.27837749427543329</v>
      </c>
      <c r="L971" s="8">
        <v>0.11275626423690201</v>
      </c>
      <c r="M971" s="18">
        <v>0.29932915031935109</v>
      </c>
    </row>
    <row r="972" spans="1:13" x14ac:dyDescent="0.45">
      <c r="A972" t="s">
        <v>2302</v>
      </c>
      <c r="B972" s="18">
        <v>20.309999999999999</v>
      </c>
      <c r="C972" s="18">
        <v>20.97</v>
      </c>
      <c r="D972" s="18">
        <v>17.43</v>
      </c>
      <c r="E972" s="18">
        <v>15.89</v>
      </c>
      <c r="F972" s="18">
        <v>15.43</v>
      </c>
      <c r="G972" s="18">
        <v>20.028600000000001</v>
      </c>
      <c r="H972" s="18">
        <v>18.023399999999999</v>
      </c>
      <c r="I972" s="8">
        <v>-3.1473533619456373E-2</v>
      </c>
      <c r="J972" s="8">
        <v>0.1652323580034423</v>
      </c>
      <c r="K972" s="8">
        <v>0.27816236626809299</v>
      </c>
      <c r="L972" s="8">
        <v>0.3162670123136746</v>
      </c>
      <c r="M972" s="18">
        <v>0.72818820296575348</v>
      </c>
    </row>
    <row r="973" spans="1:13" x14ac:dyDescent="0.45">
      <c r="A973" t="s">
        <v>890</v>
      </c>
      <c r="B973" s="18">
        <v>15.475</v>
      </c>
      <c r="C973" s="18">
        <v>16.170000000000002</v>
      </c>
      <c r="D973" s="18">
        <v>15.56</v>
      </c>
      <c r="E973" s="18">
        <v>12.11</v>
      </c>
      <c r="F973" s="18">
        <v>10.35</v>
      </c>
      <c r="G973" s="18">
        <v>16.1173</v>
      </c>
      <c r="H973" s="18">
        <v>14.7493815</v>
      </c>
      <c r="I973" s="8">
        <v>-4.2980828695114548E-2</v>
      </c>
      <c r="J973" s="8">
        <v>-5.4627249357327434E-3</v>
      </c>
      <c r="K973" s="8">
        <v>0.27786952931461611</v>
      </c>
      <c r="L973" s="8">
        <v>0.49516908212560379</v>
      </c>
      <c r="M973" s="18">
        <v>0.72459505780937261</v>
      </c>
    </row>
    <row r="974" spans="1:13" x14ac:dyDescent="0.45">
      <c r="A974" t="s">
        <v>307</v>
      </c>
      <c r="B974" s="18">
        <v>315.49</v>
      </c>
      <c r="C974" s="18">
        <v>352.82</v>
      </c>
      <c r="D974" s="18">
        <v>297.39999999999998</v>
      </c>
      <c r="E974" s="18">
        <v>247.04</v>
      </c>
      <c r="F974" s="18">
        <v>229.94</v>
      </c>
      <c r="G974" s="18">
        <v>321.68270000000001</v>
      </c>
      <c r="H974" s="18">
        <v>290.78467499999999</v>
      </c>
      <c r="I974" s="8">
        <v>-0.1058046595997959</v>
      </c>
      <c r="J974" s="8">
        <v>6.0827168796234073E-2</v>
      </c>
      <c r="K974" s="8">
        <v>0.27708063471502609</v>
      </c>
      <c r="L974" s="8">
        <v>0.37205357919457249</v>
      </c>
      <c r="M974" s="18">
        <v>0.60415672310603674</v>
      </c>
    </row>
    <row r="975" spans="1:13" x14ac:dyDescent="0.45">
      <c r="A975" t="s">
        <v>1713</v>
      </c>
      <c r="B975" s="18">
        <v>89.53</v>
      </c>
      <c r="C975" s="18">
        <v>91.88</v>
      </c>
      <c r="D975" s="18">
        <v>91.66</v>
      </c>
      <c r="E975" s="18">
        <v>70.17</v>
      </c>
      <c r="F975" s="18">
        <v>83.4</v>
      </c>
      <c r="G975" s="18">
        <v>89.658799999999985</v>
      </c>
      <c r="H975" s="18">
        <v>82.808300000000003</v>
      </c>
      <c r="I975" s="8">
        <v>-2.5576839355681221E-2</v>
      </c>
      <c r="J975" s="8">
        <v>-2.323805367663101E-2</v>
      </c>
      <c r="K975" s="8">
        <v>0.27590138235713257</v>
      </c>
      <c r="L975" s="8">
        <v>7.350119904076724E-2</v>
      </c>
      <c r="M975" s="18">
        <v>0.30058768836558758</v>
      </c>
    </row>
    <row r="976" spans="1:13" x14ac:dyDescent="0.45">
      <c r="A976" t="s">
        <v>1616</v>
      </c>
      <c r="B976" s="18">
        <v>9.2100000000000009</v>
      </c>
      <c r="C976" s="18">
        <v>9.06</v>
      </c>
      <c r="D976" s="18">
        <v>8.51</v>
      </c>
      <c r="E976" s="18">
        <v>7.22</v>
      </c>
      <c r="F976" s="18">
        <v>9.75</v>
      </c>
      <c r="G976" s="18">
        <v>8.7951999999999995</v>
      </c>
      <c r="H976" s="18">
        <v>8.4827499999999993</v>
      </c>
      <c r="I976" s="8">
        <v>1.655629139072845E-2</v>
      </c>
      <c r="J976" s="8">
        <v>8.2256169212691077E-2</v>
      </c>
      <c r="K976" s="8">
        <v>0.27562326869806109</v>
      </c>
      <c r="L976" s="8">
        <v>-5.5384615384615248E-2</v>
      </c>
      <c r="M976" s="18">
        <v>0.31905111391686541</v>
      </c>
    </row>
    <row r="977" spans="1:13" x14ac:dyDescent="0.45">
      <c r="A977" t="s">
        <v>994</v>
      </c>
      <c r="B977" s="18">
        <v>33.99</v>
      </c>
      <c r="C977" s="18">
        <v>33.9</v>
      </c>
      <c r="D977" s="18">
        <v>30.64</v>
      </c>
      <c r="E977" s="18">
        <v>26.65</v>
      </c>
      <c r="F977" s="18">
        <v>30.37</v>
      </c>
      <c r="G977" s="18">
        <v>33.952800000000003</v>
      </c>
      <c r="H977" s="18">
        <v>29.65325</v>
      </c>
      <c r="I977" s="8">
        <v>2.6548672566373281E-3</v>
      </c>
      <c r="J977" s="8">
        <v>0.1093342036553526</v>
      </c>
      <c r="K977" s="8">
        <v>0.27542213883677302</v>
      </c>
      <c r="L977" s="8">
        <v>0.11919657556799471</v>
      </c>
      <c r="M977" s="18">
        <v>0.50660778531675765</v>
      </c>
    </row>
    <row r="978" spans="1:13" x14ac:dyDescent="0.45">
      <c r="A978" t="s">
        <v>1416</v>
      </c>
      <c r="B978" s="18">
        <v>2.78</v>
      </c>
      <c r="C978" s="18">
        <v>2.94</v>
      </c>
      <c r="D978" s="18">
        <v>2.84</v>
      </c>
      <c r="E978" s="18">
        <v>2.1800000000000002</v>
      </c>
      <c r="F978" s="18">
        <v>4.68</v>
      </c>
      <c r="G978" s="18">
        <v>2.714</v>
      </c>
      <c r="H978" s="18">
        <v>2.6751999999999998</v>
      </c>
      <c r="I978" s="8">
        <v>-5.4421768707483047E-2</v>
      </c>
      <c r="J978" s="8">
        <v>-2.112676056338025E-2</v>
      </c>
      <c r="K978" s="8">
        <v>0.27522935779816499</v>
      </c>
      <c r="L978" s="8">
        <v>-0.40598290598290598</v>
      </c>
      <c r="M978" s="18">
        <v>-0.20630207745560419</v>
      </c>
    </row>
    <row r="979" spans="1:13" x14ac:dyDescent="0.45">
      <c r="A979" t="s">
        <v>333</v>
      </c>
      <c r="B979" s="18">
        <v>277.51</v>
      </c>
      <c r="C979" s="18">
        <v>278.11</v>
      </c>
      <c r="D979" s="18">
        <v>253.63</v>
      </c>
      <c r="E979" s="18">
        <v>217.68</v>
      </c>
      <c r="F979" s="18">
        <v>216</v>
      </c>
      <c r="G979" s="18">
        <v>274.33339999999998</v>
      </c>
      <c r="H979" s="18">
        <v>251.52279999999999</v>
      </c>
      <c r="I979" s="8">
        <v>-2.1574197260078032E-3</v>
      </c>
      <c r="J979" s="8">
        <v>9.4152899893545694E-2</v>
      </c>
      <c r="K979" s="8">
        <v>0.27485299522234458</v>
      </c>
      <c r="L979" s="8">
        <v>0.28476851851851848</v>
      </c>
      <c r="M979" s="18">
        <v>0.651616993908401</v>
      </c>
    </row>
    <row r="980" spans="1:13" x14ac:dyDescent="0.45">
      <c r="A980" t="s">
        <v>1297</v>
      </c>
      <c r="B980" s="18">
        <v>15.93</v>
      </c>
      <c r="C980" s="18">
        <v>16.79</v>
      </c>
      <c r="D980" s="18">
        <v>17.420000000000002</v>
      </c>
      <c r="E980" s="18">
        <v>12.5</v>
      </c>
      <c r="F980" s="18">
        <v>13.55</v>
      </c>
      <c r="G980" s="18">
        <v>16.694400000000002</v>
      </c>
      <c r="H980" s="18">
        <v>14.616099999999999</v>
      </c>
      <c r="I980" s="8">
        <v>-5.1220964860035689E-2</v>
      </c>
      <c r="J980" s="8">
        <v>-8.5533869115958727E-2</v>
      </c>
      <c r="K980" s="8">
        <v>0.27439999999999998</v>
      </c>
      <c r="L980" s="8">
        <v>0.17564575645756439</v>
      </c>
      <c r="M980" s="18">
        <v>0.31329092248156998</v>
      </c>
    </row>
    <row r="981" spans="1:13" x14ac:dyDescent="0.45">
      <c r="A981" t="s">
        <v>2115</v>
      </c>
      <c r="B981" s="18">
        <v>72.02</v>
      </c>
      <c r="C981" s="18">
        <v>83.29</v>
      </c>
      <c r="D981" s="18">
        <v>87.46</v>
      </c>
      <c r="E981" s="18">
        <v>56.52</v>
      </c>
      <c r="F981" s="18">
        <v>57.39</v>
      </c>
      <c r="G981" s="18">
        <v>78.175799999999995</v>
      </c>
      <c r="H981" s="18">
        <v>71.358350000000002</v>
      </c>
      <c r="I981" s="8">
        <v>-0.13531036138792191</v>
      </c>
      <c r="J981" s="8">
        <v>-0.17653784587239879</v>
      </c>
      <c r="K981" s="8">
        <v>0.27423920736022622</v>
      </c>
      <c r="L981" s="8">
        <v>0.2549224603589475</v>
      </c>
      <c r="M981" s="18">
        <v>0.217313460458853</v>
      </c>
    </row>
    <row r="982" spans="1:13" x14ac:dyDescent="0.45">
      <c r="A982" t="s">
        <v>718</v>
      </c>
      <c r="B982" s="18">
        <v>31.04</v>
      </c>
      <c r="C982" s="18">
        <v>30.14</v>
      </c>
      <c r="D982" s="18">
        <v>29.35</v>
      </c>
      <c r="E982" s="18">
        <v>24.36</v>
      </c>
      <c r="F982" s="18">
        <v>24.49</v>
      </c>
      <c r="G982" s="18">
        <v>29.366800000000001</v>
      </c>
      <c r="H982" s="18">
        <v>27.937899999999999</v>
      </c>
      <c r="I982" s="8">
        <v>2.986065029860652E-2</v>
      </c>
      <c r="J982" s="8">
        <v>5.7580919931856878E-2</v>
      </c>
      <c r="K982" s="8">
        <v>0.27422003284072249</v>
      </c>
      <c r="L982" s="8">
        <v>0.26745610453246238</v>
      </c>
      <c r="M982" s="18">
        <v>0.62911770760364827</v>
      </c>
    </row>
    <row r="983" spans="1:13" x14ac:dyDescent="0.45">
      <c r="A983" t="s">
        <v>2342</v>
      </c>
      <c r="B983" s="18">
        <v>8.66</v>
      </c>
      <c r="C983" s="18">
        <v>9.51</v>
      </c>
      <c r="D983" s="18">
        <v>8.16</v>
      </c>
      <c r="E983" s="18">
        <v>6.8</v>
      </c>
      <c r="F983" s="18">
        <v>8.35</v>
      </c>
      <c r="G983" s="18">
        <v>9.0609999999999999</v>
      </c>
      <c r="H983" s="18">
        <v>8.3271499999999996</v>
      </c>
      <c r="I983" s="8">
        <v>-8.9379600420609884E-2</v>
      </c>
      <c r="J983" s="8">
        <v>6.1274509803921573E-2</v>
      </c>
      <c r="K983" s="8">
        <v>0.27352941176470602</v>
      </c>
      <c r="L983" s="8">
        <v>3.7125748502994098E-2</v>
      </c>
      <c r="M983" s="18">
        <v>0.28255006965101181</v>
      </c>
    </row>
    <row r="984" spans="1:13" x14ac:dyDescent="0.45">
      <c r="A984" t="s">
        <v>1756</v>
      </c>
      <c r="B984" s="18">
        <v>40.79</v>
      </c>
      <c r="C984" s="18">
        <v>39.71</v>
      </c>
      <c r="D984" s="18">
        <v>40.76</v>
      </c>
      <c r="E984" s="18">
        <v>32.03</v>
      </c>
      <c r="F984" s="18">
        <v>27.77</v>
      </c>
      <c r="G984" s="18">
        <v>39.453799999999987</v>
      </c>
      <c r="H984" s="18">
        <v>35.991999999999997</v>
      </c>
      <c r="I984" s="8">
        <v>2.719717955175005E-2</v>
      </c>
      <c r="J984" s="8">
        <v>7.360157016682578E-4</v>
      </c>
      <c r="K984" s="8">
        <v>0.27349359975023407</v>
      </c>
      <c r="L984" s="8">
        <v>0.46885127835794022</v>
      </c>
      <c r="M984" s="18">
        <v>0.7702780733615926</v>
      </c>
    </row>
    <row r="985" spans="1:13" x14ac:dyDescent="0.45">
      <c r="A985" t="s">
        <v>1950</v>
      </c>
      <c r="B985" s="18">
        <v>8.67</v>
      </c>
      <c r="C985" s="18">
        <v>8.57</v>
      </c>
      <c r="D985" s="18">
        <v>8.33</v>
      </c>
      <c r="E985" s="18">
        <v>6.81</v>
      </c>
      <c r="F985" s="18">
        <v>8.35</v>
      </c>
      <c r="G985" s="18">
        <v>8.4993499999999997</v>
      </c>
      <c r="H985" s="18">
        <v>8.0847545000000007</v>
      </c>
      <c r="I985" s="8">
        <v>1.166861143523912E-2</v>
      </c>
      <c r="J985" s="8">
        <v>4.081632653061229E-2</v>
      </c>
      <c r="K985" s="8">
        <v>0.27312775330396488</v>
      </c>
      <c r="L985" s="8">
        <v>3.8323353293413298E-2</v>
      </c>
      <c r="M985" s="18">
        <v>0.36393604456322959</v>
      </c>
    </row>
    <row r="986" spans="1:13" x14ac:dyDescent="0.45">
      <c r="A986" t="s">
        <v>1078</v>
      </c>
      <c r="B986" s="18">
        <v>1.68</v>
      </c>
      <c r="C986" s="18">
        <v>1.97</v>
      </c>
      <c r="D986" s="18">
        <v>1.58</v>
      </c>
      <c r="E986" s="18">
        <v>1.32</v>
      </c>
      <c r="F986" s="18">
        <v>2.4700000000000002</v>
      </c>
      <c r="G986" s="18">
        <v>1.6908000000000001</v>
      </c>
      <c r="H986" s="18">
        <v>1.66635</v>
      </c>
      <c r="I986" s="8">
        <v>-0.14720812182741119</v>
      </c>
      <c r="J986" s="8">
        <v>6.3291139240506222E-2</v>
      </c>
      <c r="K986" s="8">
        <v>0.27272727272727271</v>
      </c>
      <c r="L986" s="8">
        <v>-0.31983805668016208</v>
      </c>
      <c r="M986" s="18">
        <v>-0.13102776653979431</v>
      </c>
    </row>
    <row r="987" spans="1:13" x14ac:dyDescent="0.45">
      <c r="A987" t="s">
        <v>653</v>
      </c>
      <c r="B987" s="18">
        <v>21.41</v>
      </c>
      <c r="C987" s="18">
        <v>20.41</v>
      </c>
      <c r="D987" s="18">
        <v>20.84</v>
      </c>
      <c r="E987" s="18">
        <v>16.829999999999998</v>
      </c>
      <c r="F987" s="18">
        <v>20.079999999999998</v>
      </c>
      <c r="G987" s="18">
        <v>20.975000000000001</v>
      </c>
      <c r="H987" s="18">
        <v>19.32865</v>
      </c>
      <c r="I987" s="8">
        <v>4.8995590396864193E-2</v>
      </c>
      <c r="J987" s="8">
        <v>2.7351247600767788E-2</v>
      </c>
      <c r="K987" s="8">
        <v>0.27213309566250771</v>
      </c>
      <c r="L987" s="8">
        <v>6.6235059760956227E-2</v>
      </c>
      <c r="M987" s="18">
        <v>0.41471499342109591</v>
      </c>
    </row>
    <row r="988" spans="1:13" x14ac:dyDescent="0.45">
      <c r="A988" t="s">
        <v>1797</v>
      </c>
      <c r="B988" s="18">
        <v>128.85</v>
      </c>
      <c r="C988" s="18">
        <v>124.9</v>
      </c>
      <c r="D988" s="18">
        <v>126.08</v>
      </c>
      <c r="E988" s="18">
        <v>101.3</v>
      </c>
      <c r="F988" s="18">
        <v>112.97</v>
      </c>
      <c r="G988" s="18">
        <v>126.6842</v>
      </c>
      <c r="H988" s="18">
        <v>116.3601</v>
      </c>
      <c r="I988" s="8">
        <v>3.1625300240192063E-2</v>
      </c>
      <c r="J988" s="8">
        <v>2.1970177664974559E-2</v>
      </c>
      <c r="K988" s="8">
        <v>0.27196446199407709</v>
      </c>
      <c r="L988" s="8">
        <v>0.1405682924670266</v>
      </c>
      <c r="M988" s="18">
        <v>0.46612823236627032</v>
      </c>
    </row>
    <row r="989" spans="1:13" x14ac:dyDescent="0.45">
      <c r="A989" t="s">
        <v>2014</v>
      </c>
      <c r="B989" s="18">
        <v>1.7546999999999999</v>
      </c>
      <c r="C989" s="18">
        <v>2</v>
      </c>
      <c r="D989" s="18">
        <v>1.84</v>
      </c>
      <c r="E989" s="18">
        <v>1.38</v>
      </c>
      <c r="F989" s="18">
        <v>1.61</v>
      </c>
      <c r="G989" s="18">
        <v>1.8965240000000001</v>
      </c>
      <c r="H989" s="18">
        <v>1.65002516</v>
      </c>
      <c r="I989" s="8">
        <v>-0.12265</v>
      </c>
      <c r="J989" s="8">
        <v>-4.6358695652173987E-2</v>
      </c>
      <c r="K989" s="8">
        <v>0.27152173913043481</v>
      </c>
      <c r="L989" s="8">
        <v>8.9875776397515317E-2</v>
      </c>
      <c r="M989" s="18">
        <v>0.19238881987577611</v>
      </c>
    </row>
    <row r="990" spans="1:13" x14ac:dyDescent="0.45">
      <c r="A990" t="s">
        <v>1949</v>
      </c>
      <c r="B990" s="18">
        <v>117.5</v>
      </c>
      <c r="C990" s="18">
        <v>120.82</v>
      </c>
      <c r="D990" s="18">
        <v>101.25</v>
      </c>
      <c r="E990" s="18">
        <v>92.41</v>
      </c>
      <c r="F990" s="18">
        <v>106.66</v>
      </c>
      <c r="G990" s="18">
        <v>113.17740000000001</v>
      </c>
      <c r="H990" s="18">
        <v>103.12015</v>
      </c>
      <c r="I990" s="8">
        <v>-2.747889422281069E-2</v>
      </c>
      <c r="J990" s="8">
        <v>0.1604938271604939</v>
      </c>
      <c r="K990" s="8">
        <v>0.27150741261768219</v>
      </c>
      <c r="L990" s="8">
        <v>0.1016313519594976</v>
      </c>
      <c r="M990" s="18">
        <v>0.50615369751486294</v>
      </c>
    </row>
    <row r="991" spans="1:13" x14ac:dyDescent="0.45">
      <c r="A991" t="s">
        <v>641</v>
      </c>
      <c r="B991" s="18">
        <v>38.64</v>
      </c>
      <c r="C991" s="18">
        <v>38.450000000000003</v>
      </c>
      <c r="D991" s="18">
        <v>43.63</v>
      </c>
      <c r="E991" s="18">
        <v>30.39</v>
      </c>
      <c r="F991" s="18">
        <v>37.82</v>
      </c>
      <c r="G991" s="18">
        <v>39.140599999999999</v>
      </c>
      <c r="H991" s="18">
        <v>38.16995</v>
      </c>
      <c r="I991" s="8">
        <v>4.9414824447333583E-3</v>
      </c>
      <c r="J991" s="8">
        <v>-0.11437084574833831</v>
      </c>
      <c r="K991" s="8">
        <v>0.27147087857847979</v>
      </c>
      <c r="L991" s="8">
        <v>2.168164992067689E-2</v>
      </c>
      <c r="M991" s="18">
        <v>0.18372316519555179</v>
      </c>
    </row>
    <row r="992" spans="1:13" x14ac:dyDescent="0.45">
      <c r="A992" t="s">
        <v>1612</v>
      </c>
      <c r="B992" s="18">
        <v>10.09</v>
      </c>
      <c r="C992" s="18">
        <v>9.89</v>
      </c>
      <c r="D992" s="18">
        <v>10.029999999999999</v>
      </c>
      <c r="E992" s="18">
        <v>7.94</v>
      </c>
      <c r="F992" s="18"/>
      <c r="G992" s="18">
        <v>10.040800000000001</v>
      </c>
      <c r="H992" s="18">
        <v>9.8893000000000004</v>
      </c>
      <c r="I992" s="8">
        <v>2.0222446916076778E-2</v>
      </c>
      <c r="J992" s="8">
        <v>5.9820538384844912E-3</v>
      </c>
      <c r="K992" s="8">
        <v>0.27078085642317368</v>
      </c>
      <c r="L992" s="8"/>
      <c r="M992" s="18">
        <v>0.296985357177735</v>
      </c>
    </row>
    <row r="993" spans="1:13" x14ac:dyDescent="0.45">
      <c r="A993" t="s">
        <v>2289</v>
      </c>
      <c r="B993" s="18">
        <v>6.29</v>
      </c>
      <c r="C993" s="18">
        <v>6.29</v>
      </c>
      <c r="D993" s="18">
        <v>6.06</v>
      </c>
      <c r="E993" s="18">
        <v>4.95</v>
      </c>
      <c r="F993" s="18">
        <v>5.81</v>
      </c>
      <c r="G993" s="18">
        <v>6.1545000000000014</v>
      </c>
      <c r="H993" s="18">
        <v>5.6662800000000004</v>
      </c>
      <c r="I993" s="8">
        <v>0</v>
      </c>
      <c r="J993" s="8">
        <v>3.7953795379538142E-2</v>
      </c>
      <c r="K993" s="8">
        <v>0.27070707070707067</v>
      </c>
      <c r="L993" s="8">
        <v>8.2616179001721246E-2</v>
      </c>
      <c r="M993" s="18">
        <v>0.39127704508833011</v>
      </c>
    </row>
    <row r="994" spans="1:13" x14ac:dyDescent="0.45">
      <c r="A994" t="s">
        <v>1127</v>
      </c>
      <c r="B994" s="18">
        <v>124.4</v>
      </c>
      <c r="C994" s="18">
        <v>125.29</v>
      </c>
      <c r="D994" s="18">
        <v>117.49</v>
      </c>
      <c r="E994" s="18">
        <v>97.91</v>
      </c>
      <c r="F994" s="18">
        <v>94.5</v>
      </c>
      <c r="G994" s="18">
        <v>121.988</v>
      </c>
      <c r="H994" s="18">
        <v>110.26145</v>
      </c>
      <c r="I994" s="8">
        <v>-7.1035198339851613E-3</v>
      </c>
      <c r="J994" s="8">
        <v>5.8813516043918712E-2</v>
      </c>
      <c r="K994" s="8">
        <v>0.27055459095087331</v>
      </c>
      <c r="L994" s="8">
        <v>0.31640211640211652</v>
      </c>
      <c r="M994" s="18">
        <v>0.63866670356292332</v>
      </c>
    </row>
    <row r="995" spans="1:13" x14ac:dyDescent="0.45">
      <c r="A995" t="s">
        <v>1356</v>
      </c>
      <c r="B995" s="18">
        <v>43.35</v>
      </c>
      <c r="C995" s="18">
        <v>40.78</v>
      </c>
      <c r="D995" s="18">
        <v>39.58</v>
      </c>
      <c r="E995" s="18">
        <v>34.130000000000003</v>
      </c>
      <c r="F995" s="18">
        <v>38.82</v>
      </c>
      <c r="G995" s="18">
        <v>40.0764</v>
      </c>
      <c r="H995" s="18">
        <v>37.99615</v>
      </c>
      <c r="I995" s="8">
        <v>6.3021088769004363E-2</v>
      </c>
      <c r="J995" s="8">
        <v>9.5250126326427598E-2</v>
      </c>
      <c r="K995" s="8">
        <v>0.27014356870788148</v>
      </c>
      <c r="L995" s="8">
        <v>0.11669242658423511</v>
      </c>
      <c r="M995" s="18">
        <v>0.5451072103875485</v>
      </c>
    </row>
    <row r="996" spans="1:13" x14ac:dyDescent="0.45">
      <c r="A996" t="s">
        <v>2047</v>
      </c>
      <c r="B996" s="18">
        <v>9.7899999999999991</v>
      </c>
      <c r="C996" s="18">
        <v>8.16</v>
      </c>
      <c r="D996" s="18">
        <v>15.65</v>
      </c>
      <c r="E996" s="18">
        <v>7.71</v>
      </c>
      <c r="F996" s="18">
        <v>7.24</v>
      </c>
      <c r="G996" s="18">
        <v>9.6340000000000003</v>
      </c>
      <c r="H996" s="18">
        <v>13.68</v>
      </c>
      <c r="I996" s="8">
        <v>0.1997549019607843</v>
      </c>
      <c r="J996" s="8">
        <v>-0.37444089456869012</v>
      </c>
      <c r="K996" s="8">
        <v>0.26977950713359272</v>
      </c>
      <c r="L996" s="8">
        <v>0.35220994475138112</v>
      </c>
      <c r="M996" s="18">
        <v>0.44730345927706788</v>
      </c>
    </row>
    <row r="997" spans="1:13" x14ac:dyDescent="0.45">
      <c r="A997" t="s">
        <v>404</v>
      </c>
      <c r="B997" s="18">
        <v>190.16</v>
      </c>
      <c r="C997" s="18">
        <v>200.41</v>
      </c>
      <c r="D997" s="18">
        <v>197.95</v>
      </c>
      <c r="E997" s="18">
        <v>149.76</v>
      </c>
      <c r="F997" s="18">
        <v>182.26</v>
      </c>
      <c r="G997" s="18">
        <v>198.33359999999999</v>
      </c>
      <c r="H997" s="18">
        <v>185.97524999999999</v>
      </c>
      <c r="I997" s="8">
        <v>-5.1145152437503172E-2</v>
      </c>
      <c r="J997" s="8">
        <v>-3.9353372063652407E-2</v>
      </c>
      <c r="K997" s="8">
        <v>0.26976495726495742</v>
      </c>
      <c r="L997" s="8">
        <v>4.33446724459563E-2</v>
      </c>
      <c r="M997" s="18">
        <v>0.2226111052097581</v>
      </c>
    </row>
    <row r="998" spans="1:13" x14ac:dyDescent="0.45">
      <c r="A998" t="s">
        <v>439</v>
      </c>
      <c r="B998" s="18">
        <v>178.23</v>
      </c>
      <c r="C998" s="18">
        <v>179.39</v>
      </c>
      <c r="D998" s="18">
        <v>163.44999999999999</v>
      </c>
      <c r="E998" s="18">
        <v>140.37</v>
      </c>
      <c r="F998" s="18">
        <v>169.58</v>
      </c>
      <c r="G998" s="18">
        <v>177.14779999999999</v>
      </c>
      <c r="H998" s="18">
        <v>168.99375000000001</v>
      </c>
      <c r="I998" s="8">
        <v>-6.4663582139472542E-3</v>
      </c>
      <c r="J998" s="8">
        <v>9.0425206485163612E-2</v>
      </c>
      <c r="K998" s="8">
        <v>0.26971575122889502</v>
      </c>
      <c r="L998" s="8">
        <v>5.1008373628965487E-2</v>
      </c>
      <c r="M998" s="18">
        <v>0.40468297312907692</v>
      </c>
    </row>
    <row r="999" spans="1:13" x14ac:dyDescent="0.45">
      <c r="A999" t="s">
        <v>2434</v>
      </c>
      <c r="B999" s="18">
        <v>40.299999999999997</v>
      </c>
      <c r="C999" s="18">
        <v>39.9</v>
      </c>
      <c r="D999" s="18">
        <v>38.51</v>
      </c>
      <c r="E999" s="18">
        <v>31.74</v>
      </c>
      <c r="F999" s="18">
        <v>39.340000000000003</v>
      </c>
      <c r="G999" s="18">
        <v>39.303600000000003</v>
      </c>
      <c r="H999" s="18">
        <v>39.037100000000002</v>
      </c>
      <c r="I999" s="8">
        <v>1.00250626566416E-2</v>
      </c>
      <c r="J999" s="8">
        <v>4.6481433393923632E-2</v>
      </c>
      <c r="K999" s="8">
        <v>0.26969124133585393</v>
      </c>
      <c r="L999" s="8">
        <v>2.4402643619725332E-2</v>
      </c>
      <c r="M999" s="18">
        <v>0.35060038100614438</v>
      </c>
    </row>
    <row r="1000" spans="1:13" x14ac:dyDescent="0.45">
      <c r="A1000" t="s">
        <v>2282</v>
      </c>
      <c r="B1000" s="18">
        <v>9.09</v>
      </c>
      <c r="C1000" s="18">
        <v>7.8</v>
      </c>
      <c r="D1000" s="18">
        <v>8.81</v>
      </c>
      <c r="E1000" s="18">
        <v>7.16</v>
      </c>
      <c r="F1000" s="18">
        <v>9.0399999999999991</v>
      </c>
      <c r="G1000" s="18">
        <v>7.7090000000000014</v>
      </c>
      <c r="H1000" s="18">
        <v>8.4069000000000003</v>
      </c>
      <c r="I1000" s="8">
        <v>0.16538461538461549</v>
      </c>
      <c r="J1000" s="8">
        <v>3.1782065834279123E-2</v>
      </c>
      <c r="K1000" s="8">
        <v>0.26955307262569828</v>
      </c>
      <c r="L1000" s="8">
        <v>5.530973451327581E-3</v>
      </c>
      <c r="M1000" s="18">
        <v>0.47225072729592038</v>
      </c>
    </row>
    <row r="1001" spans="1:13" x14ac:dyDescent="0.45">
      <c r="A1001" t="s">
        <v>59</v>
      </c>
      <c r="B1001" s="18">
        <v>267.98</v>
      </c>
      <c r="C1001" s="18">
        <v>264</v>
      </c>
      <c r="D1001" s="18">
        <v>282.3</v>
      </c>
      <c r="E1001" s="18">
        <v>211.12</v>
      </c>
      <c r="F1001" s="18">
        <v>254.61</v>
      </c>
      <c r="G1001" s="18">
        <v>265.11270000000002</v>
      </c>
      <c r="H1001" s="18">
        <v>264.54117500000001</v>
      </c>
      <c r="I1001" s="8">
        <v>1.5075757575757629E-2</v>
      </c>
      <c r="J1001" s="8">
        <v>-5.0726177825008878E-2</v>
      </c>
      <c r="K1001" s="8">
        <v>0.26932550208412281</v>
      </c>
      <c r="L1001" s="8">
        <v>5.2511684537135173E-2</v>
      </c>
      <c r="M1001" s="18">
        <v>0.28618676637200668</v>
      </c>
    </row>
    <row r="1002" spans="1:13" x14ac:dyDescent="0.45">
      <c r="A1002" t="s">
        <v>1205</v>
      </c>
      <c r="B1002" s="18">
        <v>21.57</v>
      </c>
      <c r="C1002" s="18">
        <v>21.75</v>
      </c>
      <c r="D1002" s="18">
        <v>21.81</v>
      </c>
      <c r="E1002" s="18">
        <v>17</v>
      </c>
      <c r="F1002" s="18">
        <v>20.56</v>
      </c>
      <c r="G1002" s="18">
        <v>21.64</v>
      </c>
      <c r="H1002" s="18">
        <v>20.24175</v>
      </c>
      <c r="I1002" s="8">
        <v>-8.2758620689654672E-3</v>
      </c>
      <c r="J1002" s="8">
        <v>-1.10041265474552E-2</v>
      </c>
      <c r="K1002" s="8">
        <v>0.26882352941176468</v>
      </c>
      <c r="L1002" s="8">
        <v>4.912451361867709E-2</v>
      </c>
      <c r="M1002" s="18">
        <v>0.29866805441402111</v>
      </c>
    </row>
    <row r="1003" spans="1:13" x14ac:dyDescent="0.45">
      <c r="A1003" t="s">
        <v>1284</v>
      </c>
      <c r="B1003" s="18">
        <v>48</v>
      </c>
      <c r="C1003" s="18">
        <v>48.51</v>
      </c>
      <c r="D1003" s="18">
        <v>46.66</v>
      </c>
      <c r="E1003" s="18">
        <v>37.85</v>
      </c>
      <c r="F1003" s="18">
        <v>45.57</v>
      </c>
      <c r="G1003" s="18">
        <v>47.43780000000001</v>
      </c>
      <c r="H1003" s="18">
        <v>45.758200000000009</v>
      </c>
      <c r="I1003" s="8">
        <v>-1.05132962275819E-2</v>
      </c>
      <c r="J1003" s="8">
        <v>2.871838834119167E-2</v>
      </c>
      <c r="K1003" s="8">
        <v>0.26816380449141342</v>
      </c>
      <c r="L1003" s="8">
        <v>5.3324555628703203E-2</v>
      </c>
      <c r="M1003" s="18">
        <v>0.33969345223372638</v>
      </c>
    </row>
    <row r="1004" spans="1:13" x14ac:dyDescent="0.45">
      <c r="A1004" t="s">
        <v>265</v>
      </c>
      <c r="B1004" s="18">
        <v>60.16</v>
      </c>
      <c r="C1004" s="18">
        <v>58.64</v>
      </c>
      <c r="D1004" s="18">
        <v>56.73</v>
      </c>
      <c r="E1004" s="18">
        <v>47.45</v>
      </c>
      <c r="F1004" s="18">
        <v>41.81</v>
      </c>
      <c r="G1004" s="18">
        <v>59.09</v>
      </c>
      <c r="H1004" s="18">
        <v>54.548550000000013</v>
      </c>
      <c r="I1004" s="8">
        <v>2.592087312414737E-2</v>
      </c>
      <c r="J1004" s="8">
        <v>6.0461836770667958E-2</v>
      </c>
      <c r="K1004" s="8">
        <v>0.26786090621707048</v>
      </c>
      <c r="L1004" s="8">
        <v>0.43889021765127939</v>
      </c>
      <c r="M1004" s="18">
        <v>0.79313383376316526</v>
      </c>
    </row>
    <row r="1005" spans="1:13" x14ac:dyDescent="0.45">
      <c r="A1005" t="s">
        <v>2188</v>
      </c>
      <c r="B1005" s="18">
        <v>34.99</v>
      </c>
      <c r="C1005" s="18">
        <v>36.79</v>
      </c>
      <c r="D1005" s="18">
        <v>35.64</v>
      </c>
      <c r="E1005" s="18">
        <v>27.6</v>
      </c>
      <c r="F1005" s="18">
        <v>28.54</v>
      </c>
      <c r="G1005" s="18">
        <v>35.798200000000001</v>
      </c>
      <c r="H1005" s="18">
        <v>33.297899999999998</v>
      </c>
      <c r="I1005" s="8">
        <v>-4.8926338678988768E-2</v>
      </c>
      <c r="J1005" s="8">
        <v>-1.8237934904601572E-2</v>
      </c>
      <c r="K1005" s="8">
        <v>0.2677536231884059</v>
      </c>
      <c r="L1005" s="8">
        <v>0.2259985984583042</v>
      </c>
      <c r="M1005" s="18">
        <v>0.42658794806311973</v>
      </c>
    </row>
    <row r="1006" spans="1:13" x14ac:dyDescent="0.45">
      <c r="A1006" t="s">
        <v>1886</v>
      </c>
      <c r="B1006" s="18">
        <v>10.039999999999999</v>
      </c>
      <c r="C1006" s="18">
        <v>10.44</v>
      </c>
      <c r="D1006" s="18">
        <v>13.35</v>
      </c>
      <c r="E1006" s="18">
        <v>7.92</v>
      </c>
      <c r="F1006" s="18">
        <v>4.47</v>
      </c>
      <c r="G1006" s="18">
        <v>10.729200000000001</v>
      </c>
      <c r="H1006" s="18">
        <v>11.03575</v>
      </c>
      <c r="I1006" s="8">
        <v>-3.8314176245210718E-2</v>
      </c>
      <c r="J1006" s="8">
        <v>-0.24794007490636699</v>
      </c>
      <c r="K1006" s="8">
        <v>0.26767676767676751</v>
      </c>
      <c r="L1006" s="8">
        <v>1.246085011185682</v>
      </c>
      <c r="M1006" s="18">
        <v>1.227507527710872</v>
      </c>
    </row>
    <row r="1007" spans="1:13" x14ac:dyDescent="0.45">
      <c r="A1007" t="s">
        <v>652</v>
      </c>
      <c r="B1007" s="18">
        <v>5.59</v>
      </c>
      <c r="C1007" s="18">
        <v>5.63</v>
      </c>
      <c r="D1007" s="18">
        <v>5.55</v>
      </c>
      <c r="E1007" s="18">
        <v>4.41</v>
      </c>
      <c r="F1007" s="18">
        <v>5.62</v>
      </c>
      <c r="G1007" s="18">
        <v>5.5312000000000001</v>
      </c>
      <c r="H1007" s="18">
        <v>5.3504999999999994</v>
      </c>
      <c r="I1007" s="8">
        <v>-7.1047957371225268E-3</v>
      </c>
      <c r="J1007" s="8">
        <v>7.2072072072071336E-3</v>
      </c>
      <c r="K1007" s="8">
        <v>0.26757369614512472</v>
      </c>
      <c r="L1007" s="8">
        <v>-5.3380782918149849E-3</v>
      </c>
      <c r="M1007" s="18">
        <v>0.26233802932339428</v>
      </c>
    </row>
    <row r="1008" spans="1:13" x14ac:dyDescent="0.45">
      <c r="A1008" t="s">
        <v>1371</v>
      </c>
      <c r="B1008" s="18">
        <v>30.74</v>
      </c>
      <c r="C1008" s="18">
        <v>27.62</v>
      </c>
      <c r="D1008" s="18">
        <v>27.67</v>
      </c>
      <c r="E1008" s="18">
        <v>24.26</v>
      </c>
      <c r="F1008" s="18">
        <v>34.57</v>
      </c>
      <c r="G1008" s="18">
        <v>28.118200000000002</v>
      </c>
      <c r="H1008" s="18">
        <v>27.373999999999999</v>
      </c>
      <c r="I1008" s="8">
        <v>0.11296162201303379</v>
      </c>
      <c r="J1008" s="8">
        <v>0.11095048789302479</v>
      </c>
      <c r="K1008" s="8">
        <v>0.26710634789777399</v>
      </c>
      <c r="L1008" s="8">
        <v>-0.1107897020538039</v>
      </c>
      <c r="M1008" s="18">
        <v>0.38022875575002868</v>
      </c>
    </row>
    <row r="1009" spans="1:13" x14ac:dyDescent="0.45">
      <c r="A1009" t="s">
        <v>278</v>
      </c>
      <c r="B1009" s="18">
        <v>133.68</v>
      </c>
      <c r="C1009" s="18">
        <v>138.94999999999999</v>
      </c>
      <c r="D1009" s="18">
        <v>126.02</v>
      </c>
      <c r="E1009" s="18">
        <v>105.54</v>
      </c>
      <c r="F1009" s="18">
        <v>136.69999999999999</v>
      </c>
      <c r="G1009" s="18">
        <v>137.24979999999999</v>
      </c>
      <c r="H1009" s="18">
        <v>125.09910000000001</v>
      </c>
      <c r="I1009" s="8">
        <v>-3.7927311982727467E-2</v>
      </c>
      <c r="J1009" s="8">
        <v>6.0784002539279618E-2</v>
      </c>
      <c r="K1009" s="8">
        <v>0.26662876634451388</v>
      </c>
      <c r="L1009" s="8">
        <v>-2.20921726408192E-2</v>
      </c>
      <c r="M1009" s="18">
        <v>0.26739328426024689</v>
      </c>
    </row>
    <row r="1010" spans="1:13" x14ac:dyDescent="0.45">
      <c r="A1010" t="s">
        <v>2253</v>
      </c>
      <c r="B1010" s="18">
        <v>10.8</v>
      </c>
      <c r="C1010" s="18">
        <v>8.92</v>
      </c>
      <c r="D1010" s="18">
        <v>10.37</v>
      </c>
      <c r="E1010" s="18">
        <v>8.5299999999999994</v>
      </c>
      <c r="F1010" s="18">
        <v>13.32</v>
      </c>
      <c r="G1010" s="18">
        <v>9.5727999999999991</v>
      </c>
      <c r="H1010" s="18">
        <v>10.809150000000001</v>
      </c>
      <c r="I1010" s="8">
        <v>0.21076233183856519</v>
      </c>
      <c r="J1010" s="8">
        <v>4.1465766634522838E-2</v>
      </c>
      <c r="K1010" s="8">
        <v>0.26611957796014091</v>
      </c>
      <c r="L1010" s="8">
        <v>-0.18918918918918909</v>
      </c>
      <c r="M1010" s="18">
        <v>0.32915848724403968</v>
      </c>
    </row>
    <row r="1011" spans="1:13" x14ac:dyDescent="0.45">
      <c r="A1011" t="s">
        <v>1988</v>
      </c>
      <c r="B1011" s="18">
        <v>30.39</v>
      </c>
      <c r="C1011" s="18">
        <v>34.99</v>
      </c>
      <c r="D1011" s="18">
        <v>30.58</v>
      </c>
      <c r="E1011" s="18">
        <v>24.02</v>
      </c>
      <c r="F1011" s="18">
        <v>47.87</v>
      </c>
      <c r="G1011" s="18">
        <v>33.6374</v>
      </c>
      <c r="H1011" s="18">
        <v>32.333750000000002</v>
      </c>
      <c r="I1011" s="8">
        <v>-0.1314661331809088</v>
      </c>
      <c r="J1011" s="8">
        <v>-6.2132112491823932E-3</v>
      </c>
      <c r="K1011" s="8">
        <v>0.26519567027477109</v>
      </c>
      <c r="L1011" s="8">
        <v>-0.36515562983079158</v>
      </c>
      <c r="M1011" s="18">
        <v>-0.2376393039861118</v>
      </c>
    </row>
    <row r="1012" spans="1:13" x14ac:dyDescent="0.45">
      <c r="A1012" t="s">
        <v>343</v>
      </c>
      <c r="B1012" s="18">
        <v>103.05</v>
      </c>
      <c r="C1012" s="18">
        <v>95.91</v>
      </c>
      <c r="D1012" s="18">
        <v>90.5</v>
      </c>
      <c r="E1012" s="18">
        <v>81.45</v>
      </c>
      <c r="F1012" s="18">
        <v>79.28</v>
      </c>
      <c r="G1012" s="18">
        <v>96.67179999999999</v>
      </c>
      <c r="H1012" s="18">
        <v>89.540050000000008</v>
      </c>
      <c r="I1012" s="8">
        <v>7.4444791992492876E-2</v>
      </c>
      <c r="J1012" s="8">
        <v>0.13867403314917109</v>
      </c>
      <c r="K1012" s="8">
        <v>0.26519337016574579</v>
      </c>
      <c r="L1012" s="8">
        <v>0.29982341069626628</v>
      </c>
      <c r="M1012" s="18">
        <v>0.77813560600367615</v>
      </c>
    </row>
    <row r="1013" spans="1:13" x14ac:dyDescent="0.45">
      <c r="A1013" t="s">
        <v>2524</v>
      </c>
      <c r="B1013" s="18">
        <v>30.31</v>
      </c>
      <c r="C1013" s="18">
        <v>36.67</v>
      </c>
      <c r="D1013" s="18">
        <v>29.09</v>
      </c>
      <c r="E1013" s="18">
        <v>23.96</v>
      </c>
      <c r="F1013" s="18">
        <v>31.15</v>
      </c>
      <c r="G1013" s="18">
        <v>34.430199999999992</v>
      </c>
      <c r="H1013" s="18">
        <v>27.9756</v>
      </c>
      <c r="I1013" s="8">
        <v>-0.17343877829288259</v>
      </c>
      <c r="J1013" s="8">
        <v>4.1938810587830888E-2</v>
      </c>
      <c r="K1013" s="8">
        <v>0.26502504173622699</v>
      </c>
      <c r="L1013" s="8">
        <v>-2.6966292134831479E-2</v>
      </c>
      <c r="M1013" s="18">
        <v>0.1065587818963438</v>
      </c>
    </row>
    <row r="1014" spans="1:13" x14ac:dyDescent="0.45">
      <c r="A1014" t="s">
        <v>540</v>
      </c>
      <c r="B1014" s="18">
        <v>4.54</v>
      </c>
      <c r="C1014" s="18">
        <v>4.8600000000000003</v>
      </c>
      <c r="D1014" s="18">
        <v>4.84</v>
      </c>
      <c r="E1014" s="18">
        <v>3.59</v>
      </c>
      <c r="F1014" s="18">
        <v>6.79</v>
      </c>
      <c r="G1014" s="18">
        <v>4.6261999999999999</v>
      </c>
      <c r="H1014" s="18">
        <v>4.8341999999999992</v>
      </c>
      <c r="I1014" s="8">
        <v>-6.5843621399176988E-2</v>
      </c>
      <c r="J1014" s="8">
        <v>-6.1983471074380181E-2</v>
      </c>
      <c r="K1014" s="8">
        <v>0.26462395543175488</v>
      </c>
      <c r="L1014" s="8">
        <v>-0.33136966126656853</v>
      </c>
      <c r="M1014" s="18">
        <v>-0.19457279830837079</v>
      </c>
    </row>
    <row r="1015" spans="1:13" x14ac:dyDescent="0.45">
      <c r="A1015" t="s">
        <v>320</v>
      </c>
      <c r="B1015" s="18">
        <v>189.69</v>
      </c>
      <c r="C1015" s="18">
        <v>176.96</v>
      </c>
      <c r="D1015" s="18">
        <v>157.69</v>
      </c>
      <c r="E1015" s="18">
        <v>150</v>
      </c>
      <c r="F1015" s="18">
        <v>160.29</v>
      </c>
      <c r="G1015" s="18">
        <v>177.31659999999999</v>
      </c>
      <c r="H1015" s="18">
        <v>160.8407</v>
      </c>
      <c r="I1015" s="8">
        <v>7.1937160940325429E-2</v>
      </c>
      <c r="J1015" s="8">
        <v>0.20292979897266791</v>
      </c>
      <c r="K1015" s="8">
        <v>0.26459999999999989</v>
      </c>
      <c r="L1015" s="8">
        <v>0.1834175556803295</v>
      </c>
      <c r="M1015" s="18">
        <v>0.72288451559332279</v>
      </c>
    </row>
    <row r="1016" spans="1:13" x14ac:dyDescent="0.45">
      <c r="A1016" t="s">
        <v>1290</v>
      </c>
      <c r="B1016" s="18">
        <v>1.53</v>
      </c>
      <c r="C1016" s="18">
        <v>1.43</v>
      </c>
      <c r="D1016" s="18">
        <v>1.38</v>
      </c>
      <c r="E1016" s="18">
        <v>1.21</v>
      </c>
      <c r="F1016" s="18">
        <v>2.6</v>
      </c>
      <c r="G1016" s="18">
        <v>1.417</v>
      </c>
      <c r="H1016" s="18">
        <v>1.6532500000000001</v>
      </c>
      <c r="I1016" s="8">
        <v>6.9930069930070005E-2</v>
      </c>
      <c r="J1016" s="8">
        <v>0.1086956521739131</v>
      </c>
      <c r="K1016" s="8">
        <v>0.26446280991735538</v>
      </c>
      <c r="L1016" s="8">
        <v>-0.41153846153846152</v>
      </c>
      <c r="M1016" s="18">
        <v>3.1550070482876953E-2</v>
      </c>
    </row>
    <row r="1017" spans="1:13" x14ac:dyDescent="0.45">
      <c r="A1017" t="s">
        <v>472</v>
      </c>
      <c r="B1017" s="18">
        <v>44.14</v>
      </c>
      <c r="C1017" s="18">
        <v>45.29</v>
      </c>
      <c r="D1017" s="18">
        <v>45.5</v>
      </c>
      <c r="E1017" s="18">
        <v>34.92</v>
      </c>
      <c r="F1017" s="18">
        <v>42.39</v>
      </c>
      <c r="G1017" s="18">
        <v>45.093999999999987</v>
      </c>
      <c r="H1017" s="18">
        <v>43.015949999999997</v>
      </c>
      <c r="I1017" s="8">
        <v>-2.5391918745860002E-2</v>
      </c>
      <c r="J1017" s="8">
        <v>-2.9890109890109869E-2</v>
      </c>
      <c r="K1017" s="8">
        <v>0.26403207331042378</v>
      </c>
      <c r="L1017" s="8">
        <v>4.128332153809855E-2</v>
      </c>
      <c r="M1017" s="18">
        <v>0.25003336621255251</v>
      </c>
    </row>
    <row r="1018" spans="1:13" x14ac:dyDescent="0.45">
      <c r="A1018" t="s">
        <v>2294</v>
      </c>
      <c r="B1018" s="18">
        <v>93.17</v>
      </c>
      <c r="C1018" s="18">
        <v>92.45</v>
      </c>
      <c r="D1018" s="18">
        <v>92.42</v>
      </c>
      <c r="E1018" s="18">
        <v>73.75</v>
      </c>
      <c r="F1018" s="18">
        <v>135.83000000000001</v>
      </c>
      <c r="G1018" s="18">
        <v>91.659599999999998</v>
      </c>
      <c r="H1018" s="18">
        <v>96.97399999999999</v>
      </c>
      <c r="I1018" s="8">
        <v>7.7879935100053643E-3</v>
      </c>
      <c r="J1018" s="8">
        <v>8.1151265959749086E-3</v>
      </c>
      <c r="K1018" s="8">
        <v>0.26332203389830511</v>
      </c>
      <c r="L1018" s="8">
        <v>-0.31406905690937198</v>
      </c>
      <c r="M1018" s="18">
        <v>-3.4843902905086648E-2</v>
      </c>
    </row>
    <row r="1019" spans="1:13" x14ac:dyDescent="0.45">
      <c r="A1019" t="s">
        <v>167</v>
      </c>
      <c r="B1019" s="18">
        <v>157.77000000000001</v>
      </c>
      <c r="C1019" s="18">
        <v>150.94</v>
      </c>
      <c r="D1019" s="18">
        <v>162.16999999999999</v>
      </c>
      <c r="E1019" s="18">
        <v>125</v>
      </c>
      <c r="F1019" s="18">
        <v>111.98</v>
      </c>
      <c r="G1019" s="18">
        <v>152.20519999999999</v>
      </c>
      <c r="H1019" s="18">
        <v>143.11664999999999</v>
      </c>
      <c r="I1019" s="8">
        <v>4.5249768119782763E-2</v>
      </c>
      <c r="J1019" s="8">
        <v>-2.713202195227216E-2</v>
      </c>
      <c r="K1019" s="8">
        <v>0.26216000000000023</v>
      </c>
      <c r="L1019" s="8">
        <v>0.40891230576888732</v>
      </c>
      <c r="M1019" s="18">
        <v>0.68919005193639804</v>
      </c>
    </row>
    <row r="1020" spans="1:13" x14ac:dyDescent="0.45">
      <c r="A1020" t="s">
        <v>340</v>
      </c>
      <c r="B1020" s="18">
        <v>149.94999999999999</v>
      </c>
      <c r="C1020" s="18">
        <v>170.3</v>
      </c>
      <c r="D1020" s="18">
        <v>144.46</v>
      </c>
      <c r="E1020" s="18">
        <v>118.81</v>
      </c>
      <c r="F1020" s="18">
        <v>110.87</v>
      </c>
      <c r="G1020" s="18">
        <v>161.3554</v>
      </c>
      <c r="H1020" s="18">
        <v>144.15770000000001</v>
      </c>
      <c r="I1020" s="8">
        <v>-0.119495008807986</v>
      </c>
      <c r="J1020" s="8">
        <v>3.8003599612349337E-2</v>
      </c>
      <c r="K1020" s="8">
        <v>0.2620991499032066</v>
      </c>
      <c r="L1020" s="8">
        <v>0.35248489221610879</v>
      </c>
      <c r="M1020" s="18">
        <v>0.5330926329236787</v>
      </c>
    </row>
    <row r="1021" spans="1:13" x14ac:dyDescent="0.45">
      <c r="A1021" t="s">
        <v>974</v>
      </c>
      <c r="B1021" s="18">
        <v>32.06</v>
      </c>
      <c r="C1021" s="18">
        <v>33.39</v>
      </c>
      <c r="D1021" s="18">
        <v>34.56</v>
      </c>
      <c r="E1021" s="18">
        <v>25.41</v>
      </c>
      <c r="F1021" s="18">
        <v>29.97</v>
      </c>
      <c r="G1021" s="18">
        <v>33.586599999999997</v>
      </c>
      <c r="H1021" s="18">
        <v>32.449100000000001</v>
      </c>
      <c r="I1021" s="8">
        <v>-3.98322851153039E-2</v>
      </c>
      <c r="J1021" s="8">
        <v>-7.233796296296291E-2</v>
      </c>
      <c r="K1021" s="8">
        <v>0.26170798898071629</v>
      </c>
      <c r="L1021" s="8">
        <v>6.9736403069736497E-2</v>
      </c>
      <c r="M1021" s="18">
        <v>0.219274143972186</v>
      </c>
    </row>
    <row r="1022" spans="1:13" x14ac:dyDescent="0.45">
      <c r="A1022" t="s">
        <v>2523</v>
      </c>
      <c r="B1022" s="18">
        <v>13.07</v>
      </c>
      <c r="C1022" s="18">
        <v>13.33</v>
      </c>
      <c r="D1022" s="18">
        <v>12.52</v>
      </c>
      <c r="E1022" s="18">
        <v>10.36</v>
      </c>
      <c r="F1022" s="18">
        <v>10.029999999999999</v>
      </c>
      <c r="G1022" s="18">
        <v>12.570399999999999</v>
      </c>
      <c r="H1022" s="18">
        <v>12.030200000000001</v>
      </c>
      <c r="I1022" s="8">
        <v>-1.950487621905472E-2</v>
      </c>
      <c r="J1022" s="8">
        <v>4.3929712460063941E-2</v>
      </c>
      <c r="K1022" s="8">
        <v>0.26158301158301178</v>
      </c>
      <c r="L1022" s="8">
        <v>0.30309072781655039</v>
      </c>
      <c r="M1022" s="18">
        <v>0.58909857564057144</v>
      </c>
    </row>
    <row r="1023" spans="1:13" x14ac:dyDescent="0.45">
      <c r="A1023" t="s">
        <v>688</v>
      </c>
      <c r="B1023" s="18">
        <v>23.15</v>
      </c>
      <c r="C1023" s="18">
        <v>20.88</v>
      </c>
      <c r="D1023" s="18">
        <v>23.68</v>
      </c>
      <c r="E1023" s="18">
        <v>18.350000000000001</v>
      </c>
      <c r="F1023" s="18">
        <v>29.55</v>
      </c>
      <c r="G1023" s="18">
        <v>23.020600000000009</v>
      </c>
      <c r="H1023" s="18">
        <v>23.93835</v>
      </c>
      <c r="I1023" s="8">
        <v>0.1087164750957854</v>
      </c>
      <c r="J1023" s="8">
        <v>-2.2381756756756799E-2</v>
      </c>
      <c r="K1023" s="8">
        <v>0.26158038147138951</v>
      </c>
      <c r="L1023" s="8">
        <v>-0.21658206429780039</v>
      </c>
      <c r="M1023" s="18">
        <v>0.1313330355126178</v>
      </c>
    </row>
    <row r="1024" spans="1:13" x14ac:dyDescent="0.45">
      <c r="A1024" t="s">
        <v>659</v>
      </c>
      <c r="B1024" s="18">
        <v>319.48</v>
      </c>
      <c r="C1024" s="18">
        <v>340.98</v>
      </c>
      <c r="D1024" s="18">
        <v>313.70999999999998</v>
      </c>
      <c r="E1024" s="18">
        <v>253.25</v>
      </c>
      <c r="F1024" s="18">
        <v>278.22000000000003</v>
      </c>
      <c r="G1024" s="18">
        <v>326.20920000000001</v>
      </c>
      <c r="H1024" s="18">
        <v>301.75150000000002</v>
      </c>
      <c r="I1024" s="8">
        <v>-6.3053551527948892E-2</v>
      </c>
      <c r="J1024" s="8">
        <v>1.8392783143667879E-2</v>
      </c>
      <c r="K1024" s="8">
        <v>0.26152023692003962</v>
      </c>
      <c r="L1024" s="8">
        <v>0.1482999065487742</v>
      </c>
      <c r="M1024" s="18">
        <v>0.36515937508453278</v>
      </c>
    </row>
    <row r="1025" spans="1:13" x14ac:dyDescent="0.45">
      <c r="A1025" t="s">
        <v>1253</v>
      </c>
      <c r="B1025" s="18">
        <v>13.21</v>
      </c>
      <c r="C1025" s="18">
        <v>13.07</v>
      </c>
      <c r="D1025" s="18">
        <v>12.77</v>
      </c>
      <c r="E1025" s="18">
        <v>10.48</v>
      </c>
      <c r="F1025" s="18">
        <v>13</v>
      </c>
      <c r="G1025" s="18">
        <v>13.011100000000001</v>
      </c>
      <c r="H1025" s="18">
        <v>12.450711500000001</v>
      </c>
      <c r="I1025" s="8">
        <v>1.071155317521044E-2</v>
      </c>
      <c r="J1025" s="8">
        <v>3.4455755677369027E-2</v>
      </c>
      <c r="K1025" s="8">
        <v>0.26049618320610679</v>
      </c>
      <c r="L1025" s="8">
        <v>1.6153846153846189E-2</v>
      </c>
      <c r="M1025" s="18">
        <v>0.32181733821253239</v>
      </c>
    </row>
    <row r="1026" spans="1:13" x14ac:dyDescent="0.45">
      <c r="A1026" t="s">
        <v>217</v>
      </c>
      <c r="B1026" s="18">
        <v>87.83</v>
      </c>
      <c r="C1026" s="18">
        <v>96.3</v>
      </c>
      <c r="D1026" s="18">
        <v>108.37</v>
      </c>
      <c r="E1026" s="18">
        <v>69.7</v>
      </c>
      <c r="F1026" s="18">
        <v>70.900000000000006</v>
      </c>
      <c r="G1026" s="18">
        <v>104.02800000000001</v>
      </c>
      <c r="H1026" s="18">
        <v>88.065725</v>
      </c>
      <c r="I1026" s="8">
        <v>-8.7954309449636559E-2</v>
      </c>
      <c r="J1026" s="8">
        <v>-0.18953584940481691</v>
      </c>
      <c r="K1026" s="8">
        <v>0.26011477761836432</v>
      </c>
      <c r="L1026" s="8">
        <v>0.23878702397743279</v>
      </c>
      <c r="M1026" s="18">
        <v>0.22141164274134359</v>
      </c>
    </row>
    <row r="1027" spans="1:13" x14ac:dyDescent="0.45">
      <c r="A1027" t="s">
        <v>669</v>
      </c>
      <c r="B1027" s="18">
        <v>26.55</v>
      </c>
      <c r="C1027" s="18">
        <v>26.84</v>
      </c>
      <c r="D1027" s="18">
        <v>29.55</v>
      </c>
      <c r="E1027" s="18">
        <v>21.07</v>
      </c>
      <c r="F1027" s="18">
        <v>30.05</v>
      </c>
      <c r="G1027" s="18">
        <v>27.722999999999999</v>
      </c>
      <c r="H1027" s="18">
        <v>28.08755</v>
      </c>
      <c r="I1027" s="8">
        <v>-1.08047690014903E-2</v>
      </c>
      <c r="J1027" s="8">
        <v>-0.10152284263959389</v>
      </c>
      <c r="K1027" s="8">
        <v>0.26008542952064539</v>
      </c>
      <c r="L1027" s="8">
        <v>-0.1164725457570716</v>
      </c>
      <c r="M1027" s="18">
        <v>3.128527212248966E-2</v>
      </c>
    </row>
    <row r="1028" spans="1:13" x14ac:dyDescent="0.45">
      <c r="A1028" t="s">
        <v>1986</v>
      </c>
      <c r="B1028" s="18">
        <v>13.05</v>
      </c>
      <c r="C1028" s="18">
        <v>13.75</v>
      </c>
      <c r="D1028" s="18">
        <v>14.19</v>
      </c>
      <c r="E1028" s="18">
        <v>10.36</v>
      </c>
      <c r="F1028" s="18">
        <v>14.7</v>
      </c>
      <c r="G1028" s="18">
        <v>13.535</v>
      </c>
      <c r="H1028" s="18">
        <v>13.605449999999999</v>
      </c>
      <c r="I1028" s="8">
        <v>-5.0909090909090897E-2</v>
      </c>
      <c r="J1028" s="8">
        <v>-8.0338266384777923E-2</v>
      </c>
      <c r="K1028" s="8">
        <v>0.25965250965250969</v>
      </c>
      <c r="L1028" s="8">
        <v>-0.1122448979591836</v>
      </c>
      <c r="M1028" s="18">
        <v>1.6160254399457341E-2</v>
      </c>
    </row>
    <row r="1029" spans="1:13" x14ac:dyDescent="0.45">
      <c r="A1029" t="s">
        <v>2081</v>
      </c>
      <c r="B1029" s="18">
        <v>27.09</v>
      </c>
      <c r="C1029" s="18">
        <v>31.76</v>
      </c>
      <c r="D1029" s="18">
        <v>28.61</v>
      </c>
      <c r="E1029" s="18">
        <v>21.51</v>
      </c>
      <c r="F1029" s="18">
        <v>30.98</v>
      </c>
      <c r="G1029" s="18">
        <v>29.525200000000002</v>
      </c>
      <c r="H1029" s="18">
        <v>28.972750000000001</v>
      </c>
      <c r="I1029" s="8">
        <v>-0.1470403022670026</v>
      </c>
      <c r="J1029" s="8">
        <v>-5.3128276826284522E-2</v>
      </c>
      <c r="K1029" s="8">
        <v>0.25941422594142249</v>
      </c>
      <c r="L1029" s="8">
        <v>-0.12556488056810841</v>
      </c>
      <c r="M1029" s="18">
        <v>-6.6319233719973059E-2</v>
      </c>
    </row>
    <row r="1030" spans="1:13" x14ac:dyDescent="0.45">
      <c r="A1030" t="s">
        <v>1626</v>
      </c>
      <c r="B1030" s="18">
        <v>15.37</v>
      </c>
      <c r="C1030" s="18">
        <v>15.98</v>
      </c>
      <c r="D1030" s="18">
        <v>17.71</v>
      </c>
      <c r="E1030" s="18">
        <v>12.21</v>
      </c>
      <c r="F1030" s="18">
        <v>16.48</v>
      </c>
      <c r="G1030" s="18">
        <v>16.523800000000001</v>
      </c>
      <c r="H1030" s="18">
        <v>15.7044</v>
      </c>
      <c r="I1030" s="8">
        <v>-3.8172715894868703E-2</v>
      </c>
      <c r="J1030" s="8">
        <v>-0.1321287408243931</v>
      </c>
      <c r="K1030" s="8">
        <v>0.25880425880425872</v>
      </c>
      <c r="L1030" s="8">
        <v>-6.7354368932038944E-2</v>
      </c>
      <c r="M1030" s="18">
        <v>2.1148433152958002E-2</v>
      </c>
    </row>
    <row r="1031" spans="1:13" x14ac:dyDescent="0.45">
      <c r="A1031" t="s">
        <v>624</v>
      </c>
      <c r="B1031" s="18">
        <v>2.29</v>
      </c>
      <c r="C1031" s="18">
        <v>2.7</v>
      </c>
      <c r="D1031" s="18">
        <v>3.04</v>
      </c>
      <c r="E1031" s="18">
        <v>1.82</v>
      </c>
      <c r="F1031" s="18">
        <v>1.8</v>
      </c>
      <c r="G1031" s="18">
        <v>2.7742</v>
      </c>
      <c r="H1031" s="18">
        <v>2.5663100000000001</v>
      </c>
      <c r="I1031" s="8">
        <v>-0.1518518518518519</v>
      </c>
      <c r="J1031" s="8">
        <v>-0.24671052631578949</v>
      </c>
      <c r="K1031" s="8">
        <v>0.25824175824175821</v>
      </c>
      <c r="L1031" s="8">
        <v>0.27222222222222209</v>
      </c>
      <c r="M1031" s="18">
        <v>0.13190160229633899</v>
      </c>
    </row>
    <row r="1032" spans="1:13" x14ac:dyDescent="0.45">
      <c r="A1032" t="s">
        <v>1186</v>
      </c>
      <c r="B1032" s="18">
        <v>9.16</v>
      </c>
      <c r="C1032" s="18">
        <v>9.0500000000000007</v>
      </c>
      <c r="D1032" s="18">
        <v>8.7200000000000006</v>
      </c>
      <c r="E1032" s="18">
        <v>7.28</v>
      </c>
      <c r="F1032" s="18">
        <v>8.65</v>
      </c>
      <c r="G1032" s="18">
        <v>8.9555999999999987</v>
      </c>
      <c r="H1032" s="18">
        <v>8.5292000000000012</v>
      </c>
      <c r="I1032" s="8">
        <v>1.215469613259668E-2</v>
      </c>
      <c r="J1032" s="8">
        <v>5.0458715596330313E-2</v>
      </c>
      <c r="K1032" s="8">
        <v>0.25824175824175821</v>
      </c>
      <c r="L1032" s="8">
        <v>5.895953757225425E-2</v>
      </c>
      <c r="M1032" s="18">
        <v>0.37981470754293939</v>
      </c>
    </row>
    <row r="1033" spans="1:13" x14ac:dyDescent="0.45">
      <c r="A1033" t="s">
        <v>499</v>
      </c>
      <c r="B1033" s="18">
        <v>102.9</v>
      </c>
      <c r="C1033" s="18">
        <v>102.29</v>
      </c>
      <c r="D1033" s="18">
        <v>94.86</v>
      </c>
      <c r="E1033" s="18">
        <v>81.790000000000006</v>
      </c>
      <c r="F1033" s="18">
        <v>80.94</v>
      </c>
      <c r="G1033" s="18">
        <v>101.107</v>
      </c>
      <c r="H1033" s="18">
        <v>96.277349999999984</v>
      </c>
      <c r="I1033" s="8">
        <v>5.9634372861472329E-3</v>
      </c>
      <c r="J1033" s="8">
        <v>8.4756483238456637E-2</v>
      </c>
      <c r="K1033" s="8">
        <v>0.25810001222643342</v>
      </c>
      <c r="L1033" s="8">
        <v>0.27131208302446258</v>
      </c>
      <c r="M1033" s="18">
        <v>0.62013201577549992</v>
      </c>
    </row>
    <row r="1034" spans="1:13" x14ac:dyDescent="0.45">
      <c r="A1034" t="s">
        <v>1158</v>
      </c>
      <c r="B1034" s="18">
        <v>20.97</v>
      </c>
      <c r="C1034" s="18">
        <v>21.48</v>
      </c>
      <c r="D1034" s="18">
        <v>20.99</v>
      </c>
      <c r="E1034" s="18">
        <v>16.670000000000002</v>
      </c>
      <c r="F1034" s="18">
        <v>19.91</v>
      </c>
      <c r="G1034" s="18">
        <v>21.167200000000001</v>
      </c>
      <c r="H1034" s="18">
        <v>20.270700000000001</v>
      </c>
      <c r="I1034" s="8">
        <v>-2.374301675977664E-2</v>
      </c>
      <c r="J1034" s="8">
        <v>-9.5283468318241304E-4</v>
      </c>
      <c r="K1034" s="8">
        <v>0.25794841031793608</v>
      </c>
      <c r="L1034" s="8">
        <v>5.3239578101456519E-2</v>
      </c>
      <c r="M1034" s="18">
        <v>0.28649213697643361</v>
      </c>
    </row>
    <row r="1035" spans="1:13" x14ac:dyDescent="0.45">
      <c r="A1035" t="s">
        <v>556</v>
      </c>
      <c r="B1035" s="18">
        <v>147.29</v>
      </c>
      <c r="C1035" s="18">
        <v>138.38</v>
      </c>
      <c r="D1035" s="18">
        <v>127.76</v>
      </c>
      <c r="E1035" s="18">
        <v>117.13</v>
      </c>
      <c r="F1035" s="18">
        <v>138.65</v>
      </c>
      <c r="G1035" s="18">
        <v>136.82579999999999</v>
      </c>
      <c r="H1035" s="18">
        <v>129.86619999999999</v>
      </c>
      <c r="I1035" s="8">
        <v>6.4387917329093769E-2</v>
      </c>
      <c r="J1035" s="8">
        <v>0.15286474639949901</v>
      </c>
      <c r="K1035" s="8">
        <v>0.25749167591564942</v>
      </c>
      <c r="L1035" s="8">
        <v>6.2315182113234613E-2</v>
      </c>
      <c r="M1035" s="18">
        <v>0.53705952175747673</v>
      </c>
    </row>
    <row r="1036" spans="1:13" x14ac:dyDescent="0.45">
      <c r="A1036" t="s">
        <v>1257</v>
      </c>
      <c r="B1036" s="18">
        <v>5.96</v>
      </c>
      <c r="C1036" s="18">
        <v>5.96</v>
      </c>
      <c r="D1036" s="18">
        <v>6.04</v>
      </c>
      <c r="E1036" s="18">
        <v>4.74</v>
      </c>
      <c r="F1036" s="18">
        <v>4.24</v>
      </c>
      <c r="G1036" s="18">
        <v>5.7830000000000004</v>
      </c>
      <c r="H1036" s="18">
        <v>5.4227999999999996</v>
      </c>
      <c r="I1036" s="8">
        <v>0</v>
      </c>
      <c r="J1036" s="8">
        <v>-1.324503311258274E-2</v>
      </c>
      <c r="K1036" s="8">
        <v>0.2573839662447257</v>
      </c>
      <c r="L1036" s="8">
        <v>0.40566037735849059</v>
      </c>
      <c r="M1036" s="18">
        <v>0.64979931049063355</v>
      </c>
    </row>
    <row r="1037" spans="1:13" x14ac:dyDescent="0.45">
      <c r="A1037" t="s">
        <v>854</v>
      </c>
      <c r="B1037" s="18">
        <v>22.99</v>
      </c>
      <c r="C1037" s="18">
        <v>25.21</v>
      </c>
      <c r="D1037" s="18">
        <v>24.64</v>
      </c>
      <c r="E1037" s="18">
        <v>18.29</v>
      </c>
      <c r="F1037" s="18">
        <v>32.380000000000003</v>
      </c>
      <c r="G1037" s="18">
        <v>24.745000000000001</v>
      </c>
      <c r="H1037" s="18">
        <v>23.330549999999999</v>
      </c>
      <c r="I1037" s="8">
        <v>-8.8060293534311884E-2</v>
      </c>
      <c r="J1037" s="8">
        <v>-6.6964285714285809E-2</v>
      </c>
      <c r="K1037" s="8">
        <v>0.25697102241662112</v>
      </c>
      <c r="L1037" s="8">
        <v>-0.28999382334774559</v>
      </c>
      <c r="M1037" s="18">
        <v>-0.1880473801797222</v>
      </c>
    </row>
    <row r="1038" spans="1:13" x14ac:dyDescent="0.45">
      <c r="A1038" t="s">
        <v>1426</v>
      </c>
      <c r="B1038" s="18">
        <v>40.1</v>
      </c>
      <c r="C1038" s="18">
        <v>40.880000000000003</v>
      </c>
      <c r="D1038" s="18">
        <v>38.86</v>
      </c>
      <c r="E1038" s="18">
        <v>31.91</v>
      </c>
      <c r="F1038" s="18"/>
      <c r="G1038" s="18">
        <v>40.4178</v>
      </c>
      <c r="H1038" s="18"/>
      <c r="I1038" s="8">
        <v>-1.9080234833659501E-2</v>
      </c>
      <c r="J1038" s="8">
        <v>3.1909418425115847E-2</v>
      </c>
      <c r="K1038" s="8">
        <v>0.25665935443434668</v>
      </c>
      <c r="L1038" s="8"/>
      <c r="M1038" s="18">
        <v>0.26948853802580308</v>
      </c>
    </row>
    <row r="1039" spans="1:13" x14ac:dyDescent="0.45">
      <c r="A1039" t="s">
        <v>437</v>
      </c>
      <c r="B1039" s="18">
        <v>914.32</v>
      </c>
      <c r="C1039" s="18">
        <v>933.67</v>
      </c>
      <c r="D1039" s="18">
        <v>968.09</v>
      </c>
      <c r="E1039" s="18">
        <v>727.6</v>
      </c>
      <c r="F1039" s="18">
        <v>917.68</v>
      </c>
      <c r="G1039" s="18">
        <v>911.22360000000003</v>
      </c>
      <c r="H1039" s="18">
        <v>951.07375000000002</v>
      </c>
      <c r="I1039" s="8">
        <v>-2.0724667173626529E-2</v>
      </c>
      <c r="J1039" s="8">
        <v>-5.554235659907647E-2</v>
      </c>
      <c r="K1039" s="8">
        <v>0.2566245189664651</v>
      </c>
      <c r="L1039" s="8">
        <v>-3.6614070264143761E-3</v>
      </c>
      <c r="M1039" s="18">
        <v>0.17669608816734769</v>
      </c>
    </row>
    <row r="1040" spans="1:13" x14ac:dyDescent="0.45">
      <c r="A1040" t="s">
        <v>2394</v>
      </c>
      <c r="B1040" s="18">
        <v>76</v>
      </c>
      <c r="C1040" s="18">
        <v>78.06</v>
      </c>
      <c r="D1040" s="18">
        <v>80.25</v>
      </c>
      <c r="E1040" s="18">
        <v>60.48</v>
      </c>
      <c r="F1040" s="18">
        <v>61.26</v>
      </c>
      <c r="G1040" s="18">
        <v>78.331599999999995</v>
      </c>
      <c r="H1040" s="18">
        <v>73.04549999999999</v>
      </c>
      <c r="I1040" s="8">
        <v>-2.638995644376119E-2</v>
      </c>
      <c r="J1040" s="8">
        <v>-5.2959501557632398E-2</v>
      </c>
      <c r="K1040" s="8">
        <v>0.25661375661375668</v>
      </c>
      <c r="L1040" s="8">
        <v>0.2406137773424748</v>
      </c>
      <c r="M1040" s="18">
        <v>0.41787807595483789</v>
      </c>
    </row>
    <row r="1041" spans="1:13" x14ac:dyDescent="0.45">
      <c r="A1041" t="s">
        <v>977</v>
      </c>
      <c r="B1041" s="18">
        <v>9.16</v>
      </c>
      <c r="C1041" s="18">
        <v>8.2200000000000006</v>
      </c>
      <c r="D1041" s="18">
        <v>9.2899999999999991</v>
      </c>
      <c r="E1041" s="18">
        <v>7.29</v>
      </c>
      <c r="F1041" s="18">
        <v>12.98</v>
      </c>
      <c r="G1041" s="18">
        <v>9.1281999999999996</v>
      </c>
      <c r="H1041" s="18">
        <v>10.578849999999999</v>
      </c>
      <c r="I1041" s="8">
        <v>0.1143552311435523</v>
      </c>
      <c r="J1041" s="8">
        <v>-1.399354144241105E-2</v>
      </c>
      <c r="K1041" s="8">
        <v>0.25651577503429351</v>
      </c>
      <c r="L1041" s="8">
        <v>-0.29429892141756547</v>
      </c>
      <c r="M1041" s="18">
        <v>6.2578543317869162E-2</v>
      </c>
    </row>
    <row r="1042" spans="1:13" x14ac:dyDescent="0.45">
      <c r="A1042" t="s">
        <v>1156</v>
      </c>
      <c r="B1042" s="18">
        <v>108.21</v>
      </c>
      <c r="C1042" s="18">
        <v>117.21</v>
      </c>
      <c r="D1042" s="18">
        <v>117.2</v>
      </c>
      <c r="E1042" s="18">
        <v>86.19</v>
      </c>
      <c r="F1042" s="18">
        <v>83.74</v>
      </c>
      <c r="G1042" s="18">
        <v>114.2908</v>
      </c>
      <c r="H1042" s="18">
        <v>104.25635</v>
      </c>
      <c r="I1042" s="8">
        <v>-7.6785257230611692E-2</v>
      </c>
      <c r="J1042" s="8">
        <v>-7.6706484641638317E-2</v>
      </c>
      <c r="K1042" s="8">
        <v>0.25548207448659932</v>
      </c>
      <c r="L1042" s="8">
        <v>0.29221399570097928</v>
      </c>
      <c r="M1042" s="18">
        <v>0.39420432831532859</v>
      </c>
    </row>
    <row r="1043" spans="1:13" x14ac:dyDescent="0.45">
      <c r="A1043" t="s">
        <v>1828</v>
      </c>
      <c r="B1043" s="18">
        <v>18.34</v>
      </c>
      <c r="C1043" s="18">
        <v>18.3</v>
      </c>
      <c r="D1043" s="18">
        <v>17.2</v>
      </c>
      <c r="E1043" s="18">
        <v>14.61</v>
      </c>
      <c r="F1043" s="18">
        <v>15.61</v>
      </c>
      <c r="G1043" s="18">
        <v>18.316400000000002</v>
      </c>
      <c r="H1043" s="18">
        <v>16.24765</v>
      </c>
      <c r="I1043" s="8">
        <v>2.1857923497268228E-3</v>
      </c>
      <c r="J1043" s="8">
        <v>6.6279069767441801E-2</v>
      </c>
      <c r="K1043" s="8">
        <v>0.25530458590006838</v>
      </c>
      <c r="L1043" s="8">
        <v>0.1748878923766817</v>
      </c>
      <c r="M1043" s="18">
        <v>0.49865734039391868</v>
      </c>
    </row>
    <row r="1044" spans="1:13" x14ac:dyDescent="0.45">
      <c r="A1044" t="s">
        <v>2023</v>
      </c>
      <c r="B1044" s="18">
        <v>5.96</v>
      </c>
      <c r="C1044" s="18">
        <v>6.58</v>
      </c>
      <c r="D1044" s="18">
        <v>5.77</v>
      </c>
      <c r="E1044" s="18">
        <v>4.75</v>
      </c>
      <c r="F1044" s="18">
        <v>4.97</v>
      </c>
      <c r="G1044" s="18">
        <v>6.3383999999999991</v>
      </c>
      <c r="H1044" s="18">
        <v>6.0279500000000006</v>
      </c>
      <c r="I1044" s="8">
        <v>-9.4224924012158096E-2</v>
      </c>
      <c r="J1044" s="8">
        <v>3.2928942807625823E-2</v>
      </c>
      <c r="K1044" s="8">
        <v>0.25473684210526321</v>
      </c>
      <c r="L1044" s="8">
        <v>0.199195171026157</v>
      </c>
      <c r="M1044" s="18">
        <v>0.3926360319268879</v>
      </c>
    </row>
    <row r="1045" spans="1:13" x14ac:dyDescent="0.45">
      <c r="A1045" t="s">
        <v>1706</v>
      </c>
      <c r="B1045" s="18">
        <v>31.04</v>
      </c>
      <c r="C1045" s="18">
        <v>31.04</v>
      </c>
      <c r="D1045" s="18">
        <v>24.73</v>
      </c>
      <c r="E1045" s="18">
        <v>24.74</v>
      </c>
      <c r="F1045" s="18">
        <v>23.15</v>
      </c>
      <c r="G1045" s="18">
        <v>30.809000000000001</v>
      </c>
      <c r="H1045" s="18">
        <v>27.718499999999999</v>
      </c>
      <c r="I1045" s="8">
        <v>0</v>
      </c>
      <c r="J1045" s="8">
        <v>0.25515568135867372</v>
      </c>
      <c r="K1045" s="8">
        <v>0.25464834276475351</v>
      </c>
      <c r="L1045" s="8">
        <v>0.34082073434125282</v>
      </c>
      <c r="M1045" s="18">
        <v>0.85062475846468</v>
      </c>
    </row>
    <row r="1046" spans="1:13" x14ac:dyDescent="0.45">
      <c r="A1046" t="s">
        <v>2034</v>
      </c>
      <c r="B1046" s="18">
        <v>382.19</v>
      </c>
      <c r="C1046" s="18">
        <v>374.88</v>
      </c>
      <c r="D1046" s="18">
        <v>378.91</v>
      </c>
      <c r="E1046" s="18">
        <v>304.79000000000002</v>
      </c>
      <c r="F1046" s="18">
        <v>292.48</v>
      </c>
      <c r="G1046" s="18">
        <v>389.3064</v>
      </c>
      <c r="H1046" s="18">
        <v>358.64224999999999</v>
      </c>
      <c r="I1046" s="8">
        <v>1.9499573196756211E-2</v>
      </c>
      <c r="J1046" s="8">
        <v>8.6564091736822668E-3</v>
      </c>
      <c r="K1046" s="8">
        <v>0.25394533941402281</v>
      </c>
      <c r="L1046" s="8">
        <v>0.30672182713347912</v>
      </c>
      <c r="M1046" s="18">
        <v>0.5888231489179403</v>
      </c>
    </row>
    <row r="1047" spans="1:13" x14ac:dyDescent="0.45">
      <c r="A1047" t="s">
        <v>1413</v>
      </c>
      <c r="B1047" s="18">
        <v>23.79</v>
      </c>
      <c r="C1047" s="18">
        <v>20.02</v>
      </c>
      <c r="D1047" s="18">
        <v>17.22</v>
      </c>
      <c r="E1047" s="18">
        <v>18.98</v>
      </c>
      <c r="F1047" s="18">
        <v>34.29</v>
      </c>
      <c r="G1047" s="18">
        <v>19.815200000000001</v>
      </c>
      <c r="H1047" s="18">
        <v>22.239249999999998</v>
      </c>
      <c r="I1047" s="8">
        <v>0.18831168831168821</v>
      </c>
      <c r="J1047" s="8">
        <v>0.38153310104529631</v>
      </c>
      <c r="K1047" s="8">
        <v>0.25342465753424648</v>
      </c>
      <c r="L1047" s="8">
        <v>-0.30621172353455822</v>
      </c>
      <c r="M1047" s="18">
        <v>0.51705772335667277</v>
      </c>
    </row>
    <row r="1048" spans="1:13" x14ac:dyDescent="0.45">
      <c r="A1048" t="s">
        <v>361</v>
      </c>
      <c r="B1048" s="18">
        <v>32.32</v>
      </c>
      <c r="C1048" s="18">
        <v>36</v>
      </c>
      <c r="D1048" s="18">
        <v>38.840000000000003</v>
      </c>
      <c r="E1048" s="18">
        <v>25.79</v>
      </c>
      <c r="F1048" s="18">
        <v>40.43</v>
      </c>
      <c r="G1048" s="18">
        <v>35.9358</v>
      </c>
      <c r="H1048" s="18">
        <v>34.042900000000003</v>
      </c>
      <c r="I1048" s="8">
        <v>-0.1022222222222222</v>
      </c>
      <c r="J1048" s="8">
        <v>-0.16786817713697219</v>
      </c>
      <c r="K1048" s="8">
        <v>0.25319891430787123</v>
      </c>
      <c r="L1048" s="8">
        <v>-0.2005936186000494</v>
      </c>
      <c r="M1048" s="18">
        <v>-0.21748510365137261</v>
      </c>
    </row>
    <row r="1049" spans="1:13" x14ac:dyDescent="0.45">
      <c r="A1049" t="s">
        <v>827</v>
      </c>
      <c r="B1049" s="18">
        <v>35.630000000000003</v>
      </c>
      <c r="C1049" s="18">
        <v>37.549999999999997</v>
      </c>
      <c r="D1049" s="18">
        <v>36.65</v>
      </c>
      <c r="E1049" s="18">
        <v>28.44</v>
      </c>
      <c r="F1049" s="18">
        <v>32.19</v>
      </c>
      <c r="G1049" s="18">
        <v>36.055880000000002</v>
      </c>
      <c r="H1049" s="18">
        <v>34.894491500000001</v>
      </c>
      <c r="I1049" s="8">
        <v>-5.1131824234354029E-2</v>
      </c>
      <c r="J1049" s="8">
        <v>-2.7830832196452771E-2</v>
      </c>
      <c r="K1049" s="8">
        <v>0.25281293952180039</v>
      </c>
      <c r="L1049" s="8">
        <v>0.1068654861758311</v>
      </c>
      <c r="M1049" s="18">
        <v>0.28071576926682468</v>
      </c>
    </row>
    <row r="1050" spans="1:13" x14ac:dyDescent="0.45">
      <c r="A1050" t="s">
        <v>830</v>
      </c>
      <c r="B1050" s="18">
        <v>6.94</v>
      </c>
      <c r="C1050" s="18">
        <v>7.12</v>
      </c>
      <c r="D1050" s="18">
        <v>7.2</v>
      </c>
      <c r="E1050" s="18">
        <v>5.54</v>
      </c>
      <c r="F1050" s="18">
        <v>12.172000000000001</v>
      </c>
      <c r="G1050" s="18">
        <v>7.0724</v>
      </c>
      <c r="H1050" s="18">
        <v>6.7553100000000006</v>
      </c>
      <c r="I1050" s="8">
        <v>-2.5280898876404501E-2</v>
      </c>
      <c r="J1050" s="8">
        <v>-3.6111111111111087E-2</v>
      </c>
      <c r="K1050" s="8">
        <v>0.25270758122743692</v>
      </c>
      <c r="L1050" s="8">
        <v>-0.42983897469602361</v>
      </c>
      <c r="M1050" s="18">
        <v>-0.23852340345610229</v>
      </c>
    </row>
    <row r="1051" spans="1:13" x14ac:dyDescent="0.45">
      <c r="A1051" t="s">
        <v>1711</v>
      </c>
      <c r="B1051" s="18">
        <v>219.92</v>
      </c>
      <c r="C1051" s="18">
        <v>206.36</v>
      </c>
      <c r="D1051" s="18">
        <v>203.76</v>
      </c>
      <c r="E1051" s="18">
        <v>175.61</v>
      </c>
      <c r="F1051" s="18">
        <v>217.24</v>
      </c>
      <c r="G1051" s="18">
        <v>207.62219999999999</v>
      </c>
      <c r="H1051" s="18">
        <v>203.0384</v>
      </c>
      <c r="I1051" s="8">
        <v>6.5710408993991054E-2</v>
      </c>
      <c r="J1051" s="8">
        <v>7.93089909697684E-2</v>
      </c>
      <c r="K1051" s="8">
        <v>0.25232048288821801</v>
      </c>
      <c r="L1051" s="8">
        <v>1.233658626403966E-2</v>
      </c>
      <c r="M1051" s="18">
        <v>0.40967646911601707</v>
      </c>
    </row>
    <row r="1052" spans="1:13" x14ac:dyDescent="0.45">
      <c r="A1052" t="s">
        <v>987</v>
      </c>
      <c r="B1052" s="18">
        <v>45.36</v>
      </c>
      <c r="C1052" s="18">
        <v>42.64</v>
      </c>
      <c r="D1052" s="18">
        <v>46.84</v>
      </c>
      <c r="E1052" s="18">
        <v>36.26</v>
      </c>
      <c r="F1052" s="18">
        <v>31.92</v>
      </c>
      <c r="G1052" s="18">
        <v>44.923199999999987</v>
      </c>
      <c r="H1052" s="18">
        <v>42.307650000000002</v>
      </c>
      <c r="I1052" s="8">
        <v>6.3789868667917471E-2</v>
      </c>
      <c r="J1052" s="8">
        <v>-3.1596925704526102E-2</v>
      </c>
      <c r="K1052" s="8">
        <v>0.25096525096525091</v>
      </c>
      <c r="L1052" s="8">
        <v>0.42105263157894729</v>
      </c>
      <c r="M1052" s="18">
        <v>0.70421082550758962</v>
      </c>
    </row>
    <row r="1053" spans="1:13" x14ac:dyDescent="0.45">
      <c r="A1053" t="s">
        <v>40</v>
      </c>
      <c r="B1053" s="18">
        <v>149.07</v>
      </c>
      <c r="C1053" s="18">
        <v>136.29</v>
      </c>
      <c r="D1053" s="18">
        <v>143.03</v>
      </c>
      <c r="E1053" s="18">
        <v>119.25</v>
      </c>
      <c r="F1053" s="18">
        <v>194.61</v>
      </c>
      <c r="G1053" s="18">
        <v>142.76759999999999</v>
      </c>
      <c r="H1053" s="18">
        <v>147.59125</v>
      </c>
      <c r="I1053" s="8">
        <v>9.3770636143517549E-2</v>
      </c>
      <c r="J1053" s="8">
        <v>4.2228903027336839E-2</v>
      </c>
      <c r="K1053" s="8">
        <v>0.250062893081761</v>
      </c>
      <c r="L1053" s="8">
        <v>-0.2340064744874365</v>
      </c>
      <c r="M1053" s="18">
        <v>0.15205595776517891</v>
      </c>
    </row>
    <row r="1054" spans="1:13" x14ac:dyDescent="0.45">
      <c r="A1054" t="s">
        <v>793</v>
      </c>
      <c r="B1054" s="18">
        <v>18.399999999999999</v>
      </c>
      <c r="C1054" s="18">
        <v>18.55</v>
      </c>
      <c r="D1054" s="18">
        <v>16.02</v>
      </c>
      <c r="E1054" s="18">
        <v>14.72</v>
      </c>
      <c r="F1054" s="18">
        <v>18.170000000000002</v>
      </c>
      <c r="G1054" s="18">
        <v>17.8462</v>
      </c>
      <c r="H1054" s="18">
        <v>16.529299999999999</v>
      </c>
      <c r="I1054" s="8">
        <v>-8.0862533692723781E-3</v>
      </c>
      <c r="J1054" s="8">
        <v>0.14856429463171031</v>
      </c>
      <c r="K1054" s="8">
        <v>0.24999999999999981</v>
      </c>
      <c r="L1054" s="8">
        <v>1.265822784810111E-2</v>
      </c>
      <c r="M1054" s="18">
        <v>0.40313626911053879</v>
      </c>
    </row>
    <row r="1055" spans="1:13" x14ac:dyDescent="0.45">
      <c r="A1055" t="s">
        <v>64</v>
      </c>
      <c r="B1055" s="18">
        <v>68.73</v>
      </c>
      <c r="C1055" s="18">
        <v>63.35</v>
      </c>
      <c r="D1055" s="18">
        <v>59.17</v>
      </c>
      <c r="E1055" s="18">
        <v>55.01</v>
      </c>
      <c r="F1055" s="18">
        <v>50.95</v>
      </c>
      <c r="G1055" s="18">
        <v>63.869399999999999</v>
      </c>
      <c r="H1055" s="18">
        <v>58.669849999999997</v>
      </c>
      <c r="I1055" s="8">
        <v>8.4925019731649565E-2</v>
      </c>
      <c r="J1055" s="8">
        <v>0.16156836234578331</v>
      </c>
      <c r="K1055" s="8">
        <v>0.24940919832757699</v>
      </c>
      <c r="L1055" s="8">
        <v>0.34896957801766448</v>
      </c>
      <c r="M1055" s="18">
        <v>0.84487215842267438</v>
      </c>
    </row>
    <row r="1056" spans="1:13" x14ac:dyDescent="0.45">
      <c r="A1056" t="s">
        <v>2367</v>
      </c>
      <c r="B1056" s="18">
        <v>34.22</v>
      </c>
      <c r="C1056" s="18">
        <v>33.69</v>
      </c>
      <c r="D1056" s="18">
        <v>31.93</v>
      </c>
      <c r="E1056" s="18">
        <v>27.39</v>
      </c>
      <c r="F1056" s="18">
        <v>33.049999999999997</v>
      </c>
      <c r="G1056" s="18">
        <v>33.465600000000002</v>
      </c>
      <c r="H1056" s="18">
        <v>31.798549999999999</v>
      </c>
      <c r="I1056" s="8">
        <v>1.573167111902651E-2</v>
      </c>
      <c r="J1056" s="8">
        <v>7.1719386157218956E-2</v>
      </c>
      <c r="K1056" s="8">
        <v>0.24936108068638169</v>
      </c>
      <c r="L1056" s="8">
        <v>3.5400907715582568E-2</v>
      </c>
      <c r="M1056" s="18">
        <v>0.37221304567820979</v>
      </c>
    </row>
    <row r="1057" spans="1:13" x14ac:dyDescent="0.45">
      <c r="A1057" t="s">
        <v>2359</v>
      </c>
      <c r="B1057" s="18">
        <v>7.83</v>
      </c>
      <c r="C1057" s="18">
        <v>8.35</v>
      </c>
      <c r="D1057" s="18">
        <v>10.48</v>
      </c>
      <c r="E1057" s="18">
        <v>6.27</v>
      </c>
      <c r="F1057" s="18">
        <v>7.3</v>
      </c>
      <c r="G1057" s="18">
        <v>8.4187999999999992</v>
      </c>
      <c r="H1057" s="18">
        <v>8.2401499999999999</v>
      </c>
      <c r="I1057" s="8">
        <v>-6.2275449101796387E-2</v>
      </c>
      <c r="J1057" s="8">
        <v>-0.25286259541984729</v>
      </c>
      <c r="K1057" s="8">
        <v>0.24880382775119639</v>
      </c>
      <c r="L1057" s="8">
        <v>7.2602739726027377E-2</v>
      </c>
      <c r="M1057" s="18">
        <v>6.2685229555800026E-3</v>
      </c>
    </row>
    <row r="1058" spans="1:13" x14ac:dyDescent="0.45">
      <c r="A1058" t="s">
        <v>1164</v>
      </c>
      <c r="B1058" s="18">
        <v>54.34</v>
      </c>
      <c r="C1058" s="18">
        <v>55.29</v>
      </c>
      <c r="D1058" s="18">
        <v>59.78</v>
      </c>
      <c r="E1058" s="18">
        <v>43.53</v>
      </c>
      <c r="F1058" s="18">
        <v>47.72</v>
      </c>
      <c r="G1058" s="18">
        <v>55.155000000000001</v>
      </c>
      <c r="H1058" s="18">
        <v>52.475499999999997</v>
      </c>
      <c r="I1058" s="8">
        <v>-1.7182130584192379E-2</v>
      </c>
      <c r="J1058" s="8">
        <v>-9.100033456005352E-2</v>
      </c>
      <c r="K1058" s="8">
        <v>0.24833448196645991</v>
      </c>
      <c r="L1058" s="8">
        <v>0.13872590108968999</v>
      </c>
      <c r="M1058" s="18">
        <v>0.27887791791190403</v>
      </c>
    </row>
    <row r="1059" spans="1:13" x14ac:dyDescent="0.45">
      <c r="A1059" t="s">
        <v>2460</v>
      </c>
      <c r="B1059" s="18">
        <v>6.74</v>
      </c>
      <c r="C1059" s="18">
        <v>3.86</v>
      </c>
      <c r="D1059" s="18">
        <v>6.1</v>
      </c>
      <c r="E1059" s="18">
        <v>5.4</v>
      </c>
      <c r="F1059" s="18">
        <v>22.6</v>
      </c>
      <c r="G1059" s="18">
        <v>4.5160999999999998</v>
      </c>
      <c r="H1059" s="18">
        <v>6.9305150000000006</v>
      </c>
      <c r="I1059" s="8">
        <v>0.74611398963730591</v>
      </c>
      <c r="J1059" s="8">
        <v>0.1049180327868853</v>
      </c>
      <c r="K1059" s="8">
        <v>0.24814814814814801</v>
      </c>
      <c r="L1059" s="8">
        <v>-0.7017699115044248</v>
      </c>
      <c r="M1059" s="18">
        <v>0.39741025906791438</v>
      </c>
    </row>
    <row r="1060" spans="1:13" x14ac:dyDescent="0.45">
      <c r="A1060" t="s">
        <v>1394</v>
      </c>
      <c r="B1060" s="18">
        <v>31.58</v>
      </c>
      <c r="C1060" s="18">
        <v>31.79</v>
      </c>
      <c r="D1060" s="18">
        <v>31.3</v>
      </c>
      <c r="E1060" s="18">
        <v>25.31</v>
      </c>
      <c r="F1060" s="18">
        <v>32.85</v>
      </c>
      <c r="G1060" s="18">
        <v>30.6904</v>
      </c>
      <c r="H1060" s="18">
        <v>29.843499999999999</v>
      </c>
      <c r="I1060" s="8">
        <v>-6.6058508965083362E-3</v>
      </c>
      <c r="J1060" s="8">
        <v>8.9456869009583162E-3</v>
      </c>
      <c r="K1060" s="8">
        <v>0.2477281706835244</v>
      </c>
      <c r="L1060" s="8">
        <v>-3.8660578386605859E-2</v>
      </c>
      <c r="M1060" s="18">
        <v>0.21140742830136849</v>
      </c>
    </row>
    <row r="1061" spans="1:13" x14ac:dyDescent="0.45">
      <c r="A1061" t="s">
        <v>842</v>
      </c>
      <c r="B1061" s="18">
        <v>12.85</v>
      </c>
      <c r="C1061" s="18">
        <v>13.66</v>
      </c>
      <c r="D1061" s="18">
        <v>9.27</v>
      </c>
      <c r="E1061" s="18">
        <v>10.3</v>
      </c>
      <c r="F1061" s="18">
        <v>13.33</v>
      </c>
      <c r="G1061" s="18">
        <v>13.2624</v>
      </c>
      <c r="H1061" s="18">
        <v>11.016349999999999</v>
      </c>
      <c r="I1061" s="8">
        <v>-5.9297218155197728E-2</v>
      </c>
      <c r="J1061" s="8">
        <v>0.38619201725997843</v>
      </c>
      <c r="K1061" s="8">
        <v>0.2475728155339805</v>
      </c>
      <c r="L1061" s="8">
        <v>-3.6009002250562687E-2</v>
      </c>
      <c r="M1061" s="18">
        <v>0.53845861238819848</v>
      </c>
    </row>
    <row r="1062" spans="1:13" x14ac:dyDescent="0.45">
      <c r="A1062" t="s">
        <v>1274</v>
      </c>
      <c r="B1062" s="18">
        <v>60.41</v>
      </c>
      <c r="C1062" s="18">
        <v>61.17</v>
      </c>
      <c r="D1062" s="18">
        <v>64.06</v>
      </c>
      <c r="E1062" s="18">
        <v>48.43</v>
      </c>
      <c r="F1062" s="18">
        <v>77.72</v>
      </c>
      <c r="G1062" s="18">
        <v>59.561000000000007</v>
      </c>
      <c r="H1062" s="18">
        <v>58.532200000000003</v>
      </c>
      <c r="I1062" s="8">
        <v>-1.242439104136017E-2</v>
      </c>
      <c r="J1062" s="8">
        <v>-5.6977833281298913E-2</v>
      </c>
      <c r="K1062" s="8">
        <v>0.2473673342969234</v>
      </c>
      <c r="L1062" s="8">
        <v>-0.22272259392691721</v>
      </c>
      <c r="M1062" s="18">
        <v>-4.4757483952652888E-2</v>
      </c>
    </row>
    <row r="1063" spans="1:13" x14ac:dyDescent="0.45">
      <c r="A1063" t="s">
        <v>1180</v>
      </c>
      <c r="B1063" s="18">
        <v>15.18</v>
      </c>
      <c r="C1063" s="18">
        <v>14.97</v>
      </c>
      <c r="D1063" s="18">
        <v>14.53</v>
      </c>
      <c r="E1063" s="18">
        <v>12.17</v>
      </c>
      <c r="F1063" s="18">
        <v>14.34</v>
      </c>
      <c r="G1063" s="18">
        <v>14.868600000000001</v>
      </c>
      <c r="H1063" s="18">
        <v>14.3582</v>
      </c>
      <c r="I1063" s="8">
        <v>1.402805611222435E-2</v>
      </c>
      <c r="J1063" s="8">
        <v>4.4735030970405987E-2</v>
      </c>
      <c r="K1063" s="8">
        <v>0.24732949876746099</v>
      </c>
      <c r="L1063" s="8">
        <v>5.8577405857740628E-2</v>
      </c>
      <c r="M1063" s="18">
        <v>0.36466999170783199</v>
      </c>
    </row>
    <row r="1064" spans="1:13" x14ac:dyDescent="0.45">
      <c r="A1064" t="s">
        <v>389</v>
      </c>
      <c r="B1064" s="18">
        <v>45.04</v>
      </c>
      <c r="C1064" s="18">
        <v>45.14</v>
      </c>
      <c r="D1064" s="18">
        <v>45.85</v>
      </c>
      <c r="E1064" s="18">
        <v>36.11</v>
      </c>
      <c r="F1064" s="18">
        <v>55.76</v>
      </c>
      <c r="G1064" s="18">
        <v>45.562399999999997</v>
      </c>
      <c r="H1064" s="18">
        <v>45.341549999999998</v>
      </c>
      <c r="I1064" s="8">
        <v>-2.2153300841826211E-3</v>
      </c>
      <c r="J1064" s="8">
        <v>-1.7666303162486411E-2</v>
      </c>
      <c r="K1064" s="8">
        <v>0.24729991692052061</v>
      </c>
      <c r="L1064" s="8">
        <v>-0.1922525107604017</v>
      </c>
      <c r="M1064" s="18">
        <v>3.51657729134498E-2</v>
      </c>
    </row>
    <row r="1065" spans="1:13" x14ac:dyDescent="0.45">
      <c r="A1065" t="s">
        <v>1404</v>
      </c>
      <c r="B1065" s="18">
        <v>31.45</v>
      </c>
      <c r="C1065" s="18">
        <v>34.67</v>
      </c>
      <c r="D1065" s="18">
        <v>30.75</v>
      </c>
      <c r="E1065" s="18">
        <v>25.22</v>
      </c>
      <c r="F1065" s="18">
        <v>32.619999999999997</v>
      </c>
      <c r="G1065" s="18">
        <v>33.097999999999999</v>
      </c>
      <c r="H1065" s="18">
        <v>30.055350000000001</v>
      </c>
      <c r="I1065" s="8">
        <v>-9.2875685030285648E-2</v>
      </c>
      <c r="J1065" s="8">
        <v>2.2764227642276369E-2</v>
      </c>
      <c r="K1065" s="8">
        <v>0.24702616970658209</v>
      </c>
      <c r="L1065" s="8">
        <v>-3.5867565910484338E-2</v>
      </c>
      <c r="M1065" s="18">
        <v>0.14104714640808849</v>
      </c>
    </row>
    <row r="1066" spans="1:13" x14ac:dyDescent="0.45">
      <c r="A1066" t="s">
        <v>229</v>
      </c>
      <c r="B1066" s="18">
        <v>281.35000000000002</v>
      </c>
      <c r="C1066" s="18">
        <v>270.66000000000003</v>
      </c>
      <c r="D1066" s="18">
        <v>266.79000000000002</v>
      </c>
      <c r="E1066" s="18">
        <v>225.65</v>
      </c>
      <c r="F1066" s="18">
        <v>251.02</v>
      </c>
      <c r="G1066" s="18">
        <v>273.31259999999997</v>
      </c>
      <c r="H1066" s="18">
        <v>259.1395</v>
      </c>
      <c r="I1066" s="8">
        <v>3.9496046700657539E-2</v>
      </c>
      <c r="J1066" s="8">
        <v>5.4574759173882097E-2</v>
      </c>
      <c r="K1066" s="8">
        <v>0.24684245512962549</v>
      </c>
      <c r="L1066" s="8">
        <v>0.1208270257350013</v>
      </c>
      <c r="M1066" s="18">
        <v>0.46174028673916651</v>
      </c>
    </row>
    <row r="1067" spans="1:13" x14ac:dyDescent="0.45">
      <c r="A1067" t="s">
        <v>1698</v>
      </c>
      <c r="B1067" s="18">
        <v>20.170000000000002</v>
      </c>
      <c r="C1067" s="18">
        <v>19.34</v>
      </c>
      <c r="D1067" s="18">
        <v>19.38</v>
      </c>
      <c r="E1067" s="18">
        <v>16.18</v>
      </c>
      <c r="F1067" s="18">
        <v>17</v>
      </c>
      <c r="G1067" s="18">
        <v>19.645511760000002</v>
      </c>
      <c r="H1067" s="18">
        <v>17.931015940000002</v>
      </c>
      <c r="I1067" s="8">
        <v>4.2916235780765311E-2</v>
      </c>
      <c r="J1067" s="8">
        <v>4.0763673890608983E-2</v>
      </c>
      <c r="K1067" s="8">
        <v>0.246600741656366</v>
      </c>
      <c r="L1067" s="8">
        <v>0.18647058823529419</v>
      </c>
      <c r="M1067" s="18">
        <v>0.51675123956303448</v>
      </c>
    </row>
    <row r="1068" spans="1:13" x14ac:dyDescent="0.45">
      <c r="A1068" t="s">
        <v>911</v>
      </c>
      <c r="B1068" s="18">
        <v>13.05</v>
      </c>
      <c r="C1068" s="18">
        <v>14.51</v>
      </c>
      <c r="D1068" s="18">
        <v>14.14</v>
      </c>
      <c r="E1068" s="18">
        <v>10.47</v>
      </c>
      <c r="F1068" s="18">
        <v>15.41</v>
      </c>
      <c r="G1068" s="18">
        <v>13.7866</v>
      </c>
      <c r="H1068" s="18">
        <v>13.59365</v>
      </c>
      <c r="I1068" s="8">
        <v>-0.1006202618883528</v>
      </c>
      <c r="J1068" s="8">
        <v>-7.7086280056577028E-2</v>
      </c>
      <c r="K1068" s="8">
        <v>0.2464183381088825</v>
      </c>
      <c r="L1068" s="8">
        <v>-0.15314730694354309</v>
      </c>
      <c r="M1068" s="18">
        <v>-8.4435510779590439E-2</v>
      </c>
    </row>
    <row r="1069" spans="1:13" x14ac:dyDescent="0.45">
      <c r="A1069" t="s">
        <v>2355</v>
      </c>
      <c r="B1069" s="18">
        <v>2.58</v>
      </c>
      <c r="C1069" s="18">
        <v>2.57</v>
      </c>
      <c r="D1069" s="18">
        <v>2.5099999999999998</v>
      </c>
      <c r="E1069" s="18">
        <v>2.0699999999999998</v>
      </c>
      <c r="F1069" s="18">
        <v>1.84</v>
      </c>
      <c r="G1069" s="18">
        <v>2.5125999999999999</v>
      </c>
      <c r="H1069" s="18">
        <v>2.5890499999999999</v>
      </c>
      <c r="I1069" s="8">
        <v>3.8910505836575742E-3</v>
      </c>
      <c r="J1069" s="8">
        <v>2.788844621513964E-2</v>
      </c>
      <c r="K1069" s="8">
        <v>0.2463768115942031</v>
      </c>
      <c r="L1069" s="8">
        <v>0.40217391304347833</v>
      </c>
      <c r="M1069" s="18">
        <v>0.68033022143647859</v>
      </c>
    </row>
    <row r="1070" spans="1:13" x14ac:dyDescent="0.45">
      <c r="A1070" t="s">
        <v>2538</v>
      </c>
      <c r="B1070" s="18">
        <v>6.64</v>
      </c>
      <c r="C1070" s="18">
        <v>6.25</v>
      </c>
      <c r="D1070" s="18">
        <v>6.21</v>
      </c>
      <c r="E1070" s="18">
        <v>5.33</v>
      </c>
      <c r="F1070" s="18">
        <v>6.16</v>
      </c>
      <c r="G1070" s="18">
        <v>6.315500000000001</v>
      </c>
      <c r="H1070" s="18">
        <v>6.0625999999999998</v>
      </c>
      <c r="I1070" s="8">
        <v>6.2400000000000011E-2</v>
      </c>
      <c r="J1070" s="8">
        <v>6.9243156199677802E-2</v>
      </c>
      <c r="K1070" s="8">
        <v>0.24577861163226999</v>
      </c>
      <c r="L1070" s="8">
        <v>7.7922077922077948E-2</v>
      </c>
      <c r="M1070" s="18">
        <v>0.45534384575402581</v>
      </c>
    </row>
    <row r="1071" spans="1:13" x14ac:dyDescent="0.45">
      <c r="A1071" t="s">
        <v>637</v>
      </c>
      <c r="B1071" s="18">
        <v>9.94</v>
      </c>
      <c r="C1071" s="18">
        <v>11.02</v>
      </c>
      <c r="D1071" s="18">
        <v>10.06</v>
      </c>
      <c r="E1071" s="18">
        <v>7.98</v>
      </c>
      <c r="F1071" s="18">
        <v>8.89</v>
      </c>
      <c r="G1071" s="18">
        <v>10.3156</v>
      </c>
      <c r="H1071" s="18">
        <v>9.689449999999999</v>
      </c>
      <c r="I1071" s="8">
        <v>-9.8003629764065292E-2</v>
      </c>
      <c r="J1071" s="8">
        <v>-1.19284294234594E-2</v>
      </c>
      <c r="K1071" s="8">
        <v>0.2456140350877192</v>
      </c>
      <c r="L1071" s="8">
        <v>0.1181102362204722</v>
      </c>
      <c r="M1071" s="18">
        <v>0.25379221212066672</v>
      </c>
    </row>
    <row r="1072" spans="1:13" x14ac:dyDescent="0.45">
      <c r="A1072" t="s">
        <v>1276</v>
      </c>
      <c r="B1072" s="18">
        <v>13.75</v>
      </c>
      <c r="C1072" s="18">
        <v>13.4</v>
      </c>
      <c r="D1072" s="18">
        <v>12.16</v>
      </c>
      <c r="E1072" s="18">
        <v>11.04</v>
      </c>
      <c r="F1072" s="18">
        <v>19.25</v>
      </c>
      <c r="G1072" s="18">
        <v>13.1082</v>
      </c>
      <c r="H1072" s="18">
        <v>13.81115</v>
      </c>
      <c r="I1072" s="8">
        <v>2.611940298507465E-2</v>
      </c>
      <c r="J1072" s="8">
        <v>0.13075657894736839</v>
      </c>
      <c r="K1072" s="8">
        <v>0.24547101449275369</v>
      </c>
      <c r="L1072" s="8">
        <v>-0.2857142857142857</v>
      </c>
      <c r="M1072" s="18">
        <v>0.116632710710911</v>
      </c>
    </row>
    <row r="1073" spans="1:13" x14ac:dyDescent="0.45">
      <c r="A1073" t="s">
        <v>1221</v>
      </c>
      <c r="B1073" s="18">
        <v>5.94</v>
      </c>
      <c r="C1073" s="18">
        <v>5.91</v>
      </c>
      <c r="D1073" s="18">
        <v>5.57</v>
      </c>
      <c r="E1073" s="18">
        <v>4.7699999999999996</v>
      </c>
      <c r="F1073" s="18">
        <v>6.7</v>
      </c>
      <c r="G1073" s="18">
        <v>5.6214000000000004</v>
      </c>
      <c r="H1073" s="18">
        <v>5.3767999999999994</v>
      </c>
      <c r="I1073" s="8">
        <v>5.0761421319798217E-3</v>
      </c>
      <c r="J1073" s="8">
        <v>6.6427289048474059E-2</v>
      </c>
      <c r="K1073" s="8">
        <v>0.2452830188679247</v>
      </c>
      <c r="L1073" s="8">
        <v>-0.1134328358208955</v>
      </c>
      <c r="M1073" s="18">
        <v>0.2033536142274831</v>
      </c>
    </row>
    <row r="1074" spans="1:13" x14ac:dyDescent="0.45">
      <c r="A1074" t="s">
        <v>497</v>
      </c>
      <c r="B1074" s="18">
        <v>199.47</v>
      </c>
      <c r="C1074" s="18">
        <v>190.06</v>
      </c>
      <c r="D1074" s="18">
        <v>213.75</v>
      </c>
      <c r="E1074" s="18">
        <v>160.22</v>
      </c>
      <c r="F1074" s="18">
        <v>183.3</v>
      </c>
      <c r="G1074" s="18">
        <v>192.79660000000001</v>
      </c>
      <c r="H1074" s="18">
        <v>193.94165000000001</v>
      </c>
      <c r="I1074" s="8">
        <v>4.9510680837630217E-2</v>
      </c>
      <c r="J1074" s="8">
        <v>-6.6807017543859648E-2</v>
      </c>
      <c r="K1074" s="8">
        <v>0.24497565846960431</v>
      </c>
      <c r="L1074" s="8">
        <v>8.8216039279868985E-2</v>
      </c>
      <c r="M1074" s="18">
        <v>0.31589536104324389</v>
      </c>
    </row>
    <row r="1075" spans="1:13" x14ac:dyDescent="0.45">
      <c r="A1075" t="s">
        <v>2320</v>
      </c>
      <c r="B1075" s="18">
        <v>198.21</v>
      </c>
      <c r="C1075" s="18">
        <v>200.8</v>
      </c>
      <c r="D1075" s="18">
        <v>170.39</v>
      </c>
      <c r="E1075" s="18">
        <v>159.32</v>
      </c>
      <c r="F1075" s="18">
        <v>180.02</v>
      </c>
      <c r="G1075" s="18">
        <v>194.6902</v>
      </c>
      <c r="H1075" s="18">
        <v>185.607</v>
      </c>
      <c r="I1075" s="8">
        <v>-1.289840637450201E-2</v>
      </c>
      <c r="J1075" s="8">
        <v>0.16327249251716669</v>
      </c>
      <c r="K1075" s="8">
        <v>0.24409992467988961</v>
      </c>
      <c r="L1075" s="8">
        <v>0.1010443284079547</v>
      </c>
      <c r="M1075" s="18">
        <v>0.49551833923050898</v>
      </c>
    </row>
    <row r="1076" spans="1:13" x14ac:dyDescent="0.45">
      <c r="A1076" t="s">
        <v>1236</v>
      </c>
      <c r="B1076" s="18">
        <v>25.14</v>
      </c>
      <c r="C1076" s="18">
        <v>25.48</v>
      </c>
      <c r="D1076" s="18">
        <v>22.68</v>
      </c>
      <c r="E1076" s="18">
        <v>20.21</v>
      </c>
      <c r="F1076" s="18">
        <v>26.41</v>
      </c>
      <c r="G1076" s="18">
        <v>25.619599999999998</v>
      </c>
      <c r="H1076" s="18">
        <v>24.00825</v>
      </c>
      <c r="I1076" s="8">
        <v>-1.3343799058084801E-2</v>
      </c>
      <c r="J1076" s="8">
        <v>0.1084656084656086</v>
      </c>
      <c r="K1076" s="8">
        <v>0.24393864423552691</v>
      </c>
      <c r="L1076" s="8">
        <v>-4.8087845513063221E-2</v>
      </c>
      <c r="M1076" s="18">
        <v>0.29097260812998749</v>
      </c>
    </row>
    <row r="1077" spans="1:13" x14ac:dyDescent="0.45">
      <c r="A1077" t="s">
        <v>95</v>
      </c>
      <c r="B1077" s="18">
        <v>181.6</v>
      </c>
      <c r="C1077" s="18">
        <v>185.03</v>
      </c>
      <c r="D1077" s="18">
        <v>219.66</v>
      </c>
      <c r="E1077" s="18">
        <v>146.01</v>
      </c>
      <c r="F1077" s="18">
        <v>202.71</v>
      </c>
      <c r="G1077" s="18">
        <v>188.22989999999999</v>
      </c>
      <c r="H1077" s="18">
        <v>186.73672500000001</v>
      </c>
      <c r="I1077" s="8">
        <v>-1.853753445387241E-2</v>
      </c>
      <c r="J1077" s="8">
        <v>-0.17326777747427849</v>
      </c>
      <c r="K1077" s="8">
        <v>0.24375042805287311</v>
      </c>
      <c r="L1077" s="8">
        <v>-0.1041389176656308</v>
      </c>
      <c r="M1077" s="18">
        <v>-5.219380154090858E-2</v>
      </c>
    </row>
    <row r="1078" spans="1:13" x14ac:dyDescent="0.45">
      <c r="A1078" t="s">
        <v>2202</v>
      </c>
      <c r="B1078" s="18">
        <v>47.55</v>
      </c>
      <c r="C1078" s="18">
        <v>51.51</v>
      </c>
      <c r="D1078" s="18">
        <v>55.11</v>
      </c>
      <c r="E1078" s="18">
        <v>38.270000000000003</v>
      </c>
      <c r="F1078" s="18">
        <v>43.83</v>
      </c>
      <c r="G1078" s="18">
        <v>49.683200000000006</v>
      </c>
      <c r="H1078" s="18">
        <v>49.614849999999997</v>
      </c>
      <c r="I1078" s="8">
        <v>-7.687827606290043E-2</v>
      </c>
      <c r="J1078" s="8">
        <v>-0.13718018508437679</v>
      </c>
      <c r="K1078" s="8">
        <v>0.2424875881891819</v>
      </c>
      <c r="L1078" s="8">
        <v>8.4873374401095214E-2</v>
      </c>
      <c r="M1078" s="18">
        <v>0.1133025014429999</v>
      </c>
    </row>
    <row r="1079" spans="1:13" x14ac:dyDescent="0.45">
      <c r="A1079" t="s">
        <v>596</v>
      </c>
      <c r="B1079" s="18">
        <v>240.37</v>
      </c>
      <c r="C1079" s="18">
        <v>237.73</v>
      </c>
      <c r="D1079" s="18">
        <v>234.37</v>
      </c>
      <c r="E1079" s="18">
        <v>193.54</v>
      </c>
      <c r="F1079" s="18">
        <v>230.73</v>
      </c>
      <c r="G1079" s="18">
        <v>232.6396</v>
      </c>
      <c r="H1079" s="18">
        <v>217.88695000000001</v>
      </c>
      <c r="I1079" s="8">
        <v>1.1105035123880169E-2</v>
      </c>
      <c r="J1079" s="8">
        <v>2.5600546144984419E-2</v>
      </c>
      <c r="K1079" s="8">
        <v>0.2419654851710242</v>
      </c>
      <c r="L1079" s="8">
        <v>4.1780436007454742E-2</v>
      </c>
      <c r="M1079" s="18">
        <v>0.32045150244734361</v>
      </c>
    </row>
    <row r="1080" spans="1:13" x14ac:dyDescent="0.45">
      <c r="A1080" t="s">
        <v>283</v>
      </c>
      <c r="B1080" s="18">
        <v>23.92</v>
      </c>
      <c r="C1080" s="18">
        <v>21.75</v>
      </c>
      <c r="D1080" s="18">
        <v>22.16</v>
      </c>
      <c r="E1080" s="18">
        <v>19.260000000000002</v>
      </c>
      <c r="F1080" s="18">
        <v>31.09</v>
      </c>
      <c r="G1080" s="18">
        <v>22.4908</v>
      </c>
      <c r="H1080" s="18">
        <v>23.26295</v>
      </c>
      <c r="I1080" s="8">
        <v>9.9770114942528743E-2</v>
      </c>
      <c r="J1080" s="8">
        <v>7.9422382671480163E-2</v>
      </c>
      <c r="K1080" s="8">
        <v>0.24195223260643831</v>
      </c>
      <c r="L1080" s="8">
        <v>-0.23062077838533279</v>
      </c>
      <c r="M1080" s="18">
        <v>0.19052395183511439</v>
      </c>
    </row>
    <row r="1081" spans="1:13" x14ac:dyDescent="0.45">
      <c r="A1081" t="s">
        <v>2061</v>
      </c>
      <c r="B1081" s="18">
        <v>46.66</v>
      </c>
      <c r="C1081" s="18">
        <v>35.229999999999997</v>
      </c>
      <c r="D1081" s="18">
        <v>35.79</v>
      </c>
      <c r="E1081" s="18">
        <v>37.57</v>
      </c>
      <c r="F1081" s="18">
        <v>40.840000000000003</v>
      </c>
      <c r="G1081" s="18">
        <v>37.299799999999998</v>
      </c>
      <c r="H1081" s="18">
        <v>37.065950000000001</v>
      </c>
      <c r="I1081" s="8">
        <v>0.32443939824013629</v>
      </c>
      <c r="J1081" s="8">
        <v>0.30371612182173791</v>
      </c>
      <c r="K1081" s="8">
        <v>0.24194836305562939</v>
      </c>
      <c r="L1081" s="8">
        <v>0.14250734573947099</v>
      </c>
      <c r="M1081" s="18">
        <v>1.0126112288569751</v>
      </c>
    </row>
    <row r="1082" spans="1:13" x14ac:dyDescent="0.45">
      <c r="A1082" t="s">
        <v>1716</v>
      </c>
      <c r="B1082" s="18">
        <v>45.54</v>
      </c>
      <c r="C1082" s="18">
        <v>47.26</v>
      </c>
      <c r="D1082" s="18">
        <v>52.05</v>
      </c>
      <c r="E1082" s="18">
        <v>36.67</v>
      </c>
      <c r="F1082" s="18">
        <v>54.08</v>
      </c>
      <c r="G1082" s="18">
        <v>47.430399999999999</v>
      </c>
      <c r="H1082" s="18">
        <v>49.397399999999998</v>
      </c>
      <c r="I1082" s="8">
        <v>-3.6394413880660108E-2</v>
      </c>
      <c r="J1082" s="8">
        <v>-0.12507204610951009</v>
      </c>
      <c r="K1082" s="8">
        <v>0.24188710117262069</v>
      </c>
      <c r="L1082" s="8">
        <v>-0.15791420118343191</v>
      </c>
      <c r="M1082" s="18">
        <v>-7.7493560000981399E-2</v>
      </c>
    </row>
    <row r="1083" spans="1:13" x14ac:dyDescent="0.45">
      <c r="A1083" t="s">
        <v>666</v>
      </c>
      <c r="B1083" s="18">
        <v>64.56</v>
      </c>
      <c r="C1083" s="18">
        <v>58.24</v>
      </c>
      <c r="D1083" s="18">
        <v>76.150000000000006</v>
      </c>
      <c r="E1083" s="18">
        <v>52.02</v>
      </c>
      <c r="F1083" s="18">
        <v>83.32</v>
      </c>
      <c r="G1083" s="18">
        <v>60.954799999999999</v>
      </c>
      <c r="H1083" s="18">
        <v>67.636750000000006</v>
      </c>
      <c r="I1083" s="8">
        <v>0.1085164835164836</v>
      </c>
      <c r="J1083" s="8">
        <v>-0.15219960604070909</v>
      </c>
      <c r="K1083" s="8">
        <v>0.2410611303344867</v>
      </c>
      <c r="L1083" s="8">
        <v>-0.22515602496399409</v>
      </c>
      <c r="M1083" s="18">
        <v>-2.7778017153732959E-2</v>
      </c>
    </row>
    <row r="1084" spans="1:13" x14ac:dyDescent="0.45">
      <c r="A1084" t="s">
        <v>148</v>
      </c>
      <c r="B1084" s="18">
        <v>60.56</v>
      </c>
      <c r="C1084" s="18">
        <v>54.2</v>
      </c>
      <c r="D1084" s="18">
        <v>54.41</v>
      </c>
      <c r="E1084" s="18">
        <v>48.81</v>
      </c>
      <c r="F1084" s="18">
        <v>74.78</v>
      </c>
      <c r="G1084" s="18">
        <v>54.349400000000003</v>
      </c>
      <c r="H1084" s="18">
        <v>57.784700000000001</v>
      </c>
      <c r="I1084" s="8">
        <v>0.1173431734317343</v>
      </c>
      <c r="J1084" s="8">
        <v>0.113030692887337</v>
      </c>
      <c r="K1084" s="8">
        <v>0.2407293587379635</v>
      </c>
      <c r="L1084" s="8">
        <v>-0.19015779620219311</v>
      </c>
      <c r="M1084" s="18">
        <v>0.28094542885484169</v>
      </c>
    </row>
    <row r="1085" spans="1:13" x14ac:dyDescent="0.45">
      <c r="A1085" t="s">
        <v>2162</v>
      </c>
      <c r="B1085" s="18">
        <v>74.12</v>
      </c>
      <c r="C1085" s="18">
        <v>71.92</v>
      </c>
      <c r="D1085" s="18">
        <v>72.3</v>
      </c>
      <c r="E1085" s="18">
        <v>59.75</v>
      </c>
      <c r="F1085" s="18">
        <v>68.510000000000005</v>
      </c>
      <c r="G1085" s="18">
        <v>72.392199999999988</v>
      </c>
      <c r="H1085" s="18">
        <v>68.691949999999991</v>
      </c>
      <c r="I1085" s="8">
        <v>3.058954393770863E-2</v>
      </c>
      <c r="J1085" s="8">
        <v>2.5172890733056841E-2</v>
      </c>
      <c r="K1085" s="8">
        <v>0.2405020920502092</v>
      </c>
      <c r="L1085" s="8">
        <v>8.1885856079404462E-2</v>
      </c>
      <c r="M1085" s="18">
        <v>0.37815038280037921</v>
      </c>
    </row>
    <row r="1086" spans="1:13" x14ac:dyDescent="0.45">
      <c r="A1086" t="s">
        <v>1291</v>
      </c>
      <c r="B1086" s="18">
        <v>4.29</v>
      </c>
      <c r="C1086" s="18">
        <v>4.09</v>
      </c>
      <c r="D1086" s="18">
        <v>3.86</v>
      </c>
      <c r="E1086" s="18">
        <v>3.46</v>
      </c>
      <c r="F1086" s="18">
        <v>3.73</v>
      </c>
      <c r="G1086" s="18">
        <v>4.0688019999999998</v>
      </c>
      <c r="H1086" s="18">
        <v>3.8371105000000001</v>
      </c>
      <c r="I1086" s="8">
        <v>4.8899755501222497E-2</v>
      </c>
      <c r="J1086" s="8">
        <v>0.1113989637305699</v>
      </c>
      <c r="K1086" s="8">
        <v>0.23988439306358389</v>
      </c>
      <c r="L1086" s="8">
        <v>0.15013404825737281</v>
      </c>
      <c r="M1086" s="18">
        <v>0.55031716055274904</v>
      </c>
    </row>
    <row r="1087" spans="1:13" x14ac:dyDescent="0.45">
      <c r="A1087" t="s">
        <v>364</v>
      </c>
      <c r="B1087" s="18">
        <v>122.25</v>
      </c>
      <c r="C1087" s="18">
        <v>135.46</v>
      </c>
      <c r="D1087" s="18">
        <v>113.83</v>
      </c>
      <c r="E1087" s="18">
        <v>98.63</v>
      </c>
      <c r="F1087" s="18">
        <v>154.44</v>
      </c>
      <c r="G1087" s="18">
        <v>128.5428</v>
      </c>
      <c r="H1087" s="18">
        <v>116.27030000000001</v>
      </c>
      <c r="I1087" s="8">
        <v>-9.7519562970618701E-2</v>
      </c>
      <c r="J1087" s="8">
        <v>7.3969955196345527E-2</v>
      </c>
      <c r="K1087" s="8">
        <v>0.23948088816790031</v>
      </c>
      <c r="L1087" s="8">
        <v>-0.2084304584304584</v>
      </c>
      <c r="M1087" s="18">
        <v>7.5008219631687023E-3</v>
      </c>
    </row>
    <row r="1088" spans="1:13" x14ac:dyDescent="0.45">
      <c r="A1088" t="s">
        <v>505</v>
      </c>
      <c r="B1088" s="18">
        <v>169.14</v>
      </c>
      <c r="C1088" s="18">
        <v>168.85</v>
      </c>
      <c r="D1088" s="18">
        <v>152.72</v>
      </c>
      <c r="E1088" s="18">
        <v>136.49</v>
      </c>
      <c r="F1088" s="18">
        <v>125.56</v>
      </c>
      <c r="G1088" s="18">
        <v>168.5078</v>
      </c>
      <c r="H1088" s="18">
        <v>151.91614999999999</v>
      </c>
      <c r="I1088" s="8">
        <v>1.7175007403020799E-3</v>
      </c>
      <c r="J1088" s="8">
        <v>0.10751702462021991</v>
      </c>
      <c r="K1088" s="8">
        <v>0.23921166385815781</v>
      </c>
      <c r="L1088" s="8">
        <v>0.34708505893596658</v>
      </c>
      <c r="M1088" s="18">
        <v>0.69553124815464651</v>
      </c>
    </row>
    <row r="1089" spans="1:13" x14ac:dyDescent="0.45">
      <c r="A1089" t="s">
        <v>1189</v>
      </c>
      <c r="B1089" s="18">
        <v>2.2799999999999998</v>
      </c>
      <c r="C1089" s="18">
        <v>2.48</v>
      </c>
      <c r="D1089" s="18">
        <v>2.58</v>
      </c>
      <c r="E1089" s="18">
        <v>1.84</v>
      </c>
      <c r="F1089" s="18">
        <v>2.08</v>
      </c>
      <c r="G1089" s="18">
        <v>2.4152</v>
      </c>
      <c r="H1089" s="18">
        <v>2.2236500000000001</v>
      </c>
      <c r="I1089" s="8">
        <v>-8.064516129032262E-2</v>
      </c>
      <c r="J1089" s="8">
        <v>-0.116279069767442</v>
      </c>
      <c r="K1089" s="8">
        <v>0.2391304347826084</v>
      </c>
      <c r="L1089" s="8">
        <v>9.6153846153846034E-2</v>
      </c>
      <c r="M1089" s="18">
        <v>0.13836004987868991</v>
      </c>
    </row>
    <row r="1090" spans="1:13" x14ac:dyDescent="0.45">
      <c r="A1090" t="s">
        <v>661</v>
      </c>
      <c r="B1090" s="18">
        <v>18.45</v>
      </c>
      <c r="C1090" s="18">
        <v>17.489999999999998</v>
      </c>
      <c r="D1090" s="18">
        <v>18.93</v>
      </c>
      <c r="E1090" s="18">
        <v>14.89</v>
      </c>
      <c r="F1090" s="18">
        <v>14.31</v>
      </c>
      <c r="G1090" s="18">
        <v>17.804600000000001</v>
      </c>
      <c r="H1090" s="18">
        <v>18.139099999999999</v>
      </c>
      <c r="I1090" s="8">
        <v>5.4888507718696473E-2</v>
      </c>
      <c r="J1090" s="8">
        <v>-2.535657686212367E-2</v>
      </c>
      <c r="K1090" s="8">
        <v>0.23908663532572191</v>
      </c>
      <c r="L1090" s="8">
        <v>0.28930817610062892</v>
      </c>
      <c r="M1090" s="18">
        <v>0.5579267422829236</v>
      </c>
    </row>
    <row r="1091" spans="1:13" x14ac:dyDescent="0.45">
      <c r="A1091" t="s">
        <v>1229</v>
      </c>
      <c r="B1091" s="18">
        <v>18.670000000000002</v>
      </c>
      <c r="C1091" s="18">
        <v>17.22</v>
      </c>
      <c r="D1091" s="18">
        <v>15.93</v>
      </c>
      <c r="E1091" s="18">
        <v>15.07</v>
      </c>
      <c r="F1091" s="18">
        <v>18.64</v>
      </c>
      <c r="G1091" s="18">
        <v>17.183399999999999</v>
      </c>
      <c r="H1091" s="18">
        <v>16.530550000000002</v>
      </c>
      <c r="I1091" s="8">
        <v>8.4204413472706241E-2</v>
      </c>
      <c r="J1091" s="8">
        <v>0.17200251098556191</v>
      </c>
      <c r="K1091" s="8">
        <v>0.23888520238885211</v>
      </c>
      <c r="L1091" s="8">
        <v>1.6094420600858419E-3</v>
      </c>
      <c r="M1091" s="18">
        <v>0.49670156890720613</v>
      </c>
    </row>
    <row r="1092" spans="1:13" x14ac:dyDescent="0.45">
      <c r="A1092" t="s">
        <v>2521</v>
      </c>
      <c r="B1092" s="18">
        <v>33.619999999999997</v>
      </c>
      <c r="C1092" s="18">
        <v>35.61</v>
      </c>
      <c r="D1092" s="18">
        <v>32.880000000000003</v>
      </c>
      <c r="E1092" s="18">
        <v>27.14</v>
      </c>
      <c r="F1092" s="18">
        <v>40.89</v>
      </c>
      <c r="G1092" s="18">
        <v>34.940600000000003</v>
      </c>
      <c r="H1092" s="18">
        <v>33.946950000000001</v>
      </c>
      <c r="I1092" s="8">
        <v>-5.5883178882336508E-2</v>
      </c>
      <c r="J1092" s="8">
        <v>2.250608272506072E-2</v>
      </c>
      <c r="K1092" s="8">
        <v>0.23876197494473089</v>
      </c>
      <c r="L1092" s="8">
        <v>-0.17779408168256311</v>
      </c>
      <c r="M1092" s="18">
        <v>2.7590797104892099E-2</v>
      </c>
    </row>
    <row r="1093" spans="1:13" x14ac:dyDescent="0.45">
      <c r="A1093" t="s">
        <v>579</v>
      </c>
      <c r="B1093" s="18">
        <v>255.19</v>
      </c>
      <c r="C1093" s="18">
        <v>261.61</v>
      </c>
      <c r="D1093" s="18">
        <v>255.95</v>
      </c>
      <c r="E1093" s="18">
        <v>206.03</v>
      </c>
      <c r="F1093" s="18">
        <v>221.86</v>
      </c>
      <c r="G1093" s="18">
        <v>263.6028</v>
      </c>
      <c r="H1093" s="18">
        <v>245.786</v>
      </c>
      <c r="I1093" s="8">
        <v>-2.4540346317036828E-2</v>
      </c>
      <c r="J1093" s="8">
        <v>-2.9693299472552952E-3</v>
      </c>
      <c r="K1093" s="8">
        <v>0.23860602824831331</v>
      </c>
      <c r="L1093" s="8">
        <v>0.150229874695754</v>
      </c>
      <c r="M1093" s="18">
        <v>0.36132622667977521</v>
      </c>
    </row>
    <row r="1094" spans="1:13" x14ac:dyDescent="0.45">
      <c r="A1094" t="s">
        <v>1341</v>
      </c>
      <c r="B1094" s="18">
        <v>3.22</v>
      </c>
      <c r="C1094" s="18">
        <v>3.64</v>
      </c>
      <c r="D1094" s="18">
        <v>3.58</v>
      </c>
      <c r="E1094" s="18">
        <v>2.6</v>
      </c>
      <c r="F1094" s="18">
        <v>3.92</v>
      </c>
      <c r="G1094" s="18">
        <v>3.5743999999999998</v>
      </c>
      <c r="H1094" s="18">
        <v>3.2424499999999998</v>
      </c>
      <c r="I1094" s="8">
        <v>-0.11538461538461529</v>
      </c>
      <c r="J1094" s="8">
        <v>-0.1005586592178771</v>
      </c>
      <c r="K1094" s="8">
        <v>0.2384615384615385</v>
      </c>
      <c r="L1094" s="8">
        <v>-0.17857142857142849</v>
      </c>
      <c r="M1094" s="18">
        <v>-0.1560531647123824</v>
      </c>
    </row>
    <row r="1095" spans="1:13" x14ac:dyDescent="0.45">
      <c r="A1095" t="s">
        <v>2241</v>
      </c>
      <c r="B1095" s="18">
        <v>173.11</v>
      </c>
      <c r="C1095" s="18">
        <v>190.3</v>
      </c>
      <c r="D1095" s="18">
        <v>168.1</v>
      </c>
      <c r="E1095" s="18">
        <v>139.81</v>
      </c>
      <c r="F1095" s="18">
        <v>191.78</v>
      </c>
      <c r="G1095" s="18">
        <v>183.9794</v>
      </c>
      <c r="H1095" s="18">
        <v>166.34665000000001</v>
      </c>
      <c r="I1095" s="8">
        <v>-9.0331056227009987E-2</v>
      </c>
      <c r="J1095" s="8">
        <v>2.9803688280785279E-2</v>
      </c>
      <c r="K1095" s="8">
        <v>0.23818038766897939</v>
      </c>
      <c r="L1095" s="8">
        <v>-9.7351131504849198E-2</v>
      </c>
      <c r="M1095" s="18">
        <v>8.0301888217905515E-2</v>
      </c>
    </row>
    <row r="1096" spans="1:13" x14ac:dyDescent="0.45">
      <c r="A1096" t="s">
        <v>1296</v>
      </c>
      <c r="B1096" s="18">
        <v>60.68</v>
      </c>
      <c r="C1096" s="18">
        <v>60.23</v>
      </c>
      <c r="D1096" s="18">
        <v>67.489999999999995</v>
      </c>
      <c r="E1096" s="18">
        <v>49.01</v>
      </c>
      <c r="F1096" s="18">
        <v>62.14</v>
      </c>
      <c r="G1096" s="18">
        <v>63.063599999999987</v>
      </c>
      <c r="H1096" s="18">
        <v>60.218350000000001</v>
      </c>
      <c r="I1096" s="8">
        <v>7.4713597874813686E-3</v>
      </c>
      <c r="J1096" s="8">
        <v>-0.1009038376055711</v>
      </c>
      <c r="K1096" s="8">
        <v>0.2381146704754131</v>
      </c>
      <c r="L1096" s="8">
        <v>-2.3495333118764061E-2</v>
      </c>
      <c r="M1096" s="18">
        <v>0.1211868595385593</v>
      </c>
    </row>
    <row r="1097" spans="1:13" x14ac:dyDescent="0.45">
      <c r="A1097" t="s">
        <v>2248</v>
      </c>
      <c r="B1097" s="18">
        <v>30.86</v>
      </c>
      <c r="C1097" s="18">
        <v>31.33</v>
      </c>
      <c r="D1097" s="18">
        <v>30.58</v>
      </c>
      <c r="E1097" s="18">
        <v>24.93</v>
      </c>
      <c r="F1097" s="18">
        <v>25.12</v>
      </c>
      <c r="G1097" s="18">
        <v>30.2834</v>
      </c>
      <c r="H1097" s="18">
        <v>28.4739</v>
      </c>
      <c r="I1097" s="8">
        <v>-1.500159591445893E-2</v>
      </c>
      <c r="J1097" s="8">
        <v>9.1563113145847197E-3</v>
      </c>
      <c r="K1097" s="8">
        <v>0.2378660248696349</v>
      </c>
      <c r="L1097" s="8">
        <v>0.2285031847133758</v>
      </c>
      <c r="M1097" s="18">
        <v>0.46052392498313649</v>
      </c>
    </row>
    <row r="1098" spans="1:13" x14ac:dyDescent="0.45">
      <c r="A1098" t="s">
        <v>2186</v>
      </c>
      <c r="B1098" s="18">
        <v>25.24</v>
      </c>
      <c r="C1098" s="18">
        <v>26.08</v>
      </c>
      <c r="D1098" s="18">
        <v>28.38</v>
      </c>
      <c r="E1098" s="18">
        <v>20.39</v>
      </c>
      <c r="F1098" s="18">
        <v>45.08</v>
      </c>
      <c r="G1098" s="18">
        <v>26.747599999999998</v>
      </c>
      <c r="H1098" s="18">
        <v>29.16</v>
      </c>
      <c r="I1098" s="8">
        <v>-3.2208588957055251E-2</v>
      </c>
      <c r="J1098" s="8">
        <v>-0.1106412966878083</v>
      </c>
      <c r="K1098" s="8">
        <v>0.23786169691025011</v>
      </c>
      <c r="L1098" s="8">
        <v>-0.44010647737355812</v>
      </c>
      <c r="M1098" s="18">
        <v>-0.34509466610817158</v>
      </c>
    </row>
    <row r="1099" spans="1:13" x14ac:dyDescent="0.45">
      <c r="A1099" t="s">
        <v>1680</v>
      </c>
      <c r="B1099" s="18">
        <v>19.95</v>
      </c>
      <c r="C1099" s="18">
        <v>19.989999999999998</v>
      </c>
      <c r="D1099" s="18">
        <v>16.87</v>
      </c>
      <c r="E1099" s="18">
        <v>16.13</v>
      </c>
      <c r="F1099" s="18">
        <v>20.63</v>
      </c>
      <c r="G1099" s="18">
        <v>19.279599999999999</v>
      </c>
      <c r="H1099" s="18">
        <v>18.2989</v>
      </c>
      <c r="I1099" s="8">
        <v>-2.0010005002500941E-3</v>
      </c>
      <c r="J1099" s="8">
        <v>0.18257261410788361</v>
      </c>
      <c r="K1099" s="8">
        <v>0.23682579045257279</v>
      </c>
      <c r="L1099" s="8">
        <v>-3.2961706253029521E-2</v>
      </c>
      <c r="M1099" s="18">
        <v>0.38443569780717679</v>
      </c>
    </row>
    <row r="1100" spans="1:13" x14ac:dyDescent="0.45">
      <c r="A1100" t="s">
        <v>1769</v>
      </c>
      <c r="B1100" s="18">
        <v>13.11</v>
      </c>
      <c r="C1100" s="18">
        <v>13.08</v>
      </c>
      <c r="D1100" s="18">
        <v>12.62</v>
      </c>
      <c r="E1100" s="18">
        <v>10.6</v>
      </c>
      <c r="F1100" s="18">
        <v>12.79</v>
      </c>
      <c r="G1100" s="18">
        <v>12.8744</v>
      </c>
      <c r="H1100" s="18">
        <v>12.431875</v>
      </c>
      <c r="I1100" s="8">
        <v>2.2935779816513069E-3</v>
      </c>
      <c r="J1100" s="8">
        <v>3.882725832012679E-2</v>
      </c>
      <c r="K1100" s="8">
        <v>0.2367924528301886</v>
      </c>
      <c r="L1100" s="8">
        <v>2.5019546520719249E-2</v>
      </c>
      <c r="M1100" s="18">
        <v>0.30293283565268592</v>
      </c>
    </row>
    <row r="1101" spans="1:13" x14ac:dyDescent="0.45">
      <c r="A1101" t="s">
        <v>2276</v>
      </c>
      <c r="B1101" s="18">
        <v>5.85</v>
      </c>
      <c r="C1101" s="18">
        <v>5.51</v>
      </c>
      <c r="D1101" s="18">
        <v>6.42</v>
      </c>
      <c r="E1101" s="18">
        <v>4.7300000000000004</v>
      </c>
      <c r="F1101" s="18">
        <v>7.49</v>
      </c>
      <c r="G1101" s="18">
        <v>6.0789999999999997</v>
      </c>
      <c r="H1101" s="18">
        <v>6.2473499999999991</v>
      </c>
      <c r="I1101" s="8">
        <v>6.1705989110707682E-2</v>
      </c>
      <c r="J1101" s="8">
        <v>-8.8785046728972028E-2</v>
      </c>
      <c r="K1101" s="8">
        <v>0.2367864693446087</v>
      </c>
      <c r="L1101" s="8">
        <v>-0.21895861148197601</v>
      </c>
      <c r="M1101" s="18">
        <v>-9.2511997556317116E-3</v>
      </c>
    </row>
    <row r="1102" spans="1:13" x14ac:dyDescent="0.45">
      <c r="A1102" t="s">
        <v>744</v>
      </c>
      <c r="B1102" s="18">
        <v>3.82</v>
      </c>
      <c r="C1102" s="18">
        <v>6.39</v>
      </c>
      <c r="D1102" s="18">
        <v>6.6</v>
      </c>
      <c r="E1102" s="18">
        <v>3.09</v>
      </c>
      <c r="F1102" s="18">
        <v>8.43</v>
      </c>
      <c r="G1102" s="18">
        <v>6.1424000000000003</v>
      </c>
      <c r="H1102" s="18">
        <v>5.1044</v>
      </c>
      <c r="I1102" s="8">
        <v>-0.40219092331768391</v>
      </c>
      <c r="J1102" s="8">
        <v>-0.42121212121212132</v>
      </c>
      <c r="K1102" s="8">
        <v>0.2362459546925566</v>
      </c>
      <c r="L1102" s="8">
        <v>-0.54685646500593121</v>
      </c>
      <c r="M1102" s="18">
        <v>-1.13401355484318</v>
      </c>
    </row>
    <row r="1103" spans="1:13" x14ac:dyDescent="0.45">
      <c r="A1103" t="s">
        <v>368</v>
      </c>
      <c r="B1103" s="18">
        <v>490.09</v>
      </c>
      <c r="C1103" s="18">
        <v>507.96</v>
      </c>
      <c r="D1103" s="18">
        <v>505.72</v>
      </c>
      <c r="E1103" s="18">
        <v>396.7</v>
      </c>
      <c r="F1103" s="18">
        <v>460.53</v>
      </c>
      <c r="G1103" s="18">
        <v>502.09359999999998</v>
      </c>
      <c r="H1103" s="18">
        <v>482.93284999999997</v>
      </c>
      <c r="I1103" s="8">
        <v>-3.5179935427986482E-2</v>
      </c>
      <c r="J1103" s="8">
        <v>-3.0906430435814421E-2</v>
      </c>
      <c r="K1103" s="8">
        <v>0.23541719183261911</v>
      </c>
      <c r="L1103" s="8">
        <v>6.4186915076108075E-2</v>
      </c>
      <c r="M1103" s="18">
        <v>0.23351774104492631</v>
      </c>
    </row>
    <row r="1104" spans="1:13" x14ac:dyDescent="0.45">
      <c r="A1104" t="s">
        <v>297</v>
      </c>
      <c r="B1104" s="18">
        <v>27.03</v>
      </c>
      <c r="C1104" s="18">
        <v>29.04</v>
      </c>
      <c r="D1104" s="18">
        <v>25.73</v>
      </c>
      <c r="E1104" s="18">
        <v>21.88</v>
      </c>
      <c r="F1104" s="18">
        <v>35.99</v>
      </c>
      <c r="G1104" s="18">
        <v>27.152200000000001</v>
      </c>
      <c r="H1104" s="18">
        <v>28.039000000000001</v>
      </c>
      <c r="I1104" s="8">
        <v>-6.9214876033057759E-2</v>
      </c>
      <c r="J1104" s="8">
        <v>5.0524679362611742E-2</v>
      </c>
      <c r="K1104" s="8">
        <v>0.23537477148080449</v>
      </c>
      <c r="L1104" s="8">
        <v>-0.2489580439010837</v>
      </c>
      <c r="M1104" s="18">
        <v>-3.2273469090725149E-2</v>
      </c>
    </row>
    <row r="1105" spans="1:13" x14ac:dyDescent="0.45">
      <c r="A1105" t="s">
        <v>2240</v>
      </c>
      <c r="B1105" s="18">
        <v>99.55</v>
      </c>
      <c r="C1105" s="18">
        <v>101.03</v>
      </c>
      <c r="D1105" s="18">
        <v>97.65</v>
      </c>
      <c r="E1105" s="18">
        <v>80.59</v>
      </c>
      <c r="F1105" s="18">
        <v>96.44</v>
      </c>
      <c r="G1105" s="18">
        <v>98.768800000000013</v>
      </c>
      <c r="H1105" s="18">
        <v>95.183600000000013</v>
      </c>
      <c r="I1105" s="8">
        <v>-1.464911412451753E-2</v>
      </c>
      <c r="J1105" s="8">
        <v>1.945724526369674E-2</v>
      </c>
      <c r="K1105" s="8">
        <v>0.2352649212061049</v>
      </c>
      <c r="L1105" s="8">
        <v>3.2248029863127359E-2</v>
      </c>
      <c r="M1105" s="18">
        <v>0.27232108220841139</v>
      </c>
    </row>
    <row r="1106" spans="1:13" x14ac:dyDescent="0.45">
      <c r="A1106" t="s">
        <v>2368</v>
      </c>
      <c r="B1106" s="18">
        <v>43.75</v>
      </c>
      <c r="C1106" s="18">
        <v>42.33</v>
      </c>
      <c r="D1106" s="18">
        <v>42.85</v>
      </c>
      <c r="E1106" s="18">
        <v>35.42</v>
      </c>
      <c r="F1106" s="18">
        <v>40.96</v>
      </c>
      <c r="G1106" s="18">
        <v>42.930399999999999</v>
      </c>
      <c r="H1106" s="18">
        <v>42.547600000000003</v>
      </c>
      <c r="I1106" s="8">
        <v>3.3545948499881913E-2</v>
      </c>
      <c r="J1106" s="8">
        <v>2.100350058343059E-2</v>
      </c>
      <c r="K1106" s="8">
        <v>0.2351778656126482</v>
      </c>
      <c r="L1106" s="8">
        <v>6.8115234375E-2</v>
      </c>
      <c r="M1106" s="18">
        <v>0.35784254907096069</v>
      </c>
    </row>
    <row r="1107" spans="1:13" x14ac:dyDescent="0.45">
      <c r="A1107" t="s">
        <v>1185</v>
      </c>
      <c r="B1107" s="18">
        <v>14.38</v>
      </c>
      <c r="C1107" s="18">
        <v>14.09</v>
      </c>
      <c r="D1107" s="18">
        <v>13.88</v>
      </c>
      <c r="E1107" s="18">
        <v>11.65</v>
      </c>
      <c r="F1107" s="18">
        <v>13.74</v>
      </c>
      <c r="G1107" s="18">
        <v>14.042482</v>
      </c>
      <c r="H1107" s="18">
        <v>13.746555499999999</v>
      </c>
      <c r="I1107" s="8">
        <v>2.0581973030518119E-2</v>
      </c>
      <c r="J1107" s="8">
        <v>3.6023054755043298E-2</v>
      </c>
      <c r="K1107" s="8">
        <v>0.23433476394849781</v>
      </c>
      <c r="L1107" s="8">
        <v>4.6579330422125143E-2</v>
      </c>
      <c r="M1107" s="18">
        <v>0.3375191221561844</v>
      </c>
    </row>
    <row r="1108" spans="1:13" x14ac:dyDescent="0.45">
      <c r="A1108" t="s">
        <v>634</v>
      </c>
      <c r="B1108" s="18">
        <v>14.66</v>
      </c>
      <c r="C1108" s="18">
        <v>13.48</v>
      </c>
      <c r="D1108" s="18">
        <v>14.27</v>
      </c>
      <c r="E1108" s="18">
        <v>11.88</v>
      </c>
      <c r="F1108" s="18">
        <v>17.989999999999998</v>
      </c>
      <c r="G1108" s="18">
        <v>12.713800000000001</v>
      </c>
      <c r="H1108" s="18">
        <v>13.630100000000001</v>
      </c>
      <c r="I1108" s="8">
        <v>8.7537091988130644E-2</v>
      </c>
      <c r="J1108" s="8">
        <v>2.7330063069376461E-2</v>
      </c>
      <c r="K1108" s="8">
        <v>0.234006734006734</v>
      </c>
      <c r="L1108" s="8">
        <v>-0.1851028349082823</v>
      </c>
      <c r="M1108" s="18">
        <v>0.1637710541559588</v>
      </c>
    </row>
    <row r="1109" spans="1:13" x14ac:dyDescent="0.45">
      <c r="A1109" t="s">
        <v>2385</v>
      </c>
      <c r="B1109" s="18">
        <v>7.55</v>
      </c>
      <c r="C1109" s="18">
        <v>6.87</v>
      </c>
      <c r="D1109" s="18">
        <v>7.56</v>
      </c>
      <c r="E1109" s="18">
        <v>6.12</v>
      </c>
      <c r="F1109" s="18">
        <v>8.35</v>
      </c>
      <c r="G1109" s="18">
        <v>6.9646000000000008</v>
      </c>
      <c r="H1109" s="18">
        <v>6.9665999999999997</v>
      </c>
      <c r="I1109" s="8">
        <v>9.8981077147015872E-2</v>
      </c>
      <c r="J1109" s="8">
        <v>-1.322751322751281E-3</v>
      </c>
      <c r="K1109" s="8">
        <v>0.23366013071895431</v>
      </c>
      <c r="L1109" s="8">
        <v>-9.5808383233532912E-2</v>
      </c>
      <c r="M1109" s="18">
        <v>0.23551007330968601</v>
      </c>
    </row>
    <row r="1110" spans="1:13" x14ac:dyDescent="0.45">
      <c r="A1110" t="s">
        <v>19</v>
      </c>
      <c r="B1110" s="18">
        <v>5131.2299999999996</v>
      </c>
      <c r="C1110" s="18">
        <v>5571.83</v>
      </c>
      <c r="D1110" s="18">
        <v>5718.51</v>
      </c>
      <c r="E1110" s="18">
        <v>4164.1499999999996</v>
      </c>
      <c r="F1110" s="18">
        <v>4187.7</v>
      </c>
      <c r="G1110" s="18">
        <v>5503.4453999999996</v>
      </c>
      <c r="H1110" s="18">
        <v>5168.9926500000001</v>
      </c>
      <c r="I1110" s="8">
        <v>-7.9076353729385152E-2</v>
      </c>
      <c r="J1110" s="8">
        <v>-0.10269808044403179</v>
      </c>
      <c r="K1110" s="8">
        <v>0.2322394726414754</v>
      </c>
      <c r="L1110" s="8">
        <v>0.22530983594813381</v>
      </c>
      <c r="M1110" s="18">
        <v>0.27577487441619219</v>
      </c>
    </row>
    <row r="1111" spans="1:13" x14ac:dyDescent="0.45">
      <c r="A1111" t="s">
        <v>1311</v>
      </c>
      <c r="B1111" s="18">
        <v>1089.29</v>
      </c>
      <c r="C1111" s="18">
        <v>1135.53</v>
      </c>
      <c r="D1111" s="18">
        <v>927.01</v>
      </c>
      <c r="E1111" s="18">
        <v>884.02</v>
      </c>
      <c r="F1111" s="18">
        <v>810.19</v>
      </c>
      <c r="G1111" s="18">
        <v>1092.79</v>
      </c>
      <c r="H1111" s="18">
        <v>971.32949999999994</v>
      </c>
      <c r="I1111" s="8">
        <v>-4.0721072979137518E-2</v>
      </c>
      <c r="J1111" s="8">
        <v>0.17505744274603299</v>
      </c>
      <c r="K1111" s="8">
        <v>0.23220062894504651</v>
      </c>
      <c r="L1111" s="8">
        <v>0.34448709561954582</v>
      </c>
      <c r="M1111" s="18">
        <v>0.71102409433148772</v>
      </c>
    </row>
    <row r="1112" spans="1:13" x14ac:dyDescent="0.45">
      <c r="A1112" t="s">
        <v>2090</v>
      </c>
      <c r="B1112" s="18">
        <v>39.549999999999997</v>
      </c>
      <c r="C1112" s="18">
        <v>34.299999999999997</v>
      </c>
      <c r="D1112" s="18">
        <v>37.659999999999997</v>
      </c>
      <c r="E1112" s="18">
        <v>32.1</v>
      </c>
      <c r="F1112" s="18">
        <v>32.31</v>
      </c>
      <c r="G1112" s="18">
        <v>35.415999999999997</v>
      </c>
      <c r="H1112" s="18">
        <v>37.210299999999997</v>
      </c>
      <c r="I1112" s="8">
        <v>0.15306122448979601</v>
      </c>
      <c r="J1112" s="8">
        <v>5.018587360594795E-2</v>
      </c>
      <c r="K1112" s="8">
        <v>0.23208722741432999</v>
      </c>
      <c r="L1112" s="8">
        <v>0.22407923243577829</v>
      </c>
      <c r="M1112" s="18">
        <v>0.65941355794585221</v>
      </c>
    </row>
    <row r="1113" spans="1:13" x14ac:dyDescent="0.45">
      <c r="A1113" t="s">
        <v>1624</v>
      </c>
      <c r="B1113" s="18">
        <v>60.55</v>
      </c>
      <c r="C1113" s="18">
        <v>65.95</v>
      </c>
      <c r="D1113" s="18">
        <v>62.23</v>
      </c>
      <c r="E1113" s="18">
        <v>49.15</v>
      </c>
      <c r="F1113" s="18">
        <v>51.02</v>
      </c>
      <c r="G1113" s="18">
        <v>64.91940000000001</v>
      </c>
      <c r="H1113" s="18">
        <v>59.814500000000002</v>
      </c>
      <c r="I1113" s="8">
        <v>-8.1880212282031906E-2</v>
      </c>
      <c r="J1113" s="8">
        <v>-2.699662542182224E-2</v>
      </c>
      <c r="K1113" s="8">
        <v>0.23194303153611401</v>
      </c>
      <c r="L1113" s="8">
        <v>0.18678949431595451</v>
      </c>
      <c r="M1113" s="18">
        <v>0.30985568814821429</v>
      </c>
    </row>
    <row r="1114" spans="1:13" x14ac:dyDescent="0.45">
      <c r="A1114" t="s">
        <v>966</v>
      </c>
      <c r="B1114" s="18">
        <v>29.65</v>
      </c>
      <c r="C1114" s="18">
        <v>30.73</v>
      </c>
      <c r="D1114" s="18">
        <v>29.26</v>
      </c>
      <c r="E1114" s="18">
        <v>24.07</v>
      </c>
      <c r="F1114" s="18">
        <v>28.3</v>
      </c>
      <c r="G1114" s="18">
        <v>29.6448</v>
      </c>
      <c r="H1114" s="18">
        <v>28.054300000000001</v>
      </c>
      <c r="I1114" s="8">
        <v>-3.5144809632281171E-2</v>
      </c>
      <c r="J1114" s="8">
        <v>1.332877648667119E-2</v>
      </c>
      <c r="K1114" s="8">
        <v>0.23182384711258819</v>
      </c>
      <c r="L1114" s="8">
        <v>4.7703180212014029E-2</v>
      </c>
      <c r="M1114" s="18">
        <v>0.25771099417899218</v>
      </c>
    </row>
    <row r="1115" spans="1:13" x14ac:dyDescent="0.45">
      <c r="A1115" t="s">
        <v>1282</v>
      </c>
      <c r="B1115" s="18">
        <v>173.97</v>
      </c>
      <c r="C1115" s="18">
        <v>168.08</v>
      </c>
      <c r="D1115" s="18">
        <v>159.99</v>
      </c>
      <c r="E1115" s="18">
        <v>141.27000000000001</v>
      </c>
      <c r="F1115" s="18">
        <v>129.63</v>
      </c>
      <c r="G1115" s="18">
        <v>165.6542</v>
      </c>
      <c r="H1115" s="18">
        <v>157.47454999999999</v>
      </c>
      <c r="I1115" s="8">
        <v>3.5042836744407342E-2</v>
      </c>
      <c r="J1115" s="8">
        <v>8.7380461278829813E-2</v>
      </c>
      <c r="K1115" s="8">
        <v>0.23147165003185391</v>
      </c>
      <c r="L1115" s="8">
        <v>0.34205045128442491</v>
      </c>
      <c r="M1115" s="18">
        <v>0.69594539933951594</v>
      </c>
    </row>
    <row r="1116" spans="1:13" x14ac:dyDescent="0.45">
      <c r="A1116" t="s">
        <v>1518</v>
      </c>
      <c r="B1116" s="18">
        <v>14.12</v>
      </c>
      <c r="C1116" s="18">
        <v>13.78</v>
      </c>
      <c r="D1116" s="18">
        <v>13.49</v>
      </c>
      <c r="E1116" s="18">
        <v>11.47</v>
      </c>
      <c r="F1116" s="18">
        <v>13.28</v>
      </c>
      <c r="G1116" s="18">
        <v>13.6837</v>
      </c>
      <c r="H1116" s="18">
        <v>13.00813</v>
      </c>
      <c r="I1116" s="8">
        <v>2.467343976777947E-2</v>
      </c>
      <c r="J1116" s="8">
        <v>4.6701260192735239E-2</v>
      </c>
      <c r="K1116" s="8">
        <v>0.23103748910200511</v>
      </c>
      <c r="L1116" s="8">
        <v>6.3253012048192669E-2</v>
      </c>
      <c r="M1116" s="18">
        <v>0.36566520111071238</v>
      </c>
    </row>
    <row r="1117" spans="1:13" x14ac:dyDescent="0.45">
      <c r="A1117" t="s">
        <v>2019</v>
      </c>
      <c r="B1117" s="18">
        <v>47.76</v>
      </c>
      <c r="C1117" s="18">
        <v>47.04</v>
      </c>
      <c r="D1117" s="18">
        <v>48.55</v>
      </c>
      <c r="E1117" s="18">
        <v>38.81</v>
      </c>
      <c r="F1117" s="18">
        <v>44.814900000000002</v>
      </c>
      <c r="G1117" s="18">
        <v>47.295400000000001</v>
      </c>
      <c r="H1117" s="18">
        <v>44.662882000000003</v>
      </c>
      <c r="I1117" s="8">
        <v>1.5306122448979659E-2</v>
      </c>
      <c r="J1117" s="8">
        <v>-1.627188465499485E-2</v>
      </c>
      <c r="K1117" s="8">
        <v>0.2306106673537747</v>
      </c>
      <c r="L1117" s="8">
        <v>6.5716982521438094E-2</v>
      </c>
      <c r="M1117" s="18">
        <v>0.29536188766919758</v>
      </c>
    </row>
    <row r="1118" spans="1:13" x14ac:dyDescent="0.45">
      <c r="A1118" t="s">
        <v>642</v>
      </c>
      <c r="B1118" s="18">
        <v>25.84</v>
      </c>
      <c r="C1118" s="18">
        <v>24.03</v>
      </c>
      <c r="D1118" s="18">
        <v>23.31</v>
      </c>
      <c r="E1118" s="18">
        <v>21</v>
      </c>
      <c r="F1118" s="18">
        <v>21.81</v>
      </c>
      <c r="G1118" s="18">
        <v>24.4496</v>
      </c>
      <c r="H1118" s="18">
        <v>25.142399999999999</v>
      </c>
      <c r="I1118" s="8">
        <v>7.5322513524760604E-2</v>
      </c>
      <c r="J1118" s="8">
        <v>0.1085371085371085</v>
      </c>
      <c r="K1118" s="8">
        <v>0.2304761904761905</v>
      </c>
      <c r="L1118" s="8">
        <v>0.1847776249426869</v>
      </c>
      <c r="M1118" s="18">
        <v>0.59911343748074652</v>
      </c>
    </row>
    <row r="1119" spans="1:13" x14ac:dyDescent="0.45">
      <c r="A1119" t="s">
        <v>2070</v>
      </c>
      <c r="B1119" s="18">
        <v>16.22</v>
      </c>
      <c r="C1119" s="18">
        <v>20.46</v>
      </c>
      <c r="D1119" s="18">
        <v>13.79</v>
      </c>
      <c r="E1119" s="18">
        <v>13.19</v>
      </c>
      <c r="F1119" s="18">
        <v>17.52</v>
      </c>
      <c r="G1119" s="18">
        <v>18.666599999999999</v>
      </c>
      <c r="H1119" s="18">
        <v>14.45105</v>
      </c>
      <c r="I1119" s="8">
        <v>-0.20723362658846531</v>
      </c>
      <c r="J1119" s="8">
        <v>0.17621464829586661</v>
      </c>
      <c r="K1119" s="8">
        <v>0.2297194844579227</v>
      </c>
      <c r="L1119" s="8">
        <v>-7.420091324200917E-2</v>
      </c>
      <c r="M1119" s="18">
        <v>0.12449959292331481</v>
      </c>
    </row>
    <row r="1120" spans="1:13" x14ac:dyDescent="0.45">
      <c r="A1120" t="s">
        <v>848</v>
      </c>
      <c r="B1120" s="18">
        <v>14.4</v>
      </c>
      <c r="C1120" s="18">
        <v>14.34</v>
      </c>
      <c r="D1120" s="18">
        <v>13.99</v>
      </c>
      <c r="E1120" s="18">
        <v>11.71</v>
      </c>
      <c r="F1120" s="18">
        <v>13.69</v>
      </c>
      <c r="G1120" s="18">
        <v>14.2094</v>
      </c>
      <c r="H1120" s="18">
        <v>13.705249999999999</v>
      </c>
      <c r="I1120" s="8">
        <v>4.1841004184099972E-3</v>
      </c>
      <c r="J1120" s="8">
        <v>2.9306647605432449E-2</v>
      </c>
      <c r="K1120" s="8">
        <v>0.2297181895815541</v>
      </c>
      <c r="L1120" s="8">
        <v>5.1862673484295067E-2</v>
      </c>
      <c r="M1120" s="18">
        <v>0.31507161108969162</v>
      </c>
    </row>
    <row r="1121" spans="1:13" x14ac:dyDescent="0.45">
      <c r="A1121" t="s">
        <v>1807</v>
      </c>
      <c r="B1121" s="18">
        <v>13.66</v>
      </c>
      <c r="C1121" s="18">
        <v>13.05</v>
      </c>
      <c r="D1121" s="18">
        <v>13.76</v>
      </c>
      <c r="E1121" s="18">
        <v>11.11</v>
      </c>
      <c r="F1121" s="18">
        <v>16.59</v>
      </c>
      <c r="G1121" s="18">
        <v>12.861000000000001</v>
      </c>
      <c r="H1121" s="18">
        <v>13.5099</v>
      </c>
      <c r="I1121" s="8">
        <v>4.6743295019157083E-2</v>
      </c>
      <c r="J1121" s="8">
        <v>-7.2674418604651292E-3</v>
      </c>
      <c r="K1121" s="8">
        <v>0.22952295229522959</v>
      </c>
      <c r="L1121" s="8">
        <v>-0.1766124171187462</v>
      </c>
      <c r="M1121" s="18">
        <v>9.2386388335175318E-2</v>
      </c>
    </row>
    <row r="1122" spans="1:13" x14ac:dyDescent="0.45">
      <c r="A1122" t="s">
        <v>289</v>
      </c>
      <c r="B1122" s="18">
        <v>195.56</v>
      </c>
      <c r="C1122" s="18">
        <v>187.69</v>
      </c>
      <c r="D1122" s="18">
        <v>164.64</v>
      </c>
      <c r="E1122" s="18">
        <v>159.1</v>
      </c>
      <c r="F1122" s="18">
        <v>191.84</v>
      </c>
      <c r="G1122" s="18">
        <v>186.0702</v>
      </c>
      <c r="H1122" s="18">
        <v>170.94450000000001</v>
      </c>
      <c r="I1122" s="8">
        <v>4.1930843412009138E-2</v>
      </c>
      <c r="J1122" s="8">
        <v>0.18780369290573379</v>
      </c>
      <c r="K1122" s="8">
        <v>0.22916404776869889</v>
      </c>
      <c r="L1122" s="8">
        <v>1.9391159299416261E-2</v>
      </c>
      <c r="M1122" s="18">
        <v>0.47828974338585822</v>
      </c>
    </row>
    <row r="1123" spans="1:13" x14ac:dyDescent="0.45">
      <c r="A1123" t="s">
        <v>353</v>
      </c>
      <c r="B1123" s="18">
        <v>33.21</v>
      </c>
      <c r="C1123" s="18">
        <v>38.21</v>
      </c>
      <c r="D1123" s="18">
        <v>33.61</v>
      </c>
      <c r="E1123" s="18">
        <v>27.03</v>
      </c>
      <c r="F1123" s="18">
        <v>37.6</v>
      </c>
      <c r="G1123" s="18">
        <v>36.563600000000001</v>
      </c>
      <c r="H1123" s="18">
        <v>32.829174999999999</v>
      </c>
      <c r="I1123" s="8">
        <v>-0.13085579691180321</v>
      </c>
      <c r="J1123" s="8">
        <v>-1.190121987503712E-2</v>
      </c>
      <c r="K1123" s="8">
        <v>0.22863485016648169</v>
      </c>
      <c r="L1123" s="8">
        <v>-0.11675531914893621</v>
      </c>
      <c r="M1123" s="18">
        <v>-3.0877485769294829E-2</v>
      </c>
    </row>
    <row r="1124" spans="1:13" x14ac:dyDescent="0.45">
      <c r="A1124" t="s">
        <v>1661</v>
      </c>
      <c r="B1124" s="18">
        <v>24.08</v>
      </c>
      <c r="C1124" s="18">
        <v>23.32</v>
      </c>
      <c r="D1124" s="18">
        <v>23.67</v>
      </c>
      <c r="E1124" s="18">
        <v>19.600000000000001</v>
      </c>
      <c r="F1124" s="18">
        <v>26.85</v>
      </c>
      <c r="G1124" s="18">
        <v>24.013200000000001</v>
      </c>
      <c r="H1124" s="18">
        <v>23.407450000000001</v>
      </c>
      <c r="I1124" s="8">
        <v>3.2590051457975999E-2</v>
      </c>
      <c r="J1124" s="8">
        <v>1.7321504013519059E-2</v>
      </c>
      <c r="K1124" s="8">
        <v>0.2285714285714284</v>
      </c>
      <c r="L1124" s="8">
        <v>-0.1031657355679703</v>
      </c>
      <c r="M1124" s="18">
        <v>0.1753172484749532</v>
      </c>
    </row>
    <row r="1125" spans="1:13" x14ac:dyDescent="0.45">
      <c r="A1125" t="s">
        <v>990</v>
      </c>
      <c r="B1125" s="18">
        <v>19.96</v>
      </c>
      <c r="C1125" s="18">
        <v>21.25</v>
      </c>
      <c r="D1125" s="18">
        <v>18.829999999999998</v>
      </c>
      <c r="E1125" s="18">
        <v>16.25</v>
      </c>
      <c r="F1125" s="18">
        <v>16.34</v>
      </c>
      <c r="G1125" s="18">
        <v>20.316448000000001</v>
      </c>
      <c r="H1125" s="18">
        <v>18.467755499999999</v>
      </c>
      <c r="I1125" s="8">
        <v>-6.0705882352941172E-2</v>
      </c>
      <c r="J1125" s="8">
        <v>6.0010621348911553E-2</v>
      </c>
      <c r="K1125" s="8">
        <v>0.22830769230769229</v>
      </c>
      <c r="L1125" s="8">
        <v>0.22154222766217879</v>
      </c>
      <c r="M1125" s="18">
        <v>0.4491546589658415</v>
      </c>
    </row>
    <row r="1126" spans="1:13" x14ac:dyDescent="0.45">
      <c r="A1126" t="s">
        <v>835</v>
      </c>
      <c r="B1126" s="18">
        <v>269.35000000000002</v>
      </c>
      <c r="C1126" s="18">
        <v>281.55</v>
      </c>
      <c r="D1126" s="18">
        <v>252.62</v>
      </c>
      <c r="E1126" s="18">
        <v>219.35</v>
      </c>
      <c r="F1126" s="18">
        <v>264.27999999999997</v>
      </c>
      <c r="G1126" s="18">
        <v>274.3322</v>
      </c>
      <c r="H1126" s="18">
        <v>257.61725000000001</v>
      </c>
      <c r="I1126" s="8">
        <v>-4.3331557449831297E-2</v>
      </c>
      <c r="J1126" s="8">
        <v>6.6225952022801016E-2</v>
      </c>
      <c r="K1126" s="8">
        <v>0.22794620469569191</v>
      </c>
      <c r="L1126" s="8">
        <v>1.918419857726672E-2</v>
      </c>
      <c r="M1126" s="18">
        <v>0.27002479784592842</v>
      </c>
    </row>
    <row r="1127" spans="1:13" x14ac:dyDescent="0.45">
      <c r="A1127" t="s">
        <v>1544</v>
      </c>
      <c r="B1127" s="18">
        <v>21.53</v>
      </c>
      <c r="C1127" s="18">
        <v>21.05</v>
      </c>
      <c r="D1127" s="18">
        <v>24.75</v>
      </c>
      <c r="E1127" s="18">
        <v>17.54</v>
      </c>
      <c r="F1127" s="18">
        <v>25.37</v>
      </c>
      <c r="G1127" s="18">
        <v>21.483799999999999</v>
      </c>
      <c r="H1127" s="18">
        <v>22.073550000000001</v>
      </c>
      <c r="I1127" s="8">
        <v>2.280285035629448E-2</v>
      </c>
      <c r="J1127" s="8">
        <v>-0.13010101010101011</v>
      </c>
      <c r="K1127" s="8">
        <v>0.22748004561003429</v>
      </c>
      <c r="L1127" s="8">
        <v>-0.15135987386677169</v>
      </c>
      <c r="M1127" s="18">
        <v>-3.1177988001452991E-2</v>
      </c>
    </row>
    <row r="1128" spans="1:13" x14ac:dyDescent="0.45">
      <c r="A1128" t="s">
        <v>1907</v>
      </c>
      <c r="B1128" s="18">
        <v>9.34</v>
      </c>
      <c r="C1128" s="18">
        <v>9.52</v>
      </c>
      <c r="D1128" s="18">
        <v>9.0500000000000007</v>
      </c>
      <c r="E1128" s="18">
        <v>7.61</v>
      </c>
      <c r="F1128" s="18">
        <v>8.23</v>
      </c>
      <c r="G1128" s="18">
        <v>9.202</v>
      </c>
      <c r="H1128" s="18">
        <v>8.4415499999999994</v>
      </c>
      <c r="I1128" s="8">
        <v>-1.890756302521002E-2</v>
      </c>
      <c r="J1128" s="8">
        <v>3.204419889502752E-2</v>
      </c>
      <c r="K1128" s="8">
        <v>0.22733245729303531</v>
      </c>
      <c r="L1128" s="8">
        <v>0.13487241798298899</v>
      </c>
      <c r="M1128" s="18">
        <v>0.3753415111458418</v>
      </c>
    </row>
    <row r="1129" spans="1:13" x14ac:dyDescent="0.45">
      <c r="A1129" t="s">
        <v>266</v>
      </c>
      <c r="B1129" s="18">
        <v>53.76</v>
      </c>
      <c r="C1129" s="18">
        <v>53.02</v>
      </c>
      <c r="D1129" s="18">
        <v>51.9</v>
      </c>
      <c r="E1129" s="18">
        <v>43.81</v>
      </c>
      <c r="F1129" s="18">
        <v>38.54</v>
      </c>
      <c r="G1129" s="18">
        <v>53.659599999999998</v>
      </c>
      <c r="H1129" s="18">
        <v>50.395949999999999</v>
      </c>
      <c r="I1129" s="8">
        <v>1.3956997359486859E-2</v>
      </c>
      <c r="J1129" s="8">
        <v>3.5838150289017268E-2</v>
      </c>
      <c r="K1129" s="8">
        <v>0.22711709655329829</v>
      </c>
      <c r="L1129" s="8">
        <v>0.39491437467566159</v>
      </c>
      <c r="M1129" s="18">
        <v>0.67182661887746398</v>
      </c>
    </row>
    <row r="1130" spans="1:13" x14ac:dyDescent="0.45">
      <c r="A1130" t="s">
        <v>2436</v>
      </c>
      <c r="B1130" s="18">
        <v>3.08</v>
      </c>
      <c r="C1130" s="18">
        <v>2.68</v>
      </c>
      <c r="D1130" s="18">
        <v>2.87</v>
      </c>
      <c r="E1130" s="18">
        <v>2.5099999999999998</v>
      </c>
      <c r="F1130" s="18">
        <v>5.21</v>
      </c>
      <c r="G1130" s="18">
        <v>2.8104</v>
      </c>
      <c r="H1130" s="18">
        <v>3.2526495</v>
      </c>
      <c r="I1130" s="8">
        <v>0.1492537313432836</v>
      </c>
      <c r="J1130" s="8">
        <v>7.3170731707317138E-2</v>
      </c>
      <c r="K1130" s="8">
        <v>0.2270916334661357</v>
      </c>
      <c r="L1130" s="8">
        <v>-0.40882917466410751</v>
      </c>
      <c r="M1130" s="18">
        <v>4.0686921852628899E-2</v>
      </c>
    </row>
    <row r="1131" spans="1:13" x14ac:dyDescent="0.45">
      <c r="A1131" t="s">
        <v>102</v>
      </c>
      <c r="B1131" s="18">
        <v>156</v>
      </c>
      <c r="C1131" s="18">
        <v>153.08000000000001</v>
      </c>
      <c r="D1131" s="18">
        <v>157.32</v>
      </c>
      <c r="E1131" s="18">
        <v>127.16</v>
      </c>
      <c r="F1131" s="18">
        <v>135.27000000000001</v>
      </c>
      <c r="G1131" s="18">
        <v>154.59059999999999</v>
      </c>
      <c r="H1131" s="18">
        <v>147.60050000000001</v>
      </c>
      <c r="I1131" s="8">
        <v>1.9074993467467879E-2</v>
      </c>
      <c r="J1131" s="8">
        <v>-8.3905415713195763E-3</v>
      </c>
      <c r="K1131" s="8">
        <v>0.22680088078011959</v>
      </c>
      <c r="L1131" s="8">
        <v>0.15324905744067421</v>
      </c>
      <c r="M1131" s="18">
        <v>0.39073439011694211</v>
      </c>
    </row>
    <row r="1132" spans="1:13" x14ac:dyDescent="0.45">
      <c r="A1132" t="s">
        <v>1864</v>
      </c>
      <c r="B1132" s="18">
        <v>42.65</v>
      </c>
      <c r="C1132" s="18">
        <v>43.91</v>
      </c>
      <c r="D1132" s="18">
        <v>44.79</v>
      </c>
      <c r="E1132" s="18">
        <v>34.78</v>
      </c>
      <c r="F1132" s="18">
        <v>43.06</v>
      </c>
      <c r="G1132" s="18">
        <v>43.5428</v>
      </c>
      <c r="H1132" s="18">
        <v>42.006599999999999</v>
      </c>
      <c r="I1132" s="8">
        <v>-2.8695058073331729E-2</v>
      </c>
      <c r="J1132" s="8">
        <v>-4.7778521991515999E-2</v>
      </c>
      <c r="K1132" s="8">
        <v>0.226279470960322</v>
      </c>
      <c r="L1132" s="8">
        <v>-9.5215977705528365E-3</v>
      </c>
      <c r="M1132" s="18">
        <v>0.14028429312492141</v>
      </c>
    </row>
    <row r="1133" spans="1:13" x14ac:dyDescent="0.45">
      <c r="A1133" t="s">
        <v>622</v>
      </c>
      <c r="B1133" s="18">
        <v>9.39</v>
      </c>
      <c r="C1133" s="18">
        <v>9.81</v>
      </c>
      <c r="D1133" s="18">
        <v>9.66</v>
      </c>
      <c r="E1133" s="18">
        <v>7.66</v>
      </c>
      <c r="F1133" s="18">
        <v>10.26</v>
      </c>
      <c r="G1133" s="18">
        <v>9.5632000000000001</v>
      </c>
      <c r="H1133" s="18">
        <v>9.514149999999999</v>
      </c>
      <c r="I1133" s="8">
        <v>-4.2813455657492387E-2</v>
      </c>
      <c r="J1133" s="8">
        <v>-2.7950310559006208E-2</v>
      </c>
      <c r="K1133" s="8">
        <v>0.22584856396866851</v>
      </c>
      <c r="L1133" s="8">
        <v>-8.4795321637426868E-2</v>
      </c>
      <c r="M1133" s="18">
        <v>7.028947611474301E-2</v>
      </c>
    </row>
    <row r="1134" spans="1:13" x14ac:dyDescent="0.45">
      <c r="A1134" t="s">
        <v>903</v>
      </c>
      <c r="B1134" s="18">
        <v>38.25</v>
      </c>
      <c r="C1134" s="18">
        <v>42.1</v>
      </c>
      <c r="D1134" s="18">
        <v>38.770000000000003</v>
      </c>
      <c r="E1134" s="18">
        <v>31.21</v>
      </c>
      <c r="F1134" s="18">
        <v>29.02</v>
      </c>
      <c r="G1134" s="18">
        <v>38.528799999999997</v>
      </c>
      <c r="H1134" s="18">
        <v>37.959499999999998</v>
      </c>
      <c r="I1134" s="8">
        <v>-9.1448931116389631E-2</v>
      </c>
      <c r="J1134" s="8">
        <v>-1.3412432293010149E-2</v>
      </c>
      <c r="K1134" s="8">
        <v>0.22556872797180391</v>
      </c>
      <c r="L1134" s="8">
        <v>0.31805651274982782</v>
      </c>
      <c r="M1134" s="18">
        <v>0.43876387731223199</v>
      </c>
    </row>
    <row r="1135" spans="1:13" x14ac:dyDescent="0.45">
      <c r="A1135" t="s">
        <v>1892</v>
      </c>
      <c r="B1135" s="18">
        <v>43.3</v>
      </c>
      <c r="C1135" s="18">
        <v>40.119999999999997</v>
      </c>
      <c r="D1135" s="18">
        <v>36.630000000000003</v>
      </c>
      <c r="E1135" s="18">
        <v>35.36</v>
      </c>
      <c r="F1135" s="18">
        <v>35.86</v>
      </c>
      <c r="G1135" s="18">
        <v>39.804400000000001</v>
      </c>
      <c r="H1135" s="18">
        <v>37.753950000000003</v>
      </c>
      <c r="I1135" s="8">
        <v>7.9262213359920342E-2</v>
      </c>
      <c r="J1135" s="8">
        <v>0.18209118209118191</v>
      </c>
      <c r="K1135" s="8">
        <v>0.22454751131221709</v>
      </c>
      <c r="L1135" s="8">
        <v>0.2074735080870049</v>
      </c>
      <c r="M1135" s="18">
        <v>0.69337441485032425</v>
      </c>
    </row>
    <row r="1136" spans="1:13" x14ac:dyDescent="0.45">
      <c r="A1136" t="s">
        <v>2191</v>
      </c>
      <c r="B1136" s="18">
        <v>59.03</v>
      </c>
      <c r="C1136" s="18">
        <v>60.83</v>
      </c>
      <c r="D1136" s="18">
        <v>69.41</v>
      </c>
      <c r="E1136" s="18">
        <v>48.21</v>
      </c>
      <c r="F1136" s="18">
        <v>83.36</v>
      </c>
      <c r="G1136" s="18">
        <v>60.337599999999988</v>
      </c>
      <c r="H1136" s="18">
        <v>61.914750000000012</v>
      </c>
      <c r="I1136" s="8">
        <v>-2.9590662502054891E-2</v>
      </c>
      <c r="J1136" s="8">
        <v>-0.14954617490275171</v>
      </c>
      <c r="K1136" s="8">
        <v>0.22443476457166561</v>
      </c>
      <c r="L1136" s="8">
        <v>-0.29186660268713999</v>
      </c>
      <c r="M1136" s="18">
        <v>-0.24656867552028111</v>
      </c>
    </row>
    <row r="1137" spans="1:13" x14ac:dyDescent="0.45">
      <c r="A1137" t="s">
        <v>1071</v>
      </c>
      <c r="B1137" s="18">
        <v>13.18</v>
      </c>
      <c r="C1137" s="18">
        <v>12.55</v>
      </c>
      <c r="D1137" s="18">
        <v>12.43</v>
      </c>
      <c r="E1137" s="18">
        <v>10.77</v>
      </c>
      <c r="F1137" s="18">
        <v>11.68</v>
      </c>
      <c r="G1137" s="18">
        <v>12.6716</v>
      </c>
      <c r="H1137" s="18">
        <v>12.175489000000001</v>
      </c>
      <c r="I1137" s="8">
        <v>5.0199203187250907E-2</v>
      </c>
      <c r="J1137" s="8">
        <v>6.033789219629937E-2</v>
      </c>
      <c r="K1137" s="8">
        <v>0.22376973073351911</v>
      </c>
      <c r="L1137" s="8">
        <v>0.12842465753424651</v>
      </c>
      <c r="M1137" s="18">
        <v>0.46273148365131589</v>
      </c>
    </row>
    <row r="1138" spans="1:13" x14ac:dyDescent="0.45">
      <c r="A1138" t="s">
        <v>235</v>
      </c>
      <c r="B1138" s="18">
        <v>96.66</v>
      </c>
      <c r="C1138" s="18">
        <v>87.01</v>
      </c>
      <c r="D1138" s="18">
        <v>82.12</v>
      </c>
      <c r="E1138" s="18">
        <v>79.010000000000005</v>
      </c>
      <c r="F1138" s="18">
        <v>66.25</v>
      </c>
      <c r="G1138" s="18">
        <v>90.264200000000002</v>
      </c>
      <c r="H1138" s="18">
        <v>84.338099999999997</v>
      </c>
      <c r="I1138" s="8">
        <v>0.1109067923227214</v>
      </c>
      <c r="J1138" s="8">
        <v>0.1770579639551875</v>
      </c>
      <c r="K1138" s="8">
        <v>0.2233894443741298</v>
      </c>
      <c r="L1138" s="8">
        <v>0.45901886792452817</v>
      </c>
      <c r="M1138" s="18">
        <v>0.9703730685765668</v>
      </c>
    </row>
    <row r="1139" spans="1:13" x14ac:dyDescent="0.45">
      <c r="A1139" t="s">
        <v>1279</v>
      </c>
      <c r="B1139" s="18">
        <v>6.08</v>
      </c>
      <c r="C1139" s="18">
        <v>6.16</v>
      </c>
      <c r="D1139" s="18">
        <v>5.92</v>
      </c>
      <c r="E1139" s="18">
        <v>4.97</v>
      </c>
      <c r="F1139" s="18">
        <v>5.44</v>
      </c>
      <c r="G1139" s="18">
        <v>6.0560999999999998</v>
      </c>
      <c r="H1139" s="18">
        <v>5.7021250000000014</v>
      </c>
      <c r="I1139" s="8">
        <v>-1.298701298701299E-2</v>
      </c>
      <c r="J1139" s="8">
        <v>2.702702702702697E-2</v>
      </c>
      <c r="K1139" s="8">
        <v>0.22334004024144871</v>
      </c>
      <c r="L1139" s="8">
        <v>0.1176470588235294</v>
      </c>
      <c r="M1139" s="18">
        <v>0.35502711310499208</v>
      </c>
    </row>
    <row r="1140" spans="1:13" x14ac:dyDescent="0.45">
      <c r="A1140" t="s">
        <v>2239</v>
      </c>
      <c r="B1140" s="18">
        <v>44.164999999999999</v>
      </c>
      <c r="C1140" s="18">
        <v>43.49</v>
      </c>
      <c r="D1140" s="18">
        <v>42.26</v>
      </c>
      <c r="E1140" s="18">
        <v>36.104300000000002</v>
      </c>
      <c r="F1140" s="18">
        <v>45.95</v>
      </c>
      <c r="G1140" s="18">
        <v>44.046940000000014</v>
      </c>
      <c r="H1140" s="18">
        <v>43.032506499999997</v>
      </c>
      <c r="I1140" s="8">
        <v>1.552080938146694E-2</v>
      </c>
      <c r="J1140" s="8">
        <v>4.5078088026502712E-2</v>
      </c>
      <c r="K1140" s="8">
        <v>0.22326149516816551</v>
      </c>
      <c r="L1140" s="8">
        <v>-3.8846572361262321E-2</v>
      </c>
      <c r="M1140" s="18">
        <v>0.24501382021487281</v>
      </c>
    </row>
    <row r="1141" spans="1:13" x14ac:dyDescent="0.45">
      <c r="A1141" t="s">
        <v>1966</v>
      </c>
      <c r="B1141" s="18">
        <v>10.82</v>
      </c>
      <c r="C1141" s="18">
        <v>11.71</v>
      </c>
      <c r="D1141" s="18">
        <v>11.34</v>
      </c>
      <c r="E1141" s="18">
        <v>8.85</v>
      </c>
      <c r="F1141" s="18">
        <v>14.44</v>
      </c>
      <c r="G1141" s="18">
        <v>11.317600000000001</v>
      </c>
      <c r="H1141" s="18">
        <v>11.471349999999999</v>
      </c>
      <c r="I1141" s="8">
        <v>-7.6003415883859948E-2</v>
      </c>
      <c r="J1141" s="8">
        <v>-4.585537918871252E-2</v>
      </c>
      <c r="K1141" s="8">
        <v>0.22259887005649739</v>
      </c>
      <c r="L1141" s="8">
        <v>-0.25069252077562321</v>
      </c>
      <c r="M1141" s="18">
        <v>-0.14995244579169831</v>
      </c>
    </row>
    <row r="1142" spans="1:13" x14ac:dyDescent="0.45">
      <c r="A1142" t="s">
        <v>2122</v>
      </c>
      <c r="B1142" s="18">
        <v>27.17</v>
      </c>
      <c r="C1142" s="18">
        <v>26.64</v>
      </c>
      <c r="D1142" s="18">
        <v>30.01</v>
      </c>
      <c r="E1142" s="18">
        <v>22.23</v>
      </c>
      <c r="F1142" s="18">
        <v>32.5</v>
      </c>
      <c r="G1142" s="18">
        <v>27.224</v>
      </c>
      <c r="H1142" s="18">
        <v>27.495349999999998</v>
      </c>
      <c r="I1142" s="8">
        <v>1.9894894894894929E-2</v>
      </c>
      <c r="J1142" s="8">
        <v>-9.4635121626124641E-2</v>
      </c>
      <c r="K1142" s="8">
        <v>0.22222222222222229</v>
      </c>
      <c r="L1142" s="8">
        <v>-0.1639999999999999</v>
      </c>
      <c r="M1142" s="18">
        <v>-1.6518004509007311E-2</v>
      </c>
    </row>
    <row r="1143" spans="1:13" x14ac:dyDescent="0.45">
      <c r="A1143" t="s">
        <v>2328</v>
      </c>
      <c r="B1143" s="18">
        <v>36.700000000000003</v>
      </c>
      <c r="C1143" s="18">
        <v>40.92</v>
      </c>
      <c r="D1143" s="18">
        <v>44.26</v>
      </c>
      <c r="E1143" s="18">
        <v>30.03</v>
      </c>
      <c r="F1143" s="18">
        <v>28.77</v>
      </c>
      <c r="G1143" s="18">
        <v>41.678600000000003</v>
      </c>
      <c r="H1143" s="18">
        <v>39.894300000000001</v>
      </c>
      <c r="I1143" s="8">
        <v>-0.103128054740958</v>
      </c>
      <c r="J1143" s="8">
        <v>-0.17080885675553539</v>
      </c>
      <c r="K1143" s="8">
        <v>0.22211122211122231</v>
      </c>
      <c r="L1143" s="8">
        <v>0.2756343413277722</v>
      </c>
      <c r="M1143" s="18">
        <v>0.2238086519425011</v>
      </c>
    </row>
    <row r="1144" spans="1:13" x14ac:dyDescent="0.45">
      <c r="A1144" t="s">
        <v>1112</v>
      </c>
      <c r="B1144" s="18">
        <v>5.35</v>
      </c>
      <c r="C1144" s="18">
        <v>5.46</v>
      </c>
      <c r="D1144" s="18">
        <v>5.15</v>
      </c>
      <c r="E1144" s="18">
        <v>4.38</v>
      </c>
      <c r="F1144" s="18">
        <v>5</v>
      </c>
      <c r="G1144" s="18">
        <v>5.3618000000000006</v>
      </c>
      <c r="H1144" s="18">
        <v>4.9559749999999996</v>
      </c>
      <c r="I1144" s="8">
        <v>-2.0146520146520189E-2</v>
      </c>
      <c r="J1144" s="8">
        <v>3.883495145631044E-2</v>
      </c>
      <c r="K1144" s="8">
        <v>0.22146118721461169</v>
      </c>
      <c r="L1144" s="8">
        <v>6.999999999999984E-2</v>
      </c>
      <c r="M1144" s="18">
        <v>0.31014961852440182</v>
      </c>
    </row>
    <row r="1145" spans="1:13" x14ac:dyDescent="0.45">
      <c r="A1145" t="s">
        <v>2166</v>
      </c>
      <c r="B1145" s="18">
        <v>1.6</v>
      </c>
      <c r="C1145" s="18">
        <v>1.46</v>
      </c>
      <c r="D1145" s="18">
        <v>1.52</v>
      </c>
      <c r="E1145" s="18">
        <v>1.31</v>
      </c>
      <c r="F1145" s="18">
        <v>2.33</v>
      </c>
      <c r="G1145" s="18">
        <v>1.4376</v>
      </c>
      <c r="H1145" s="18">
        <v>1.5084</v>
      </c>
      <c r="I1145" s="8">
        <v>9.5890410958904271E-2</v>
      </c>
      <c r="J1145" s="8">
        <v>5.2631578947368363E-2</v>
      </c>
      <c r="K1145" s="8">
        <v>0.22137404580152681</v>
      </c>
      <c r="L1145" s="8">
        <v>-0.31330472103004292</v>
      </c>
      <c r="M1145" s="18">
        <v>5.6591314677756473E-2</v>
      </c>
    </row>
    <row r="1146" spans="1:13" x14ac:dyDescent="0.45">
      <c r="A1146" t="s">
        <v>1495</v>
      </c>
      <c r="B1146" s="18">
        <v>15.68</v>
      </c>
      <c r="C1146" s="18">
        <v>15.83</v>
      </c>
      <c r="D1146" s="18">
        <v>15.48</v>
      </c>
      <c r="E1146" s="18">
        <v>12.8421</v>
      </c>
      <c r="F1146" s="18">
        <v>15.14</v>
      </c>
      <c r="G1146" s="18">
        <v>15.60768</v>
      </c>
      <c r="H1146" s="18">
        <v>15.2213505</v>
      </c>
      <c r="I1146" s="8">
        <v>-9.4756790903348653E-3</v>
      </c>
      <c r="J1146" s="8">
        <v>1.2919896640826821E-2</v>
      </c>
      <c r="K1146" s="8">
        <v>0.22098410696069951</v>
      </c>
      <c r="L1146" s="8">
        <v>3.566710700132103E-2</v>
      </c>
      <c r="M1146" s="18">
        <v>0.26009543151251252</v>
      </c>
    </row>
    <row r="1147" spans="1:13" x14ac:dyDescent="0.45">
      <c r="A1147" t="s">
        <v>100</v>
      </c>
      <c r="B1147" s="18">
        <v>81.849999999999994</v>
      </c>
      <c r="C1147" s="18">
        <v>72.02</v>
      </c>
      <c r="D1147" s="18">
        <v>68.45</v>
      </c>
      <c r="E1147" s="18">
        <v>67.040000000000006</v>
      </c>
      <c r="F1147" s="18">
        <v>63.73</v>
      </c>
      <c r="G1147" s="18">
        <v>74.346100000000007</v>
      </c>
      <c r="H1147" s="18">
        <v>70.201824999999999</v>
      </c>
      <c r="I1147" s="8">
        <v>0.13648986392668691</v>
      </c>
      <c r="J1147" s="8">
        <v>0.1957633308984659</v>
      </c>
      <c r="K1147" s="8">
        <v>0.2209128878281621</v>
      </c>
      <c r="L1147" s="8">
        <v>0.28432449395888909</v>
      </c>
      <c r="M1147" s="18">
        <v>0.83749057661220405</v>
      </c>
    </row>
    <row r="1148" spans="1:13" x14ac:dyDescent="0.45">
      <c r="A1148" t="s">
        <v>1935</v>
      </c>
      <c r="B1148" s="18">
        <v>24.31</v>
      </c>
      <c r="C1148" s="18">
        <v>24.78</v>
      </c>
      <c r="D1148" s="18">
        <v>24.99</v>
      </c>
      <c r="E1148" s="18">
        <v>19.920000000000002</v>
      </c>
      <c r="F1148" s="18">
        <v>23.97</v>
      </c>
      <c r="G1148" s="18">
        <v>24.55</v>
      </c>
      <c r="H1148" s="18">
        <v>24.376200000000001</v>
      </c>
      <c r="I1148" s="8">
        <v>-1.8966908797417359E-2</v>
      </c>
      <c r="J1148" s="8">
        <v>-2.721088435374153E-2</v>
      </c>
      <c r="K1148" s="8">
        <v>0.2203815261044175</v>
      </c>
      <c r="L1148" s="8">
        <v>1.418439716312059E-2</v>
      </c>
      <c r="M1148" s="18">
        <v>0.1883881301163792</v>
      </c>
    </row>
    <row r="1149" spans="1:13" x14ac:dyDescent="0.45">
      <c r="A1149" t="s">
        <v>136</v>
      </c>
      <c r="B1149" s="18">
        <v>219.26</v>
      </c>
      <c r="C1149" s="18">
        <v>211.1</v>
      </c>
      <c r="D1149" s="18">
        <v>189.93</v>
      </c>
      <c r="E1149" s="18">
        <v>179.73</v>
      </c>
      <c r="F1149" s="18">
        <v>197.53</v>
      </c>
      <c r="G1149" s="18">
        <v>210.50720000000001</v>
      </c>
      <c r="H1149" s="18">
        <v>203.53909999999999</v>
      </c>
      <c r="I1149" s="8">
        <v>3.8654666035054408E-2</v>
      </c>
      <c r="J1149" s="8">
        <v>0.1544253145895855</v>
      </c>
      <c r="K1149" s="8">
        <v>0.21994102264507859</v>
      </c>
      <c r="L1149" s="8">
        <v>0.1100086062876524</v>
      </c>
      <c r="M1149" s="18">
        <v>0.52302960955737099</v>
      </c>
    </row>
    <row r="1150" spans="1:13" x14ac:dyDescent="0.45">
      <c r="A1150" t="s">
        <v>334</v>
      </c>
      <c r="B1150" s="18">
        <v>64.02</v>
      </c>
      <c r="C1150" s="18">
        <v>57.12</v>
      </c>
      <c r="D1150" s="18">
        <v>51.38</v>
      </c>
      <c r="E1150" s="18">
        <v>52.48</v>
      </c>
      <c r="F1150" s="18">
        <v>68.849999999999994</v>
      </c>
      <c r="G1150" s="18">
        <v>56.353999999999999</v>
      </c>
      <c r="H1150" s="18">
        <v>55.550300000000007</v>
      </c>
      <c r="I1150" s="8">
        <v>0.12079831932773109</v>
      </c>
      <c r="J1150" s="8">
        <v>0.2460101206695211</v>
      </c>
      <c r="K1150" s="8">
        <v>0.2198932926829269</v>
      </c>
      <c r="L1150" s="8">
        <v>-7.0152505446623104E-2</v>
      </c>
      <c r="M1150" s="18">
        <v>0.51654922723355601</v>
      </c>
    </row>
    <row r="1151" spans="1:13" x14ac:dyDescent="0.45">
      <c r="A1151" t="s">
        <v>218</v>
      </c>
      <c r="B1151" s="18">
        <v>60.57</v>
      </c>
      <c r="C1151" s="18">
        <v>58.85</v>
      </c>
      <c r="D1151" s="18">
        <v>58.16</v>
      </c>
      <c r="E1151" s="18">
        <v>49.66</v>
      </c>
      <c r="F1151" s="18">
        <v>58.23</v>
      </c>
      <c r="G1151" s="18">
        <v>60.369800000000012</v>
      </c>
      <c r="H1151" s="18">
        <v>56.489100000000001</v>
      </c>
      <c r="I1151" s="8">
        <v>2.9226847918436771E-2</v>
      </c>
      <c r="J1151" s="8">
        <v>4.1437414030261348E-2</v>
      </c>
      <c r="K1151" s="8">
        <v>0.2196939186467983</v>
      </c>
      <c r="L1151" s="8">
        <v>4.0185471406491542E-2</v>
      </c>
      <c r="M1151" s="18">
        <v>0.33054365200198799</v>
      </c>
    </row>
    <row r="1152" spans="1:13" x14ac:dyDescent="0.45">
      <c r="A1152" t="s">
        <v>1787</v>
      </c>
      <c r="B1152" s="18">
        <v>13.18</v>
      </c>
      <c r="C1152" s="18">
        <v>12.84</v>
      </c>
      <c r="D1152" s="18">
        <v>12.64</v>
      </c>
      <c r="E1152" s="18">
        <v>10.81</v>
      </c>
      <c r="F1152" s="18">
        <v>12.96</v>
      </c>
      <c r="G1152" s="18">
        <v>12.7736</v>
      </c>
      <c r="H1152" s="18">
        <v>12.365225000000001</v>
      </c>
      <c r="I1152" s="8">
        <v>2.647975077881615E-2</v>
      </c>
      <c r="J1152" s="8">
        <v>4.2721518987341778E-2</v>
      </c>
      <c r="K1152" s="8">
        <v>0.21924144310823299</v>
      </c>
      <c r="L1152" s="8">
        <v>1.697530864197527E-2</v>
      </c>
      <c r="M1152" s="18">
        <v>0.30541802151636621</v>
      </c>
    </row>
    <row r="1153" spans="1:13" x14ac:dyDescent="0.45">
      <c r="A1153" t="s">
        <v>487</v>
      </c>
      <c r="B1153" s="18">
        <v>104</v>
      </c>
      <c r="C1153" s="18">
        <v>105.03</v>
      </c>
      <c r="D1153" s="18">
        <v>103.13</v>
      </c>
      <c r="E1153" s="18">
        <v>85.32</v>
      </c>
      <c r="F1153" s="18">
        <v>112.02</v>
      </c>
      <c r="G1153" s="18">
        <v>106.67740000000001</v>
      </c>
      <c r="H1153" s="18">
        <v>100.90225</v>
      </c>
      <c r="I1153" s="8">
        <v>-9.8067218889841268E-3</v>
      </c>
      <c r="J1153" s="8">
        <v>8.4359546203820468E-3</v>
      </c>
      <c r="K1153" s="8">
        <v>0.21894045944678869</v>
      </c>
      <c r="L1153" s="8">
        <v>-7.1594358150330217E-2</v>
      </c>
      <c r="M1153" s="18">
        <v>0.14597533402785651</v>
      </c>
    </row>
    <row r="1154" spans="1:13" x14ac:dyDescent="0.45">
      <c r="A1154" t="s">
        <v>2341</v>
      </c>
      <c r="B1154" s="18">
        <v>54.2</v>
      </c>
      <c r="C1154" s="18">
        <v>51.81</v>
      </c>
      <c r="D1154" s="18">
        <v>47.26</v>
      </c>
      <c r="E1154" s="18">
        <v>44.48</v>
      </c>
      <c r="F1154" s="18">
        <v>45.11</v>
      </c>
      <c r="G1154" s="18">
        <v>51.727200000000003</v>
      </c>
      <c r="H1154" s="18">
        <v>48.743899999999996</v>
      </c>
      <c r="I1154" s="8">
        <v>4.6130090716077987E-2</v>
      </c>
      <c r="J1154" s="8">
        <v>0.14684722809987319</v>
      </c>
      <c r="K1154" s="8">
        <v>0.21852517985611519</v>
      </c>
      <c r="L1154" s="8">
        <v>0.20150742629128809</v>
      </c>
      <c r="M1154" s="18">
        <v>0.61300992496335449</v>
      </c>
    </row>
    <row r="1155" spans="1:13" x14ac:dyDescent="0.45">
      <c r="A1155" t="s">
        <v>261</v>
      </c>
      <c r="B1155" s="18">
        <v>46.68</v>
      </c>
      <c r="C1155" s="18">
        <v>43.36</v>
      </c>
      <c r="D1155" s="18">
        <v>40.53</v>
      </c>
      <c r="E1155" s="18">
        <v>38.31</v>
      </c>
      <c r="F1155" s="18">
        <v>43.46</v>
      </c>
      <c r="G1155" s="18">
        <v>43.905199999999986</v>
      </c>
      <c r="H1155" s="18">
        <v>41.369400000000013</v>
      </c>
      <c r="I1155" s="8">
        <v>7.6568265682656733E-2</v>
      </c>
      <c r="J1155" s="8">
        <v>0.151739452257587</v>
      </c>
      <c r="K1155" s="8">
        <v>0.2184808144087704</v>
      </c>
      <c r="L1155" s="8">
        <v>7.4091118269673295E-2</v>
      </c>
      <c r="M1155" s="18">
        <v>0.52087965061868746</v>
      </c>
    </row>
    <row r="1156" spans="1:13" x14ac:dyDescent="0.45">
      <c r="A1156" t="s">
        <v>1855</v>
      </c>
      <c r="B1156" s="18">
        <v>55.27</v>
      </c>
      <c r="C1156" s="18">
        <v>58.24</v>
      </c>
      <c r="D1156" s="18">
        <v>56.38</v>
      </c>
      <c r="E1156" s="18">
        <v>45.37</v>
      </c>
      <c r="F1156" s="18">
        <v>55.16</v>
      </c>
      <c r="G1156" s="18">
        <v>57.833799999999997</v>
      </c>
      <c r="H1156" s="18">
        <v>53.546449999999993</v>
      </c>
      <c r="I1156" s="8">
        <v>-5.0995879120879113E-2</v>
      </c>
      <c r="J1156" s="8">
        <v>-1.9687832564739272E-2</v>
      </c>
      <c r="K1156" s="8">
        <v>0.21820586290500341</v>
      </c>
      <c r="L1156" s="8">
        <v>1.9941986947065171E-3</v>
      </c>
      <c r="M1156" s="18">
        <v>0.1495163499140916</v>
      </c>
    </row>
    <row r="1157" spans="1:13" x14ac:dyDescent="0.45">
      <c r="A1157" t="s">
        <v>2160</v>
      </c>
      <c r="B1157" s="18">
        <v>92.38</v>
      </c>
      <c r="C1157" s="18">
        <v>98.33</v>
      </c>
      <c r="D1157" s="18">
        <v>142.03</v>
      </c>
      <c r="E1157" s="18">
        <v>75.849999999999994</v>
      </c>
      <c r="F1157" s="18">
        <v>110.02</v>
      </c>
      <c r="G1157" s="18">
        <v>103.1386</v>
      </c>
      <c r="H1157" s="18">
        <v>111.13039999999999</v>
      </c>
      <c r="I1157" s="8">
        <v>-6.0510525780534952E-2</v>
      </c>
      <c r="J1157" s="8">
        <v>-0.34957403365486173</v>
      </c>
      <c r="K1157" s="8">
        <v>0.21793012524719829</v>
      </c>
      <c r="L1157" s="8">
        <v>-0.16033448463915659</v>
      </c>
      <c r="M1157" s="18">
        <v>-0.35248891882735489</v>
      </c>
    </row>
    <row r="1158" spans="1:13" x14ac:dyDescent="0.45">
      <c r="A1158" t="s">
        <v>1336</v>
      </c>
      <c r="B1158" s="18">
        <v>48.75</v>
      </c>
      <c r="C1158" s="18">
        <v>49.14</v>
      </c>
      <c r="D1158" s="18">
        <v>44.48</v>
      </c>
      <c r="E1158" s="18">
        <v>40.03</v>
      </c>
      <c r="F1158" s="18">
        <v>33.979999999999997</v>
      </c>
      <c r="G1158" s="18">
        <v>47.188000000000002</v>
      </c>
      <c r="H1158" s="18">
        <v>41.829749999999997</v>
      </c>
      <c r="I1158" s="8">
        <v>-7.9365079365079083E-3</v>
      </c>
      <c r="J1158" s="8">
        <v>9.5998201438848962E-2</v>
      </c>
      <c r="K1158" s="8">
        <v>0.2178366225331001</v>
      </c>
      <c r="L1158" s="8">
        <v>0.43466745144202479</v>
      </c>
      <c r="M1158" s="18">
        <v>0.74056576747746594</v>
      </c>
    </row>
    <row r="1159" spans="1:13" x14ac:dyDescent="0.45">
      <c r="A1159" t="s">
        <v>670</v>
      </c>
      <c r="B1159" s="18">
        <v>2.69</v>
      </c>
      <c r="C1159" s="18">
        <v>2.39</v>
      </c>
      <c r="D1159" s="18">
        <v>2.65</v>
      </c>
      <c r="E1159" s="18">
        <v>2.21</v>
      </c>
      <c r="F1159" s="18">
        <v>2.41</v>
      </c>
      <c r="G1159" s="18">
        <v>2.4037999999999999</v>
      </c>
      <c r="H1159" s="18">
        <v>2.4971999999999999</v>
      </c>
      <c r="I1159" s="8">
        <v>0.12552301255230119</v>
      </c>
      <c r="J1159" s="8">
        <v>1.509433962264151E-2</v>
      </c>
      <c r="K1159" s="8">
        <v>0.2171945701357465</v>
      </c>
      <c r="L1159" s="8">
        <v>0.11618257261410769</v>
      </c>
      <c r="M1159" s="18">
        <v>0.47399449492479689</v>
      </c>
    </row>
    <row r="1160" spans="1:13" x14ac:dyDescent="0.45">
      <c r="A1160" t="s">
        <v>1745</v>
      </c>
      <c r="B1160" s="18">
        <v>7.69</v>
      </c>
      <c r="C1160" s="18">
        <v>8.36</v>
      </c>
      <c r="D1160" s="18">
        <v>8.18</v>
      </c>
      <c r="E1160" s="18">
        <v>6.32</v>
      </c>
      <c r="F1160" s="18">
        <v>12.63</v>
      </c>
      <c r="G1160" s="18">
        <v>7.9548000000000014</v>
      </c>
      <c r="H1160" s="18">
        <v>8.1653500000000001</v>
      </c>
      <c r="I1160" s="8">
        <v>-8.0143540669856295E-2</v>
      </c>
      <c r="J1160" s="8">
        <v>-5.9902200488997533E-2</v>
      </c>
      <c r="K1160" s="8">
        <v>0.21677215189873419</v>
      </c>
      <c r="L1160" s="8">
        <v>-0.39113222486144111</v>
      </c>
      <c r="M1160" s="18">
        <v>-0.31440581412156071</v>
      </c>
    </row>
    <row r="1161" spans="1:13" x14ac:dyDescent="0.45">
      <c r="A1161" t="s">
        <v>799</v>
      </c>
      <c r="B1161" s="18">
        <v>11.8</v>
      </c>
      <c r="C1161" s="18">
        <v>11.61</v>
      </c>
      <c r="D1161" s="18">
        <v>11.48</v>
      </c>
      <c r="E1161" s="18">
        <v>9.6999999999999993</v>
      </c>
      <c r="F1161" s="18">
        <v>11.18</v>
      </c>
      <c r="G1161" s="18">
        <v>11.5344</v>
      </c>
      <c r="H1161" s="18">
        <v>11.1709</v>
      </c>
      <c r="I1161" s="8">
        <v>1.6365202411714241E-2</v>
      </c>
      <c r="J1161" s="8">
        <v>2.787456445993031E-2</v>
      </c>
      <c r="K1161" s="8">
        <v>0.21649484536082489</v>
      </c>
      <c r="L1161" s="8">
        <v>5.5456171735241533E-2</v>
      </c>
      <c r="M1161" s="18">
        <v>0.31619078396771089</v>
      </c>
    </row>
    <row r="1162" spans="1:13" x14ac:dyDescent="0.45">
      <c r="A1162" t="s">
        <v>909</v>
      </c>
      <c r="B1162" s="18">
        <v>1.97</v>
      </c>
      <c r="C1162" s="18">
        <v>2.02</v>
      </c>
      <c r="D1162" s="18">
        <v>1.91</v>
      </c>
      <c r="E1162" s="18">
        <v>1.62</v>
      </c>
      <c r="F1162" s="18">
        <v>2.0299999999999998</v>
      </c>
      <c r="G1162" s="18">
        <v>1.9936</v>
      </c>
      <c r="H1162" s="18">
        <v>1.88585</v>
      </c>
      <c r="I1162" s="8">
        <v>-2.4752475247524771E-2</v>
      </c>
      <c r="J1162" s="8">
        <v>3.1413612565444948E-2</v>
      </c>
      <c r="K1162" s="8">
        <v>0.2160493827160492</v>
      </c>
      <c r="L1162" s="8">
        <v>-2.9556650246305379E-2</v>
      </c>
      <c r="M1162" s="18">
        <v>0.193153869787664</v>
      </c>
    </row>
    <row r="1163" spans="1:13" x14ac:dyDescent="0.45">
      <c r="A1163" t="s">
        <v>1768</v>
      </c>
      <c r="B1163" s="18">
        <v>88.76</v>
      </c>
      <c r="C1163" s="18">
        <v>86.01</v>
      </c>
      <c r="D1163" s="18">
        <v>82.19</v>
      </c>
      <c r="E1163" s="18">
        <v>73</v>
      </c>
      <c r="F1163" s="18">
        <v>61.11</v>
      </c>
      <c r="G1163" s="18">
        <v>88.035799999999995</v>
      </c>
      <c r="H1163" s="18">
        <v>79.604600000000005</v>
      </c>
      <c r="I1163" s="8">
        <v>3.1973026392279953E-2</v>
      </c>
      <c r="J1163" s="8">
        <v>7.9936731962525931E-2</v>
      </c>
      <c r="K1163" s="8">
        <v>0.21589041095890421</v>
      </c>
      <c r="L1163" s="8">
        <v>0.45246277205040109</v>
      </c>
      <c r="M1163" s="18">
        <v>0.78026294136411112</v>
      </c>
    </row>
    <row r="1164" spans="1:13" x14ac:dyDescent="0.45">
      <c r="A1164" t="s">
        <v>635</v>
      </c>
      <c r="B1164" s="18">
        <v>149.80000000000001</v>
      </c>
      <c r="C1164" s="18">
        <v>175.07</v>
      </c>
      <c r="D1164" s="18">
        <v>180.13</v>
      </c>
      <c r="E1164" s="18">
        <v>123.21</v>
      </c>
      <c r="F1164" s="18">
        <v>160.38999999999999</v>
      </c>
      <c r="G1164" s="18">
        <v>177.0444</v>
      </c>
      <c r="H1164" s="18">
        <v>170.2354</v>
      </c>
      <c r="I1164" s="8">
        <v>-0.14434226309476189</v>
      </c>
      <c r="J1164" s="8">
        <v>-0.168378393382557</v>
      </c>
      <c r="K1164" s="8">
        <v>0.21581040499959439</v>
      </c>
      <c r="L1164" s="8">
        <v>-6.6026560259367595E-2</v>
      </c>
      <c r="M1164" s="18">
        <v>-0.16293681173709221</v>
      </c>
    </row>
    <row r="1165" spans="1:13" x14ac:dyDescent="0.45">
      <c r="A1165" t="s">
        <v>2449</v>
      </c>
      <c r="B1165" s="18">
        <v>26.51</v>
      </c>
      <c r="C1165" s="18">
        <v>28</v>
      </c>
      <c r="D1165" s="18">
        <v>26.07</v>
      </c>
      <c r="E1165" s="18">
        <v>21.81</v>
      </c>
      <c r="F1165" s="18">
        <v>27.38</v>
      </c>
      <c r="G1165" s="18">
        <v>27.831</v>
      </c>
      <c r="H1165" s="18">
        <v>26.36035</v>
      </c>
      <c r="I1165" s="8">
        <v>-5.3214285714285658E-2</v>
      </c>
      <c r="J1165" s="8">
        <v>1.68776371308017E-2</v>
      </c>
      <c r="K1165" s="8">
        <v>0.21549747822099971</v>
      </c>
      <c r="L1165" s="8">
        <v>-3.1775018261504639E-2</v>
      </c>
      <c r="M1165" s="18">
        <v>0.14738581137601109</v>
      </c>
    </row>
    <row r="1166" spans="1:13" x14ac:dyDescent="0.45">
      <c r="A1166" t="s">
        <v>1013</v>
      </c>
      <c r="B1166" s="18">
        <v>15.31</v>
      </c>
      <c r="C1166" s="18">
        <v>17.850000000000001</v>
      </c>
      <c r="D1166" s="18">
        <v>18.829999999999998</v>
      </c>
      <c r="E1166" s="18">
        <v>12.6</v>
      </c>
      <c r="F1166" s="18">
        <v>23.44</v>
      </c>
      <c r="G1166" s="18">
        <v>16.584199999999999</v>
      </c>
      <c r="H1166" s="18">
        <v>17.75515</v>
      </c>
      <c r="I1166" s="8">
        <v>-0.14229691876750711</v>
      </c>
      <c r="J1166" s="8">
        <v>-0.18693574083908651</v>
      </c>
      <c r="K1166" s="8">
        <v>0.2150793650793652</v>
      </c>
      <c r="L1166" s="8">
        <v>-0.34684300341296931</v>
      </c>
      <c r="M1166" s="18">
        <v>-0.46099629794019759</v>
      </c>
    </row>
    <row r="1167" spans="1:13" x14ac:dyDescent="0.45">
      <c r="A1167" t="s">
        <v>1286</v>
      </c>
      <c r="B1167" s="18">
        <v>7.78</v>
      </c>
      <c r="C1167" s="18">
        <v>8.11</v>
      </c>
      <c r="D1167" s="18">
        <v>6.59</v>
      </c>
      <c r="E1167" s="18">
        <v>6.41</v>
      </c>
      <c r="F1167" s="18">
        <v>7.62</v>
      </c>
      <c r="G1167" s="18">
        <v>7.8491999999999997</v>
      </c>
      <c r="H1167" s="18">
        <v>7.5065999999999997</v>
      </c>
      <c r="I1167" s="8">
        <v>-4.0690505548705243E-2</v>
      </c>
      <c r="J1167" s="8">
        <v>0.18057663125948409</v>
      </c>
      <c r="K1167" s="8">
        <v>0.2137285491419656</v>
      </c>
      <c r="L1167" s="8">
        <v>2.09973753280841E-2</v>
      </c>
      <c r="M1167" s="18">
        <v>0.37461205018082849</v>
      </c>
    </row>
    <row r="1168" spans="1:13" x14ac:dyDescent="0.45">
      <c r="A1168" t="s">
        <v>1821</v>
      </c>
      <c r="B1168" s="18">
        <v>108.53</v>
      </c>
      <c r="C1168" s="18">
        <v>101.58</v>
      </c>
      <c r="D1168" s="18">
        <v>98.24</v>
      </c>
      <c r="E1168" s="18">
        <v>89.42</v>
      </c>
      <c r="F1168" s="18">
        <v>100.47</v>
      </c>
      <c r="G1168" s="18">
        <v>103.53611600000001</v>
      </c>
      <c r="H1168" s="18">
        <v>101.615229</v>
      </c>
      <c r="I1168" s="8">
        <v>6.8418980114195671E-2</v>
      </c>
      <c r="J1168" s="8">
        <v>0.1047434853420197</v>
      </c>
      <c r="K1168" s="8">
        <v>0.2137105792887497</v>
      </c>
      <c r="L1168" s="8">
        <v>8.0222952125012403E-2</v>
      </c>
      <c r="M1168" s="18">
        <v>0.46709599686997749</v>
      </c>
    </row>
    <row r="1169" spans="1:13" x14ac:dyDescent="0.45">
      <c r="A1169" t="s">
        <v>306</v>
      </c>
      <c r="B1169" s="18">
        <v>80.989999999999995</v>
      </c>
      <c r="C1169" s="18">
        <v>79.66</v>
      </c>
      <c r="D1169" s="18">
        <v>88.69</v>
      </c>
      <c r="E1169" s="18">
        <v>66.75</v>
      </c>
      <c r="F1169" s="18">
        <v>101.13</v>
      </c>
      <c r="G1169" s="18">
        <v>80.105199999999996</v>
      </c>
      <c r="H1169" s="18">
        <v>82.943950000000001</v>
      </c>
      <c r="I1169" s="8">
        <v>1.669595782073818E-2</v>
      </c>
      <c r="J1169" s="8">
        <v>-8.681925808997637E-2</v>
      </c>
      <c r="K1169" s="8">
        <v>0.21333333333333321</v>
      </c>
      <c r="L1169" s="8">
        <v>-0.199149609413626</v>
      </c>
      <c r="M1169" s="18">
        <v>-5.5939576349531062E-2</v>
      </c>
    </row>
    <row r="1170" spans="1:13" x14ac:dyDescent="0.45">
      <c r="A1170" t="s">
        <v>597</v>
      </c>
      <c r="B1170" s="18">
        <v>19.350000000000001</v>
      </c>
      <c r="C1170" s="18">
        <v>18.260000000000002</v>
      </c>
      <c r="D1170" s="18">
        <v>17.440000000000001</v>
      </c>
      <c r="E1170" s="18">
        <v>15.95</v>
      </c>
      <c r="F1170" s="18">
        <v>15.8</v>
      </c>
      <c r="G1170" s="18">
        <v>18.422599999999999</v>
      </c>
      <c r="H1170" s="18">
        <v>17.466999999999999</v>
      </c>
      <c r="I1170" s="8">
        <v>5.9693318729463263E-2</v>
      </c>
      <c r="J1170" s="8">
        <v>0.1095183486238531</v>
      </c>
      <c r="K1170" s="8">
        <v>0.21316614420062721</v>
      </c>
      <c r="L1170" s="8">
        <v>0.22468354430379761</v>
      </c>
      <c r="M1170" s="18">
        <v>0.60706135585774113</v>
      </c>
    </row>
    <row r="1171" spans="1:13" x14ac:dyDescent="0.45">
      <c r="A1171" t="s">
        <v>394</v>
      </c>
      <c r="B1171" s="18">
        <v>213.28</v>
      </c>
      <c r="C1171" s="18">
        <v>214.07</v>
      </c>
      <c r="D1171" s="18">
        <v>207.24</v>
      </c>
      <c r="E1171" s="18">
        <v>175.97</v>
      </c>
      <c r="F1171" s="18">
        <v>213.37</v>
      </c>
      <c r="G1171" s="18">
        <v>208.23439999999999</v>
      </c>
      <c r="H1171" s="18">
        <v>204.10634999999999</v>
      </c>
      <c r="I1171" s="8">
        <v>-3.6903816508618852E-3</v>
      </c>
      <c r="J1171" s="8">
        <v>2.914495271183171E-2</v>
      </c>
      <c r="K1171" s="8">
        <v>0.2120247769506165</v>
      </c>
      <c r="L1171" s="8">
        <v>-4.2180250269485692E-4</v>
      </c>
      <c r="M1171" s="18">
        <v>0.23705754550889149</v>
      </c>
    </row>
    <row r="1172" spans="1:13" x14ac:dyDescent="0.45">
      <c r="A1172" t="s">
        <v>2351</v>
      </c>
      <c r="B1172" s="18">
        <v>76.97</v>
      </c>
      <c r="C1172" s="18">
        <v>78.77</v>
      </c>
      <c r="D1172" s="18">
        <v>75.94</v>
      </c>
      <c r="E1172" s="18">
        <v>63.51</v>
      </c>
      <c r="F1172" s="18">
        <v>83.98</v>
      </c>
      <c r="G1172" s="18">
        <v>77.612000000000009</v>
      </c>
      <c r="H1172" s="18">
        <v>75.776949999999999</v>
      </c>
      <c r="I1172" s="8">
        <v>-2.2851339342389251E-2</v>
      </c>
      <c r="J1172" s="8">
        <v>1.356333947853572E-2</v>
      </c>
      <c r="K1172" s="8">
        <v>0.21193512832624781</v>
      </c>
      <c r="L1172" s="8">
        <v>-8.3472255298880693E-2</v>
      </c>
      <c r="M1172" s="18">
        <v>0.11917487316351361</v>
      </c>
    </row>
    <row r="1173" spans="1:13" x14ac:dyDescent="0.45">
      <c r="A1173" t="s">
        <v>2182</v>
      </c>
      <c r="B1173" s="18">
        <v>58.04</v>
      </c>
      <c r="C1173" s="18">
        <v>59.28</v>
      </c>
      <c r="D1173" s="18">
        <v>63.5</v>
      </c>
      <c r="E1173" s="18">
        <v>47.9</v>
      </c>
      <c r="F1173" s="18">
        <v>67.790000000000006</v>
      </c>
      <c r="G1173" s="18">
        <v>58.331400000000002</v>
      </c>
      <c r="H1173" s="18">
        <v>60.076999999999998</v>
      </c>
      <c r="I1173" s="8">
        <v>-2.0917678812415689E-2</v>
      </c>
      <c r="J1173" s="8">
        <v>-8.59842519685039E-2</v>
      </c>
      <c r="K1173" s="8">
        <v>0.21169102296450951</v>
      </c>
      <c r="L1173" s="8">
        <v>-0.143826523086001</v>
      </c>
      <c r="M1173" s="18">
        <v>-3.9037430902411067E-2</v>
      </c>
    </row>
    <row r="1174" spans="1:13" x14ac:dyDescent="0.45">
      <c r="A1174" t="s">
        <v>1196</v>
      </c>
      <c r="B1174" s="18">
        <v>24.68</v>
      </c>
      <c r="C1174" s="18">
        <v>24.31</v>
      </c>
      <c r="D1174" s="18">
        <v>24.38</v>
      </c>
      <c r="E1174" s="18">
        <v>20.37</v>
      </c>
      <c r="F1174" s="18">
        <v>24.65</v>
      </c>
      <c r="G1174" s="18">
        <v>24.2014</v>
      </c>
      <c r="H1174" s="18">
        <v>23.655200000000001</v>
      </c>
      <c r="I1174" s="8">
        <v>1.522007404360348E-2</v>
      </c>
      <c r="J1174" s="8">
        <v>1.2305168170631649E-2</v>
      </c>
      <c r="K1174" s="8">
        <v>0.2115856651939125</v>
      </c>
      <c r="L1174" s="8">
        <v>1.2170385395537939E-3</v>
      </c>
      <c r="M1174" s="18">
        <v>0.24032794594770149</v>
      </c>
    </row>
    <row r="1175" spans="1:13" x14ac:dyDescent="0.45">
      <c r="A1175" t="s">
        <v>257</v>
      </c>
      <c r="B1175" s="18">
        <v>239.93</v>
      </c>
      <c r="C1175" s="18">
        <v>225.75</v>
      </c>
      <c r="D1175" s="18">
        <v>238.73</v>
      </c>
      <c r="E1175" s="18">
        <v>198.07</v>
      </c>
      <c r="F1175" s="18">
        <v>260.83999999999997</v>
      </c>
      <c r="G1175" s="18">
        <v>230.2174</v>
      </c>
      <c r="H1175" s="18">
        <v>237.77520000000001</v>
      </c>
      <c r="I1175" s="8">
        <v>6.2812846068660111E-2</v>
      </c>
      <c r="J1175" s="8">
        <v>5.02659908683456E-3</v>
      </c>
      <c r="K1175" s="8">
        <v>0.2113394254556471</v>
      </c>
      <c r="L1175" s="8">
        <v>-8.0164085262996343E-2</v>
      </c>
      <c r="M1175" s="18">
        <v>0.1990147853481454</v>
      </c>
    </row>
    <row r="1176" spans="1:13" x14ac:dyDescent="0.45">
      <c r="A1176" t="s">
        <v>2246</v>
      </c>
      <c r="B1176" s="18">
        <v>36.43</v>
      </c>
      <c r="C1176" s="18">
        <v>36.14</v>
      </c>
      <c r="D1176" s="18">
        <v>35.94</v>
      </c>
      <c r="E1176" s="18">
        <v>30.08</v>
      </c>
      <c r="F1176" s="18">
        <v>37.67</v>
      </c>
      <c r="G1176" s="18">
        <v>35.606200000000001</v>
      </c>
      <c r="H1176" s="18">
        <v>35.0336</v>
      </c>
      <c r="I1176" s="8">
        <v>8.0243497509684403E-3</v>
      </c>
      <c r="J1176" s="8">
        <v>1.363383416805797E-2</v>
      </c>
      <c r="K1176" s="8">
        <v>0.2111037234042554</v>
      </c>
      <c r="L1176" s="8">
        <v>-3.2917440934430608E-2</v>
      </c>
      <c r="M1176" s="18">
        <v>0.1998444663888512</v>
      </c>
    </row>
    <row r="1177" spans="1:13" x14ac:dyDescent="0.45">
      <c r="A1177" t="s">
        <v>1054</v>
      </c>
      <c r="B1177" s="18">
        <v>44.99</v>
      </c>
      <c r="C1177" s="18">
        <v>43.69</v>
      </c>
      <c r="D1177" s="18">
        <v>44.27</v>
      </c>
      <c r="E1177" s="18">
        <v>37.15</v>
      </c>
      <c r="F1177" s="18">
        <v>44.37</v>
      </c>
      <c r="G1177" s="18">
        <v>44.332599999999999</v>
      </c>
      <c r="H1177" s="18">
        <v>42.470550000000003</v>
      </c>
      <c r="I1177" s="8">
        <v>2.9755092698558139E-2</v>
      </c>
      <c r="J1177" s="8">
        <v>1.626383555455169E-2</v>
      </c>
      <c r="K1177" s="8">
        <v>0.21103633916554521</v>
      </c>
      <c r="L1177" s="8">
        <v>1.3973405454135829E-2</v>
      </c>
      <c r="M1177" s="18">
        <v>0.27102867287279092</v>
      </c>
    </row>
    <row r="1178" spans="1:13" x14ac:dyDescent="0.45">
      <c r="A1178" t="s">
        <v>1939</v>
      </c>
      <c r="B1178" s="18">
        <v>2.0099999999999998</v>
      </c>
      <c r="C1178" s="18">
        <v>1.95</v>
      </c>
      <c r="D1178" s="18">
        <v>2.21</v>
      </c>
      <c r="E1178" s="18">
        <v>1.66</v>
      </c>
      <c r="F1178" s="18">
        <v>1.93</v>
      </c>
      <c r="G1178" s="18">
        <v>1.9516</v>
      </c>
      <c r="H1178" s="18">
        <v>2.0528244999999998</v>
      </c>
      <c r="I1178" s="8">
        <v>3.076923076923066E-2</v>
      </c>
      <c r="J1178" s="8">
        <v>-9.0497737556561209E-2</v>
      </c>
      <c r="K1178" s="8">
        <v>0.21084337349397589</v>
      </c>
      <c r="L1178" s="8">
        <v>4.1450777202072457E-2</v>
      </c>
      <c r="M1178" s="18">
        <v>0.1925656439087178</v>
      </c>
    </row>
    <row r="1179" spans="1:13" x14ac:dyDescent="0.45">
      <c r="A1179" t="s">
        <v>2526</v>
      </c>
      <c r="B1179" s="18">
        <v>6.51</v>
      </c>
      <c r="C1179" s="18">
        <v>5.79</v>
      </c>
      <c r="D1179" s="18">
        <v>6.06</v>
      </c>
      <c r="E1179" s="18">
        <v>5.38</v>
      </c>
      <c r="F1179" s="18">
        <v>7.45</v>
      </c>
      <c r="G1179" s="18">
        <v>5.9715999999999996</v>
      </c>
      <c r="H1179" s="18">
        <v>6.1294000000000004</v>
      </c>
      <c r="I1179" s="8">
        <v>0.1243523316062176</v>
      </c>
      <c r="J1179" s="8">
        <v>7.4257425742574323E-2</v>
      </c>
      <c r="K1179" s="8">
        <v>0.21003717472118949</v>
      </c>
      <c r="L1179" s="8">
        <v>-0.12617449664429539</v>
      </c>
      <c r="M1179" s="18">
        <v>0.28247243542568612</v>
      </c>
    </row>
    <row r="1180" spans="1:13" x14ac:dyDescent="0.45">
      <c r="A1180" t="s">
        <v>126</v>
      </c>
      <c r="B1180" s="18">
        <v>183.19</v>
      </c>
      <c r="C1180" s="18">
        <v>187.48</v>
      </c>
      <c r="D1180" s="18">
        <v>181.44</v>
      </c>
      <c r="E1180" s="18">
        <v>151.41</v>
      </c>
      <c r="F1180" s="18">
        <v>170.11</v>
      </c>
      <c r="G1180" s="18">
        <v>185.54400000000001</v>
      </c>
      <c r="H1180" s="18">
        <v>179.56540000000001</v>
      </c>
      <c r="I1180" s="8">
        <v>-2.2882440793684618E-2</v>
      </c>
      <c r="J1180" s="8">
        <v>9.6450617283949658E-3</v>
      </c>
      <c r="K1180" s="8">
        <v>0.2098936662043458</v>
      </c>
      <c r="L1180" s="8">
        <v>7.6891423196755015E-2</v>
      </c>
      <c r="M1180" s="18">
        <v>0.27354771033581121</v>
      </c>
    </row>
    <row r="1181" spans="1:13" x14ac:dyDescent="0.45">
      <c r="A1181" t="s">
        <v>1651</v>
      </c>
      <c r="B1181" s="18">
        <v>32.58</v>
      </c>
      <c r="C1181" s="18">
        <v>30.86</v>
      </c>
      <c r="D1181" s="18">
        <v>30.72</v>
      </c>
      <c r="E1181" s="18">
        <v>26.93</v>
      </c>
      <c r="F1181" s="18">
        <v>30.24</v>
      </c>
      <c r="G1181" s="18">
        <v>30.925599999999999</v>
      </c>
      <c r="H1181" s="18">
        <v>30.665050000000001</v>
      </c>
      <c r="I1181" s="8">
        <v>5.5735580038885242E-2</v>
      </c>
      <c r="J1181" s="8">
        <v>6.0546875E-2</v>
      </c>
      <c r="K1181" s="8">
        <v>0.20980319346453771</v>
      </c>
      <c r="L1181" s="8">
        <v>7.7380952380952328E-2</v>
      </c>
      <c r="M1181" s="18">
        <v>0.40346660088437519</v>
      </c>
    </row>
    <row r="1182" spans="1:13" x14ac:dyDescent="0.45">
      <c r="A1182" t="s">
        <v>51</v>
      </c>
      <c r="B1182" s="18">
        <v>657.8</v>
      </c>
      <c r="C1182" s="18">
        <v>670.89</v>
      </c>
      <c r="D1182" s="18">
        <v>747.9</v>
      </c>
      <c r="E1182" s="18">
        <v>544.07000000000005</v>
      </c>
      <c r="F1182" s="18">
        <v>610.66999999999996</v>
      </c>
      <c r="G1182" s="18">
        <v>695.22720000000004</v>
      </c>
      <c r="H1182" s="18">
        <v>666.29089999999997</v>
      </c>
      <c r="I1182" s="8">
        <v>-1.951139531070667E-2</v>
      </c>
      <c r="J1182" s="8">
        <v>-0.1204706511565717</v>
      </c>
      <c r="K1182" s="8">
        <v>0.20903560203650251</v>
      </c>
      <c r="L1182" s="8">
        <v>7.7177526323546353E-2</v>
      </c>
      <c r="M1182" s="18">
        <v>0.14623108189277051</v>
      </c>
    </row>
    <row r="1183" spans="1:13" x14ac:dyDescent="0.45">
      <c r="A1183" t="s">
        <v>1363</v>
      </c>
      <c r="B1183" s="18">
        <v>6.0780000000000003</v>
      </c>
      <c r="C1183" s="18">
        <v>5.98</v>
      </c>
      <c r="D1183" s="18">
        <v>6.03</v>
      </c>
      <c r="E1183" s="18">
        <v>5.03</v>
      </c>
      <c r="F1183" s="18">
        <v>5.09</v>
      </c>
      <c r="G1183" s="18">
        <v>6.0121799999999999</v>
      </c>
      <c r="H1183" s="18">
        <v>5.6033499999999989</v>
      </c>
      <c r="I1183" s="8">
        <v>1.6387959866220662E-2</v>
      </c>
      <c r="J1183" s="8">
        <v>7.9601990049751326E-3</v>
      </c>
      <c r="K1183" s="8">
        <v>0.20834990059642161</v>
      </c>
      <c r="L1183" s="8">
        <v>0.194106090373281</v>
      </c>
      <c r="M1183" s="18">
        <v>0.42680414984089832</v>
      </c>
    </row>
    <row r="1184" spans="1:13" x14ac:dyDescent="0.45">
      <c r="A1184" t="s">
        <v>284</v>
      </c>
      <c r="B1184" s="18">
        <v>133.01</v>
      </c>
      <c r="C1184" s="18">
        <v>130.84</v>
      </c>
      <c r="D1184" s="18">
        <v>121.95</v>
      </c>
      <c r="E1184" s="18">
        <v>110.1</v>
      </c>
      <c r="F1184" s="18">
        <v>118.09</v>
      </c>
      <c r="G1184" s="18">
        <v>131.06720000000001</v>
      </c>
      <c r="H1184" s="18">
        <v>122.33955</v>
      </c>
      <c r="I1184" s="8">
        <v>1.6585142158361151E-2</v>
      </c>
      <c r="J1184" s="8">
        <v>9.0692906929069173E-2</v>
      </c>
      <c r="K1184" s="8">
        <v>0.20808356039963671</v>
      </c>
      <c r="L1184" s="8">
        <v>0.12634431365907339</v>
      </c>
      <c r="M1184" s="18">
        <v>0.44170592314614038</v>
      </c>
    </row>
    <row r="1185" spans="1:13" x14ac:dyDescent="0.45">
      <c r="A1185" t="s">
        <v>2225</v>
      </c>
      <c r="B1185" s="18">
        <v>18.309999999999999</v>
      </c>
      <c r="C1185" s="18">
        <v>18.739999999999998</v>
      </c>
      <c r="D1185" s="18">
        <v>18.45</v>
      </c>
      <c r="E1185" s="18">
        <v>15.16</v>
      </c>
      <c r="F1185" s="18">
        <v>13.95</v>
      </c>
      <c r="G1185" s="18">
        <v>18.424800000000001</v>
      </c>
      <c r="H1185" s="18">
        <v>17.283149999999999</v>
      </c>
      <c r="I1185" s="8">
        <v>-2.2945570971184659E-2</v>
      </c>
      <c r="J1185" s="8">
        <v>-7.5880758807588267E-3</v>
      </c>
      <c r="K1185" s="8">
        <v>0.20778364116094969</v>
      </c>
      <c r="L1185" s="8">
        <v>0.3125448028673834</v>
      </c>
      <c r="M1185" s="18">
        <v>0.48979479717638957</v>
      </c>
    </row>
    <row r="1186" spans="1:13" x14ac:dyDescent="0.45">
      <c r="A1186" t="s">
        <v>1770</v>
      </c>
      <c r="B1186" s="18">
        <v>73.61</v>
      </c>
      <c r="C1186" s="18">
        <v>70.36</v>
      </c>
      <c r="D1186" s="18">
        <v>70.650000000000006</v>
      </c>
      <c r="E1186" s="18">
        <v>60.958799999999997</v>
      </c>
      <c r="F1186" s="18">
        <v>63.5657</v>
      </c>
      <c r="G1186" s="18">
        <v>71.253600000000006</v>
      </c>
      <c r="H1186" s="18">
        <v>66.74429099999999</v>
      </c>
      <c r="I1186" s="8">
        <v>4.6191017623649737E-2</v>
      </c>
      <c r="J1186" s="8">
        <v>4.1896673743807337E-2</v>
      </c>
      <c r="K1186" s="8">
        <v>0.20753689377087481</v>
      </c>
      <c r="L1186" s="8">
        <v>0.15801446377527489</v>
      </c>
      <c r="M1186" s="18">
        <v>0.45363904891360679</v>
      </c>
    </row>
    <row r="1187" spans="1:13" x14ac:dyDescent="0.45">
      <c r="A1187" t="s">
        <v>1541</v>
      </c>
      <c r="B1187" s="18">
        <v>23</v>
      </c>
      <c r="C1187" s="18">
        <v>23</v>
      </c>
      <c r="D1187" s="18">
        <v>15.59</v>
      </c>
      <c r="E1187" s="18">
        <v>19.05</v>
      </c>
      <c r="F1187" s="18">
        <v>17.55</v>
      </c>
      <c r="G1187" s="18">
        <v>23.0594</v>
      </c>
      <c r="H1187" s="18">
        <v>19.355250000000002</v>
      </c>
      <c r="I1187" s="8">
        <v>0</v>
      </c>
      <c r="J1187" s="8">
        <v>0.47530468248877478</v>
      </c>
      <c r="K1187" s="8">
        <v>0.2073490813648293</v>
      </c>
      <c r="L1187" s="8">
        <v>0.3105413105413104</v>
      </c>
      <c r="M1187" s="18">
        <v>0.9931950743949145</v>
      </c>
    </row>
    <row r="1188" spans="1:13" x14ac:dyDescent="0.45">
      <c r="A1188" t="s">
        <v>246</v>
      </c>
      <c r="B1188" s="18">
        <v>77.83</v>
      </c>
      <c r="C1188" s="18">
        <v>71.099999999999994</v>
      </c>
      <c r="D1188" s="18">
        <v>69.415000000000006</v>
      </c>
      <c r="E1188" s="18">
        <v>64.510000000000005</v>
      </c>
      <c r="F1188" s="18">
        <v>60.33</v>
      </c>
      <c r="G1188" s="18">
        <v>72.84899999999999</v>
      </c>
      <c r="H1188" s="18">
        <v>68.039924999999997</v>
      </c>
      <c r="I1188" s="8">
        <v>9.4655414908579427E-2</v>
      </c>
      <c r="J1188" s="8">
        <v>0.1212274004177769</v>
      </c>
      <c r="K1188" s="8">
        <v>0.20647961556347849</v>
      </c>
      <c r="L1188" s="8">
        <v>0.29007127465605831</v>
      </c>
      <c r="M1188" s="18">
        <v>0.71243370554589314</v>
      </c>
    </row>
    <row r="1189" spans="1:13" x14ac:dyDescent="0.45">
      <c r="A1189" t="s">
        <v>2032</v>
      </c>
      <c r="B1189" s="18">
        <v>28.41</v>
      </c>
      <c r="C1189" s="18">
        <v>27.27</v>
      </c>
      <c r="D1189" s="18">
        <v>33.479999999999997</v>
      </c>
      <c r="E1189" s="18">
        <v>23.55</v>
      </c>
      <c r="F1189" s="18">
        <v>24.49</v>
      </c>
      <c r="G1189" s="18">
        <v>27.861999999999998</v>
      </c>
      <c r="H1189" s="18">
        <v>29.675750000000001</v>
      </c>
      <c r="I1189" s="8">
        <v>4.1804180418041792E-2</v>
      </c>
      <c r="J1189" s="8">
        <v>-0.1514336917562723</v>
      </c>
      <c r="K1189" s="8">
        <v>0.20636942675159231</v>
      </c>
      <c r="L1189" s="8">
        <v>0.16006533278889351</v>
      </c>
      <c r="M1189" s="18">
        <v>0.25680524820225531</v>
      </c>
    </row>
    <row r="1190" spans="1:13" x14ac:dyDescent="0.45">
      <c r="A1190" t="s">
        <v>893</v>
      </c>
      <c r="B1190" s="18">
        <v>127.47</v>
      </c>
      <c r="C1190" s="18">
        <v>128.52000000000001</v>
      </c>
      <c r="D1190" s="18">
        <v>137.54</v>
      </c>
      <c r="E1190" s="18">
        <v>105.8</v>
      </c>
      <c r="F1190" s="18">
        <v>113.32</v>
      </c>
      <c r="G1190" s="18">
        <v>127.1584</v>
      </c>
      <c r="H1190" s="18">
        <v>128.98085</v>
      </c>
      <c r="I1190" s="8">
        <v>-8.1699346405229578E-3</v>
      </c>
      <c r="J1190" s="8">
        <v>-7.3215064708448407E-2</v>
      </c>
      <c r="K1190" s="8">
        <v>0.204820415879017</v>
      </c>
      <c r="L1190" s="8">
        <v>0.1248676314860573</v>
      </c>
      <c r="M1190" s="18">
        <v>0.2483030480161029</v>
      </c>
    </row>
    <row r="1191" spans="1:13" x14ac:dyDescent="0.45">
      <c r="A1191" t="s">
        <v>2006</v>
      </c>
      <c r="B1191" s="18">
        <v>2.12</v>
      </c>
      <c r="C1191" s="18">
        <v>1.76</v>
      </c>
      <c r="D1191" s="18">
        <v>2.3199999999999998</v>
      </c>
      <c r="E1191" s="18">
        <v>1.76</v>
      </c>
      <c r="F1191" s="18">
        <v>2.41</v>
      </c>
      <c r="G1191" s="18">
        <v>1.9408000000000001</v>
      </c>
      <c r="H1191" s="18">
        <v>2.53145</v>
      </c>
      <c r="I1191" s="8">
        <v>0.20454545454545461</v>
      </c>
      <c r="J1191" s="8">
        <v>-8.6206896551723977E-2</v>
      </c>
      <c r="K1191" s="8">
        <v>0.20454545454545461</v>
      </c>
      <c r="L1191" s="8">
        <v>-0.1203319502074689</v>
      </c>
      <c r="M1191" s="18">
        <v>0.2025520623317163</v>
      </c>
    </row>
    <row r="1192" spans="1:13" x14ac:dyDescent="0.45">
      <c r="A1192" t="s">
        <v>2030</v>
      </c>
      <c r="B1192" s="18">
        <v>479.21</v>
      </c>
      <c r="C1192" s="18">
        <v>479.62</v>
      </c>
      <c r="D1192" s="18">
        <v>497.94</v>
      </c>
      <c r="E1192" s="18">
        <v>397.86</v>
      </c>
      <c r="F1192" s="18">
        <v>449.81</v>
      </c>
      <c r="G1192" s="18">
        <v>472.61259999999999</v>
      </c>
      <c r="H1192" s="18">
        <v>464.19405000000012</v>
      </c>
      <c r="I1192" s="8">
        <v>-8.5484341770569738E-4</v>
      </c>
      <c r="J1192" s="8">
        <v>-3.7614973691609488E-2</v>
      </c>
      <c r="K1192" s="8">
        <v>0.20446890866133799</v>
      </c>
      <c r="L1192" s="8">
        <v>6.5360930170516474E-2</v>
      </c>
      <c r="M1192" s="18">
        <v>0.23136002172253931</v>
      </c>
    </row>
    <row r="1193" spans="1:13" x14ac:dyDescent="0.45">
      <c r="A1193" t="s">
        <v>2305</v>
      </c>
      <c r="B1193" s="18">
        <v>183.91</v>
      </c>
      <c r="C1193" s="18">
        <v>179.3</v>
      </c>
      <c r="D1193" s="18">
        <v>163.49</v>
      </c>
      <c r="E1193" s="18">
        <v>152.69</v>
      </c>
      <c r="F1193" s="18">
        <v>149.03</v>
      </c>
      <c r="G1193" s="18">
        <v>175.5102</v>
      </c>
      <c r="H1193" s="18">
        <v>166.87270000000001</v>
      </c>
      <c r="I1193" s="8">
        <v>2.5711098717233542E-2</v>
      </c>
      <c r="J1193" s="8">
        <v>0.1249006055416233</v>
      </c>
      <c r="K1193" s="8">
        <v>0.2044665662453338</v>
      </c>
      <c r="L1193" s="8">
        <v>0.23404683620747499</v>
      </c>
      <c r="M1193" s="18">
        <v>0.58912510671166562</v>
      </c>
    </row>
    <row r="1194" spans="1:13" x14ac:dyDescent="0.45">
      <c r="A1194" t="s">
        <v>818</v>
      </c>
      <c r="B1194" s="18">
        <v>5.25</v>
      </c>
      <c r="C1194" s="18">
        <v>5.34</v>
      </c>
      <c r="D1194" s="18">
        <v>5.0999999999999996</v>
      </c>
      <c r="E1194" s="18">
        <v>4.3600000000000003</v>
      </c>
      <c r="F1194" s="18">
        <v>5.3</v>
      </c>
      <c r="G1194" s="18">
        <v>5.2026000000000003</v>
      </c>
      <c r="H1194" s="18">
        <v>4.8823499999999997</v>
      </c>
      <c r="I1194" s="8">
        <v>-1.685393258426959E-2</v>
      </c>
      <c r="J1194" s="8">
        <v>2.941176470588247E-2</v>
      </c>
      <c r="K1194" s="8">
        <v>0.20412844036697231</v>
      </c>
      <c r="L1194" s="8">
        <v>-9.4339622641509413E-3</v>
      </c>
      <c r="M1194" s="18">
        <v>0.20725231022443419</v>
      </c>
    </row>
    <row r="1195" spans="1:13" x14ac:dyDescent="0.45">
      <c r="A1195" t="s">
        <v>989</v>
      </c>
      <c r="B1195" s="18">
        <v>19.47</v>
      </c>
      <c r="C1195" s="18">
        <v>20.64</v>
      </c>
      <c r="D1195" s="18">
        <v>18.809999999999999</v>
      </c>
      <c r="E1195" s="18">
        <v>16.170000000000002</v>
      </c>
      <c r="F1195" s="18">
        <v>16.059999999999999</v>
      </c>
      <c r="G1195" s="18">
        <v>20.095998000000002</v>
      </c>
      <c r="H1195" s="18">
        <v>18.311780500000001</v>
      </c>
      <c r="I1195" s="8">
        <v>-5.6686046511628008E-2</v>
      </c>
      <c r="J1195" s="8">
        <v>3.5087719298245723E-2</v>
      </c>
      <c r="K1195" s="8">
        <v>0.20408163265306101</v>
      </c>
      <c r="L1195" s="8">
        <v>0.2123287671232876</v>
      </c>
      <c r="M1195" s="18">
        <v>0.39481207256296641</v>
      </c>
    </row>
    <row r="1196" spans="1:13" x14ac:dyDescent="0.45">
      <c r="A1196" t="s">
        <v>1882</v>
      </c>
      <c r="B1196" s="18">
        <v>5.55</v>
      </c>
      <c r="C1196" s="18">
        <v>5.53</v>
      </c>
      <c r="D1196" s="18">
        <v>5.29</v>
      </c>
      <c r="E1196" s="18">
        <v>4.6100000000000003</v>
      </c>
      <c r="F1196" s="18">
        <v>6.15</v>
      </c>
      <c r="G1196" s="18">
        <v>5.4456000000000007</v>
      </c>
      <c r="H1196" s="18">
        <v>5.5997500000000002</v>
      </c>
      <c r="I1196" s="8">
        <v>3.6166365280287942E-3</v>
      </c>
      <c r="J1196" s="8">
        <v>4.914933837429114E-2</v>
      </c>
      <c r="K1196" s="8">
        <v>0.20390455531453361</v>
      </c>
      <c r="L1196" s="8">
        <v>-9.7560975609756184E-2</v>
      </c>
      <c r="M1196" s="18">
        <v>0.1591095546070973</v>
      </c>
    </row>
    <row r="1197" spans="1:13" x14ac:dyDescent="0.45">
      <c r="A1197" t="s">
        <v>925</v>
      </c>
      <c r="B1197" s="18">
        <v>3.73</v>
      </c>
      <c r="C1197" s="18">
        <v>4.4000000000000004</v>
      </c>
      <c r="D1197" s="18">
        <v>4.46</v>
      </c>
      <c r="E1197" s="18">
        <v>3.1</v>
      </c>
      <c r="F1197" s="18">
        <v>6.66</v>
      </c>
      <c r="G1197" s="18">
        <v>4.0857999999999999</v>
      </c>
      <c r="H1197" s="18">
        <v>4.3280500000000002</v>
      </c>
      <c r="I1197" s="8">
        <v>-0.15227272727272731</v>
      </c>
      <c r="J1197" s="8">
        <v>-0.16367713004484311</v>
      </c>
      <c r="K1197" s="8">
        <v>0.20322580645161281</v>
      </c>
      <c r="L1197" s="8">
        <v>-0.43993993993994002</v>
      </c>
      <c r="M1197" s="18">
        <v>-0.55266399080589756</v>
      </c>
    </row>
    <row r="1198" spans="1:13" x14ac:dyDescent="0.45">
      <c r="A1198" t="s">
        <v>1074</v>
      </c>
      <c r="B1198" s="18">
        <v>7.7</v>
      </c>
      <c r="C1198" s="18">
        <v>8.36</v>
      </c>
      <c r="D1198" s="18">
        <v>8.16</v>
      </c>
      <c r="E1198" s="18">
        <v>6.4</v>
      </c>
      <c r="F1198" s="18">
        <v>9.11</v>
      </c>
      <c r="G1198" s="18">
        <v>8.0947999999999993</v>
      </c>
      <c r="H1198" s="18">
        <v>8.0417500000000004</v>
      </c>
      <c r="I1198" s="8">
        <v>-7.8947368421052544E-2</v>
      </c>
      <c r="J1198" s="8">
        <v>-5.6372549019607858E-2</v>
      </c>
      <c r="K1198" s="8">
        <v>0.203125</v>
      </c>
      <c r="L1198" s="8">
        <v>-0.15477497255762901</v>
      </c>
      <c r="M1198" s="18">
        <v>-8.6969889998289363E-2</v>
      </c>
    </row>
    <row r="1199" spans="1:13" x14ac:dyDescent="0.45">
      <c r="A1199" t="s">
        <v>1717</v>
      </c>
      <c r="B1199" s="18">
        <v>26.98</v>
      </c>
      <c r="C1199" s="18">
        <v>28.25</v>
      </c>
      <c r="D1199" s="18">
        <v>25.87</v>
      </c>
      <c r="E1199" s="18">
        <v>22.43</v>
      </c>
      <c r="F1199" s="18">
        <v>25.7</v>
      </c>
      <c r="G1199" s="18">
        <v>27.726600000000001</v>
      </c>
      <c r="H1199" s="18">
        <v>25.734300000000001</v>
      </c>
      <c r="I1199" s="8">
        <v>-4.4955752212389337E-2</v>
      </c>
      <c r="J1199" s="8">
        <v>4.2906841901816817E-2</v>
      </c>
      <c r="K1199" s="8">
        <v>0.20285332144449411</v>
      </c>
      <c r="L1199" s="8">
        <v>4.9805447470817173E-2</v>
      </c>
      <c r="M1199" s="18">
        <v>0.25060985860473872</v>
      </c>
    </row>
    <row r="1200" spans="1:13" x14ac:dyDescent="0.45">
      <c r="A1200" t="s">
        <v>1598</v>
      </c>
      <c r="B1200" s="18">
        <v>139.86000000000001</v>
      </c>
      <c r="C1200" s="18">
        <v>138.1</v>
      </c>
      <c r="D1200" s="18">
        <v>140.69999999999999</v>
      </c>
      <c r="E1200" s="18">
        <v>116.32</v>
      </c>
      <c r="F1200" s="18">
        <v>123.29</v>
      </c>
      <c r="G1200" s="18">
        <v>138.94059999999999</v>
      </c>
      <c r="H1200" s="18">
        <v>134.13560000000001</v>
      </c>
      <c r="I1200" s="8">
        <v>1.2744388124547481E-2</v>
      </c>
      <c r="J1200" s="8">
        <v>-5.9701492537311829E-3</v>
      </c>
      <c r="K1200" s="8">
        <v>0.2023727647867952</v>
      </c>
      <c r="L1200" s="8">
        <v>0.13439857247140899</v>
      </c>
      <c r="M1200" s="18">
        <v>0.34354557612902048</v>
      </c>
    </row>
    <row r="1201" spans="1:13" x14ac:dyDescent="0.45">
      <c r="A1201" t="s">
        <v>952</v>
      </c>
      <c r="B1201" s="18">
        <v>33.82</v>
      </c>
      <c r="C1201" s="18">
        <v>29.1</v>
      </c>
      <c r="D1201" s="18">
        <v>33.33</v>
      </c>
      <c r="E1201" s="18">
        <v>28.13</v>
      </c>
      <c r="F1201" s="18">
        <v>34.1</v>
      </c>
      <c r="G1201" s="18">
        <v>30.1144</v>
      </c>
      <c r="H1201" s="18">
        <v>31.06765</v>
      </c>
      <c r="I1201" s="8">
        <v>0.1621993127147765</v>
      </c>
      <c r="J1201" s="8">
        <v>1.470147014701473E-2</v>
      </c>
      <c r="K1201" s="8">
        <v>0.20227515108425179</v>
      </c>
      <c r="L1201" s="8">
        <v>-8.2111436950147443E-3</v>
      </c>
      <c r="M1201" s="18">
        <v>0.37096479025102819</v>
      </c>
    </row>
    <row r="1202" spans="1:13" x14ac:dyDescent="0.45">
      <c r="A1202" t="s">
        <v>2375</v>
      </c>
      <c r="B1202" s="18">
        <v>19.59</v>
      </c>
      <c r="C1202" s="18">
        <v>21.09</v>
      </c>
      <c r="D1202" s="18">
        <v>18.88</v>
      </c>
      <c r="E1202" s="18">
        <v>16.3</v>
      </c>
      <c r="F1202" s="18">
        <v>21.06</v>
      </c>
      <c r="G1202" s="18">
        <v>20.225200000000001</v>
      </c>
      <c r="H1202" s="18">
        <v>19.50095</v>
      </c>
      <c r="I1202" s="8">
        <v>-7.1123755334281613E-2</v>
      </c>
      <c r="J1202" s="8">
        <v>3.7605932203389918E-2</v>
      </c>
      <c r="K1202" s="8">
        <v>0.20184049079754601</v>
      </c>
      <c r="L1202" s="8">
        <v>-6.9800569800569701E-2</v>
      </c>
      <c r="M1202" s="18">
        <v>9.8522097866084568E-2</v>
      </c>
    </row>
    <row r="1203" spans="1:13" x14ac:dyDescent="0.45">
      <c r="A1203" t="s">
        <v>724</v>
      </c>
      <c r="B1203" s="18">
        <v>9.18</v>
      </c>
      <c r="C1203" s="18">
        <v>9.07</v>
      </c>
      <c r="D1203" s="18">
        <v>8.9600000000000009</v>
      </c>
      <c r="E1203" s="18">
        <v>7.64</v>
      </c>
      <c r="F1203" s="18">
        <v>8.61</v>
      </c>
      <c r="G1203" s="18">
        <v>8.9821999999999989</v>
      </c>
      <c r="H1203" s="18">
        <v>8.6841000000000008</v>
      </c>
      <c r="I1203" s="8">
        <v>1.212789415656013E-2</v>
      </c>
      <c r="J1203" s="8">
        <v>2.45535714285714E-2</v>
      </c>
      <c r="K1203" s="8">
        <v>0.20157068062827219</v>
      </c>
      <c r="L1203" s="8">
        <v>6.6202090592334617E-2</v>
      </c>
      <c r="M1203" s="18">
        <v>0.30445423680573841</v>
      </c>
    </row>
    <row r="1204" spans="1:13" x14ac:dyDescent="0.45">
      <c r="A1204" t="s">
        <v>742</v>
      </c>
      <c r="B1204" s="18">
        <v>13.54</v>
      </c>
      <c r="C1204" s="18">
        <v>13.57</v>
      </c>
      <c r="D1204" s="18">
        <v>13.59</v>
      </c>
      <c r="E1204" s="18">
        <v>11.27</v>
      </c>
      <c r="F1204" s="18">
        <v>13.29</v>
      </c>
      <c r="G1204" s="18">
        <v>13.4291</v>
      </c>
      <c r="H1204" s="18">
        <v>13.097025</v>
      </c>
      <c r="I1204" s="8">
        <v>-2.2107590272660849E-3</v>
      </c>
      <c r="J1204" s="8">
        <v>-3.679175864606421E-3</v>
      </c>
      <c r="K1204" s="8">
        <v>0.2014196983141083</v>
      </c>
      <c r="L1204" s="8">
        <v>1.881113619262598E-2</v>
      </c>
      <c r="M1204" s="18">
        <v>0.2143408996148618</v>
      </c>
    </row>
    <row r="1205" spans="1:13" x14ac:dyDescent="0.45">
      <c r="A1205" t="s">
        <v>352</v>
      </c>
      <c r="B1205" s="18">
        <v>576.44000000000005</v>
      </c>
      <c r="C1205" s="18">
        <v>584</v>
      </c>
      <c r="D1205" s="18">
        <v>563.52</v>
      </c>
      <c r="E1205" s="18">
        <v>479.92</v>
      </c>
      <c r="F1205" s="18">
        <v>497.7</v>
      </c>
      <c r="G1205" s="18">
        <v>580.26440000000002</v>
      </c>
      <c r="H1205" s="18">
        <v>557.04055000000005</v>
      </c>
      <c r="I1205" s="8">
        <v>-1.294520547945199E-2</v>
      </c>
      <c r="J1205" s="8">
        <v>2.2927314026121689E-2</v>
      </c>
      <c r="K1205" s="8">
        <v>0.20111685280880159</v>
      </c>
      <c r="L1205" s="8">
        <v>0.15820775567611031</v>
      </c>
      <c r="M1205" s="18">
        <v>0.36930671703158169</v>
      </c>
    </row>
    <row r="1206" spans="1:13" x14ac:dyDescent="0.45">
      <c r="A1206" t="s">
        <v>346</v>
      </c>
      <c r="B1206" s="18">
        <v>188.07</v>
      </c>
      <c r="C1206" s="18">
        <v>199.8</v>
      </c>
      <c r="D1206" s="18">
        <v>204.05</v>
      </c>
      <c r="E1206" s="18">
        <v>156.58000000000001</v>
      </c>
      <c r="F1206" s="18">
        <v>178.74</v>
      </c>
      <c r="G1206" s="18">
        <v>195.09700000000001</v>
      </c>
      <c r="H1206" s="18">
        <v>187.71164999999999</v>
      </c>
      <c r="I1206" s="8">
        <v>-5.8708708708708812E-2</v>
      </c>
      <c r="J1206" s="8">
        <v>-7.8314138691497281E-2</v>
      </c>
      <c r="K1206" s="8">
        <v>0.20111125303359301</v>
      </c>
      <c r="L1206" s="8">
        <v>5.21987244041624E-2</v>
      </c>
      <c r="M1206" s="18">
        <v>0.1162871300375493</v>
      </c>
    </row>
    <row r="1207" spans="1:13" x14ac:dyDescent="0.45">
      <c r="A1207" t="s">
        <v>280</v>
      </c>
      <c r="B1207" s="18">
        <v>136.03</v>
      </c>
      <c r="C1207" s="18">
        <v>140.46</v>
      </c>
      <c r="D1207" s="18">
        <v>119.13</v>
      </c>
      <c r="E1207" s="18">
        <v>113.29</v>
      </c>
      <c r="F1207" s="18">
        <v>106.52</v>
      </c>
      <c r="G1207" s="18">
        <v>140.37520000000001</v>
      </c>
      <c r="H1207" s="18">
        <v>126.2086</v>
      </c>
      <c r="I1207" s="8">
        <v>-3.1539228250035627E-2</v>
      </c>
      <c r="J1207" s="8">
        <v>0.14186183161252419</v>
      </c>
      <c r="K1207" s="8">
        <v>0.2007238061611791</v>
      </c>
      <c r="L1207" s="8">
        <v>0.27703717611716111</v>
      </c>
      <c r="M1207" s="18">
        <v>0.58808358564082874</v>
      </c>
    </row>
    <row r="1208" spans="1:13" x14ac:dyDescent="0.45">
      <c r="A1208" t="s">
        <v>1259</v>
      </c>
      <c r="B1208" s="18">
        <v>51.69</v>
      </c>
      <c r="C1208" s="18">
        <v>51.25</v>
      </c>
      <c r="D1208" s="18">
        <v>49.09</v>
      </c>
      <c r="E1208" s="18">
        <v>43.07</v>
      </c>
      <c r="F1208" s="18">
        <v>54.77</v>
      </c>
      <c r="G1208" s="18">
        <v>50.734999999999999</v>
      </c>
      <c r="H1208" s="18">
        <v>50.978949999999998</v>
      </c>
      <c r="I1208" s="8">
        <v>8.5853658536585442E-3</v>
      </c>
      <c r="J1208" s="8">
        <v>5.2963943776736411E-2</v>
      </c>
      <c r="K1208" s="8">
        <v>0.200139308103088</v>
      </c>
      <c r="L1208" s="8">
        <v>-5.6235165236443452E-2</v>
      </c>
      <c r="M1208" s="18">
        <v>0.2054534524970395</v>
      </c>
    </row>
    <row r="1209" spans="1:13" x14ac:dyDescent="0.45">
      <c r="A1209" t="s">
        <v>1802</v>
      </c>
      <c r="B1209" s="18">
        <v>24.72</v>
      </c>
      <c r="C1209" s="18">
        <v>24.76</v>
      </c>
      <c r="D1209" s="18">
        <v>30.77</v>
      </c>
      <c r="E1209" s="18">
        <v>20.6</v>
      </c>
      <c r="F1209" s="18">
        <v>39.659999999999997</v>
      </c>
      <c r="G1209" s="18">
        <v>25.352599999999999</v>
      </c>
      <c r="H1209" s="18">
        <v>29.297650000000001</v>
      </c>
      <c r="I1209" s="8">
        <v>-1.615508885298933E-3</v>
      </c>
      <c r="J1209" s="8">
        <v>-0.19662008449788759</v>
      </c>
      <c r="K1209" s="8">
        <v>0.2</v>
      </c>
      <c r="L1209" s="8">
        <v>-0.37670196671709533</v>
      </c>
      <c r="M1209" s="18">
        <v>-0.3749375601002819</v>
      </c>
    </row>
    <row r="1210" spans="1:13" x14ac:dyDescent="0.45">
      <c r="A1210" t="s">
        <v>1244</v>
      </c>
      <c r="B1210" s="18">
        <v>27.07</v>
      </c>
      <c r="C1210" s="18">
        <v>25.3</v>
      </c>
      <c r="D1210" s="18">
        <v>27.45</v>
      </c>
      <c r="E1210" s="18">
        <v>22.56</v>
      </c>
      <c r="F1210" s="18">
        <v>20.7</v>
      </c>
      <c r="G1210" s="18">
        <v>25.261399999999998</v>
      </c>
      <c r="H1210" s="18">
        <v>25.401499999999999</v>
      </c>
      <c r="I1210" s="8">
        <v>6.9960474308300435E-2</v>
      </c>
      <c r="J1210" s="8">
        <v>-1.3843351548269539E-2</v>
      </c>
      <c r="K1210" s="8">
        <v>0.19991134751773049</v>
      </c>
      <c r="L1210" s="8">
        <v>0.30772946859903388</v>
      </c>
      <c r="M1210" s="18">
        <v>0.56375793887679537</v>
      </c>
    </row>
    <row r="1211" spans="1:13" x14ac:dyDescent="0.45">
      <c r="A1211" t="s">
        <v>2205</v>
      </c>
      <c r="B1211" s="18">
        <v>19.93</v>
      </c>
      <c r="C1211" s="18">
        <v>20.059999999999999</v>
      </c>
      <c r="D1211" s="18">
        <v>21.8</v>
      </c>
      <c r="E1211" s="18">
        <v>16.61</v>
      </c>
      <c r="F1211" s="18">
        <v>24.48</v>
      </c>
      <c r="G1211" s="18">
        <v>24.9056</v>
      </c>
      <c r="H1211" s="18">
        <v>24.598500000000001</v>
      </c>
      <c r="I1211" s="8">
        <v>-6.480558325024921E-3</v>
      </c>
      <c r="J1211" s="8">
        <v>-8.5779816513761542E-2</v>
      </c>
      <c r="K1211" s="8">
        <v>0.19987959060806751</v>
      </c>
      <c r="L1211" s="8">
        <v>-0.1858660130718954</v>
      </c>
      <c r="M1211" s="18">
        <v>-7.8246797302614413E-2</v>
      </c>
    </row>
    <row r="1212" spans="1:13" x14ac:dyDescent="0.45">
      <c r="A1212" t="s">
        <v>1906</v>
      </c>
      <c r="B1212" s="18">
        <v>168.39</v>
      </c>
      <c r="C1212" s="18">
        <v>185.9</v>
      </c>
      <c r="D1212" s="18">
        <v>184.12</v>
      </c>
      <c r="E1212" s="18">
        <v>140.37</v>
      </c>
      <c r="F1212" s="18">
        <v>158.06</v>
      </c>
      <c r="G1212" s="18">
        <v>178.64400000000001</v>
      </c>
      <c r="H1212" s="18">
        <v>166.21995000000001</v>
      </c>
      <c r="I1212" s="8">
        <v>-9.4190424959655794E-2</v>
      </c>
      <c r="J1212" s="8">
        <v>-8.5433412991527402E-2</v>
      </c>
      <c r="K1212" s="8">
        <v>0.1996153024150458</v>
      </c>
      <c r="L1212" s="8">
        <v>6.5354928508161381E-2</v>
      </c>
      <c r="M1212" s="18">
        <v>8.5346392972023954E-2</v>
      </c>
    </row>
    <row r="1213" spans="1:13" x14ac:dyDescent="0.45">
      <c r="A1213" t="s">
        <v>1536</v>
      </c>
      <c r="B1213" s="18">
        <v>36.25</v>
      </c>
      <c r="C1213" s="18">
        <v>33.43</v>
      </c>
      <c r="D1213" s="18">
        <v>31.8</v>
      </c>
      <c r="E1213" s="18">
        <v>30.23</v>
      </c>
      <c r="F1213" s="18">
        <v>32.5</v>
      </c>
      <c r="G1213" s="18">
        <v>34.475000000000001</v>
      </c>
      <c r="H1213" s="18">
        <v>36.975550000000013</v>
      </c>
      <c r="I1213" s="8">
        <v>8.4355369428656957E-2</v>
      </c>
      <c r="J1213" s="8">
        <v>0.13993710691823891</v>
      </c>
      <c r="K1213" s="8">
        <v>0.1991399272246113</v>
      </c>
      <c r="L1213" s="8">
        <v>0.1153846153846154</v>
      </c>
      <c r="M1213" s="18">
        <v>0.53881701895612255</v>
      </c>
    </row>
    <row r="1214" spans="1:13" x14ac:dyDescent="0.45">
      <c r="A1214" t="s">
        <v>359</v>
      </c>
      <c r="B1214" s="18">
        <v>82.03</v>
      </c>
      <c r="C1214" s="18">
        <v>79.290000000000006</v>
      </c>
      <c r="D1214" s="18">
        <v>78.37</v>
      </c>
      <c r="E1214" s="18">
        <v>68.42</v>
      </c>
      <c r="F1214" s="18">
        <v>84.04</v>
      </c>
      <c r="G1214" s="18">
        <v>79.302400000000006</v>
      </c>
      <c r="H1214" s="18">
        <v>79.78725</v>
      </c>
      <c r="I1214" s="8">
        <v>3.4556690629335307E-2</v>
      </c>
      <c r="J1214" s="8">
        <v>4.6701543958147303E-2</v>
      </c>
      <c r="K1214" s="8">
        <v>0.19891844489915231</v>
      </c>
      <c r="L1214" s="8">
        <v>-2.3917182294145741E-2</v>
      </c>
      <c r="M1214" s="18">
        <v>0.25625949719248919</v>
      </c>
    </row>
    <row r="1215" spans="1:13" x14ac:dyDescent="0.45">
      <c r="A1215" t="s">
        <v>590</v>
      </c>
      <c r="B1215" s="18">
        <v>49.14</v>
      </c>
      <c r="C1215" s="18">
        <v>62.29</v>
      </c>
      <c r="D1215" s="18">
        <v>54.18</v>
      </c>
      <c r="E1215" s="18">
        <v>41.01</v>
      </c>
      <c r="F1215" s="18">
        <v>42.48</v>
      </c>
      <c r="G1215" s="18">
        <v>56.191000000000003</v>
      </c>
      <c r="H1215" s="18">
        <v>56.661449999999988</v>
      </c>
      <c r="I1215" s="8">
        <v>-0.2111093273398619</v>
      </c>
      <c r="J1215" s="8">
        <v>-9.3023255813953432E-2</v>
      </c>
      <c r="K1215" s="8">
        <v>0.19824433065106081</v>
      </c>
      <c r="L1215" s="8">
        <v>0.15677966101694921</v>
      </c>
      <c r="M1215" s="18">
        <v>5.0891408514194707E-2</v>
      </c>
    </row>
    <row r="1216" spans="1:13" x14ac:dyDescent="0.45">
      <c r="A1216" t="s">
        <v>2494</v>
      </c>
      <c r="B1216" s="18">
        <v>67.23</v>
      </c>
      <c r="C1216" s="18">
        <v>67.75</v>
      </c>
      <c r="D1216" s="18">
        <v>62.48</v>
      </c>
      <c r="E1216" s="18">
        <v>56.12</v>
      </c>
      <c r="F1216" s="18">
        <v>60.25</v>
      </c>
      <c r="G1216" s="18">
        <v>66.8142</v>
      </c>
      <c r="H1216" s="18">
        <v>62.019850000000012</v>
      </c>
      <c r="I1216" s="8">
        <v>-7.6752767527674681E-3</v>
      </c>
      <c r="J1216" s="8">
        <v>7.6024327784891321E-2</v>
      </c>
      <c r="K1216" s="8">
        <v>0.19796863863150399</v>
      </c>
      <c r="L1216" s="8">
        <v>0.1158506224066391</v>
      </c>
      <c r="M1216" s="18">
        <v>0.38216831207026702</v>
      </c>
    </row>
    <row r="1217" spans="1:13" x14ac:dyDescent="0.45">
      <c r="A1217" t="s">
        <v>85</v>
      </c>
      <c r="B1217" s="18">
        <v>152.02000000000001</v>
      </c>
      <c r="C1217" s="18">
        <v>149.04</v>
      </c>
      <c r="D1217" s="18">
        <v>130.86000000000001</v>
      </c>
      <c r="E1217" s="18">
        <v>126.9</v>
      </c>
      <c r="F1217" s="18">
        <v>145.58000000000001</v>
      </c>
      <c r="G1217" s="18">
        <v>147.91800000000001</v>
      </c>
      <c r="H1217" s="18">
        <v>141.31424999999999</v>
      </c>
      <c r="I1217" s="8">
        <v>1.9994632313472979E-2</v>
      </c>
      <c r="J1217" s="8">
        <v>0.161699526211218</v>
      </c>
      <c r="K1217" s="8">
        <v>0.19795114263199379</v>
      </c>
      <c r="L1217" s="8">
        <v>4.4236845720565958E-2</v>
      </c>
      <c r="M1217" s="18">
        <v>0.42388214687725068</v>
      </c>
    </row>
    <row r="1218" spans="1:13" x14ac:dyDescent="0.45">
      <c r="A1218" t="s">
        <v>138</v>
      </c>
      <c r="B1218" s="18">
        <v>175.75</v>
      </c>
      <c r="C1218" s="18">
        <v>164.07</v>
      </c>
      <c r="D1218" s="18">
        <v>154.37</v>
      </c>
      <c r="E1218" s="18">
        <v>146.85</v>
      </c>
      <c r="F1218" s="18">
        <v>139.84</v>
      </c>
      <c r="G1218" s="18">
        <v>165.31440000000001</v>
      </c>
      <c r="H1218" s="18">
        <v>154.31530000000001</v>
      </c>
      <c r="I1218" s="8">
        <v>7.1189126592308138E-2</v>
      </c>
      <c r="J1218" s="8">
        <v>0.13849841290406159</v>
      </c>
      <c r="K1218" s="8">
        <v>0.19679945522642159</v>
      </c>
      <c r="L1218" s="8">
        <v>0.25679347826086962</v>
      </c>
      <c r="M1218" s="18">
        <v>0.663280472983661</v>
      </c>
    </row>
    <row r="1219" spans="1:13" x14ac:dyDescent="0.45">
      <c r="A1219" t="s">
        <v>1427</v>
      </c>
      <c r="B1219" s="18">
        <v>24.94</v>
      </c>
      <c r="C1219" s="18">
        <v>24.55</v>
      </c>
      <c r="D1219" s="18">
        <v>24.2</v>
      </c>
      <c r="E1219" s="18">
        <v>20.85</v>
      </c>
      <c r="F1219" s="18">
        <v>23.15</v>
      </c>
      <c r="G1219" s="18">
        <v>24.511399999999998</v>
      </c>
      <c r="H1219" s="18">
        <v>23.315349999999999</v>
      </c>
      <c r="I1219" s="8">
        <v>1.58859470468431E-2</v>
      </c>
      <c r="J1219" s="8">
        <v>3.0578512396694402E-2</v>
      </c>
      <c r="K1219" s="8">
        <v>0.1961630695443646</v>
      </c>
      <c r="L1219" s="8">
        <v>7.7321814254859733E-2</v>
      </c>
      <c r="M1219" s="18">
        <v>0.31994934324276181</v>
      </c>
    </row>
    <row r="1220" spans="1:13" x14ac:dyDescent="0.45">
      <c r="A1220" t="s">
        <v>1448</v>
      </c>
      <c r="B1220" s="18">
        <v>134.79</v>
      </c>
      <c r="C1220" s="18">
        <v>124.52</v>
      </c>
      <c r="D1220" s="18">
        <v>117.9</v>
      </c>
      <c r="E1220" s="18">
        <v>112.69</v>
      </c>
      <c r="F1220" s="18">
        <v>101.57</v>
      </c>
      <c r="G1220" s="18">
        <v>126.8246</v>
      </c>
      <c r="H1220" s="18">
        <v>117.54365</v>
      </c>
      <c r="I1220" s="8">
        <v>8.24767105685833E-2</v>
      </c>
      <c r="J1220" s="8">
        <v>0.14325699745547071</v>
      </c>
      <c r="K1220" s="8">
        <v>0.1961132309876652</v>
      </c>
      <c r="L1220" s="8">
        <v>0.32706507827114312</v>
      </c>
      <c r="M1220" s="18">
        <v>0.74891201728286227</v>
      </c>
    </row>
    <row r="1221" spans="1:13" x14ac:dyDescent="0.45">
      <c r="A1221" t="s">
        <v>1435</v>
      </c>
      <c r="B1221" s="18">
        <v>20.9</v>
      </c>
      <c r="C1221" s="18">
        <v>23.54</v>
      </c>
      <c r="D1221" s="18">
        <v>22.87</v>
      </c>
      <c r="E1221" s="18">
        <v>17.48</v>
      </c>
      <c r="F1221" s="18">
        <v>27.01</v>
      </c>
      <c r="G1221" s="18">
        <v>22.313800000000001</v>
      </c>
      <c r="H1221" s="18">
        <v>21.242999999999999</v>
      </c>
      <c r="I1221" s="8">
        <v>-0.1121495327102804</v>
      </c>
      <c r="J1221" s="8">
        <v>-8.6139046786182893E-2</v>
      </c>
      <c r="K1221" s="8">
        <v>0.19565217391304349</v>
      </c>
      <c r="L1221" s="8">
        <v>-0.22621251388374691</v>
      </c>
      <c r="M1221" s="18">
        <v>-0.22884891946716671</v>
      </c>
    </row>
    <row r="1222" spans="1:13" x14ac:dyDescent="0.45">
      <c r="A1222" t="s">
        <v>588</v>
      </c>
      <c r="B1222" s="18">
        <v>189.46</v>
      </c>
      <c r="C1222" s="18">
        <v>207.96</v>
      </c>
      <c r="D1222" s="18">
        <v>226.73</v>
      </c>
      <c r="E1222" s="18">
        <v>158.47</v>
      </c>
      <c r="F1222" s="18">
        <v>175.76</v>
      </c>
      <c r="G1222" s="18">
        <v>209.34899999999999</v>
      </c>
      <c r="H1222" s="18">
        <v>196.2037</v>
      </c>
      <c r="I1222" s="8">
        <v>-8.8959415272167774E-2</v>
      </c>
      <c r="J1222" s="8">
        <v>-0.16438054073126621</v>
      </c>
      <c r="K1222" s="8">
        <v>0.19555751877326941</v>
      </c>
      <c r="L1222" s="8">
        <v>7.7947200728265997E-2</v>
      </c>
      <c r="M1222" s="18">
        <v>2.0164763498101479E-2</v>
      </c>
    </row>
    <row r="1223" spans="1:13" x14ac:dyDescent="0.45">
      <c r="A1223" t="s">
        <v>886</v>
      </c>
      <c r="B1223" s="18">
        <v>21.16</v>
      </c>
      <c r="C1223" s="18">
        <v>20.94</v>
      </c>
      <c r="D1223" s="18">
        <v>20.07</v>
      </c>
      <c r="E1223" s="18">
        <v>17.7</v>
      </c>
      <c r="F1223" s="18">
        <v>28.18</v>
      </c>
      <c r="G1223" s="18">
        <v>20.998999999999999</v>
      </c>
      <c r="H1223" s="18">
        <v>20.564450000000001</v>
      </c>
      <c r="I1223" s="8">
        <v>1.050620821394466E-2</v>
      </c>
      <c r="J1223" s="8">
        <v>5.4309915296462341E-2</v>
      </c>
      <c r="K1223" s="8">
        <v>0.19548022598870049</v>
      </c>
      <c r="L1223" s="8">
        <v>-0.24911284599006389</v>
      </c>
      <c r="M1223" s="18">
        <v>1.1183503509043621E-2</v>
      </c>
    </row>
    <row r="1224" spans="1:13" x14ac:dyDescent="0.45">
      <c r="A1224" t="s">
        <v>470</v>
      </c>
      <c r="B1224" s="18">
        <v>282.76</v>
      </c>
      <c r="C1224" s="18">
        <v>273.55</v>
      </c>
      <c r="D1224" s="18">
        <v>255.99</v>
      </c>
      <c r="E1224" s="18">
        <v>236.53</v>
      </c>
      <c r="F1224" s="18">
        <v>236.21</v>
      </c>
      <c r="G1224" s="18">
        <v>272.84460000000001</v>
      </c>
      <c r="H1224" s="18">
        <v>260.25684999999999</v>
      </c>
      <c r="I1224" s="8">
        <v>3.3668433558764248E-2</v>
      </c>
      <c r="J1224" s="8">
        <v>0.1045743974373998</v>
      </c>
      <c r="K1224" s="8">
        <v>0.19545089417832839</v>
      </c>
      <c r="L1224" s="8">
        <v>0.19707040345455321</v>
      </c>
      <c r="M1224" s="18">
        <v>0.53076412862904565</v>
      </c>
    </row>
    <row r="1225" spans="1:13" x14ac:dyDescent="0.45">
      <c r="A1225" t="s">
        <v>663</v>
      </c>
      <c r="B1225" s="18">
        <v>28.46</v>
      </c>
      <c r="C1225" s="18">
        <v>29.36</v>
      </c>
      <c r="D1225" s="18">
        <v>26.98</v>
      </c>
      <c r="E1225" s="18">
        <v>23.81</v>
      </c>
      <c r="F1225" s="18">
        <v>34.049999999999997</v>
      </c>
      <c r="G1225" s="18">
        <v>28.692599999999999</v>
      </c>
      <c r="H1225" s="18">
        <v>27.516649999999998</v>
      </c>
      <c r="I1225" s="8">
        <v>-3.0653950953678399E-2</v>
      </c>
      <c r="J1225" s="8">
        <v>5.485544848035584E-2</v>
      </c>
      <c r="K1225" s="8">
        <v>0.19529609407811849</v>
      </c>
      <c r="L1225" s="8">
        <v>-0.16417033773861961</v>
      </c>
      <c r="M1225" s="18">
        <v>5.5327253866176429E-2</v>
      </c>
    </row>
    <row r="1226" spans="1:13" x14ac:dyDescent="0.45">
      <c r="A1226" t="s">
        <v>357</v>
      </c>
      <c r="B1226" s="18">
        <v>97.87</v>
      </c>
      <c r="C1226" s="18">
        <v>94.07</v>
      </c>
      <c r="D1226" s="18">
        <v>89.4</v>
      </c>
      <c r="E1226" s="18">
        <v>81.88</v>
      </c>
      <c r="F1226" s="18">
        <v>88.26</v>
      </c>
      <c r="G1226" s="18">
        <v>93.301000000000002</v>
      </c>
      <c r="H1226" s="18">
        <v>88.693299999999994</v>
      </c>
      <c r="I1226" s="8">
        <v>4.039545019666213E-2</v>
      </c>
      <c r="J1226" s="8">
        <v>9.474272930648775E-2</v>
      </c>
      <c r="K1226" s="8">
        <v>0.1952857840742552</v>
      </c>
      <c r="L1226" s="8">
        <v>0.10888284613641511</v>
      </c>
      <c r="M1226" s="18">
        <v>0.43930680971382019</v>
      </c>
    </row>
    <row r="1227" spans="1:13" x14ac:dyDescent="0.45">
      <c r="A1227" t="s">
        <v>1631</v>
      </c>
      <c r="B1227" s="18">
        <v>13.3</v>
      </c>
      <c r="C1227" s="18">
        <v>12.8</v>
      </c>
      <c r="D1227" s="18">
        <v>12.06</v>
      </c>
      <c r="E1227" s="18">
        <v>11.13</v>
      </c>
      <c r="F1227" s="18">
        <v>17.75</v>
      </c>
      <c r="G1227" s="18">
        <v>12.7784</v>
      </c>
      <c r="H1227" s="18">
        <v>12.92135</v>
      </c>
      <c r="I1227" s="8">
        <v>3.90625E-2</v>
      </c>
      <c r="J1227" s="8">
        <v>0.1028192371475953</v>
      </c>
      <c r="K1227" s="8">
        <v>0.19496855345911951</v>
      </c>
      <c r="L1227" s="8">
        <v>-0.25070422535211268</v>
      </c>
      <c r="M1227" s="18">
        <v>8.6146065254602111E-2</v>
      </c>
    </row>
    <row r="1228" spans="1:13" x14ac:dyDescent="0.45">
      <c r="A1228" t="s">
        <v>1012</v>
      </c>
      <c r="B1228" s="18">
        <v>31.95</v>
      </c>
      <c r="C1228" s="18">
        <v>28.72</v>
      </c>
      <c r="D1228" s="18">
        <v>32.25</v>
      </c>
      <c r="E1228" s="18">
        <v>26.74</v>
      </c>
      <c r="F1228" s="18">
        <v>29.56</v>
      </c>
      <c r="G1228" s="18">
        <v>29.626200000000001</v>
      </c>
      <c r="H1228" s="18">
        <v>29.086200000000009</v>
      </c>
      <c r="I1228" s="8">
        <v>0.1124651810584958</v>
      </c>
      <c r="J1228" s="8">
        <v>-9.302325581395321E-3</v>
      </c>
      <c r="K1228" s="8">
        <v>0.19483919222139121</v>
      </c>
      <c r="L1228" s="8">
        <v>8.0852503382949914E-2</v>
      </c>
      <c r="M1228" s="18">
        <v>0.37885455108144162</v>
      </c>
    </row>
    <row r="1229" spans="1:13" x14ac:dyDescent="0.45">
      <c r="A1229" t="s">
        <v>93</v>
      </c>
      <c r="B1229" s="18">
        <v>54.07</v>
      </c>
      <c r="C1229" s="18">
        <v>52.4</v>
      </c>
      <c r="D1229" s="18">
        <v>76.849999999999994</v>
      </c>
      <c r="E1229" s="18">
        <v>45.27</v>
      </c>
      <c r="F1229" s="18">
        <v>113</v>
      </c>
      <c r="G1229" s="18">
        <v>55.75</v>
      </c>
      <c r="H1229" s="18">
        <v>73.700600000000009</v>
      </c>
      <c r="I1229" s="8">
        <v>3.1870229007633588E-2</v>
      </c>
      <c r="J1229" s="8">
        <v>-0.29642160052049438</v>
      </c>
      <c r="K1229" s="8">
        <v>0.19438922023415059</v>
      </c>
      <c r="L1229" s="8">
        <v>-0.52150442477876102</v>
      </c>
      <c r="M1229" s="18">
        <v>-0.59166657605747119</v>
      </c>
    </row>
    <row r="1230" spans="1:13" x14ac:dyDescent="0.45">
      <c r="A1230" t="s">
        <v>62</v>
      </c>
      <c r="B1230" s="18">
        <v>2179.89</v>
      </c>
      <c r="C1230" s="18">
        <v>2373.0100000000002</v>
      </c>
      <c r="D1230" s="18">
        <v>2402.1</v>
      </c>
      <c r="E1230" s="18">
        <v>1826.11</v>
      </c>
      <c r="F1230" s="18">
        <v>1960</v>
      </c>
      <c r="G1230" s="18">
        <v>2368.4893999999999</v>
      </c>
      <c r="H1230" s="18">
        <v>2221.8822500000001</v>
      </c>
      <c r="I1230" s="8">
        <v>-8.1381873654135628E-2</v>
      </c>
      <c r="J1230" s="8">
        <v>-9.2506556762832592E-2</v>
      </c>
      <c r="K1230" s="8">
        <v>0.19373422192529469</v>
      </c>
      <c r="L1230" s="8">
        <v>0.11218877551020399</v>
      </c>
      <c r="M1230" s="18">
        <v>0.13203456701853039</v>
      </c>
    </row>
    <row r="1231" spans="1:13" x14ac:dyDescent="0.45">
      <c r="A1231" t="s">
        <v>1148</v>
      </c>
      <c r="B1231" s="18">
        <v>49.03</v>
      </c>
      <c r="C1231" s="18">
        <v>48.33</v>
      </c>
      <c r="D1231" s="18">
        <v>44.49</v>
      </c>
      <c r="E1231" s="18">
        <v>41.09</v>
      </c>
      <c r="F1231" s="18">
        <v>41.08</v>
      </c>
      <c r="G1231" s="18">
        <v>48.255400000000002</v>
      </c>
      <c r="H1231" s="18">
        <v>45.33005</v>
      </c>
      <c r="I1231" s="8">
        <v>1.448375750051745E-2</v>
      </c>
      <c r="J1231" s="8">
        <v>0.10204540346145199</v>
      </c>
      <c r="K1231" s="8">
        <v>0.19323436359211479</v>
      </c>
      <c r="L1231" s="8">
        <v>0.19352482960077899</v>
      </c>
      <c r="M1231" s="18">
        <v>0.50328835415486317</v>
      </c>
    </row>
    <row r="1232" spans="1:13" x14ac:dyDescent="0.45">
      <c r="A1232" t="s">
        <v>1636</v>
      </c>
      <c r="B1232" s="18">
        <v>6.33</v>
      </c>
      <c r="C1232" s="18">
        <v>6.24</v>
      </c>
      <c r="D1232" s="18">
        <v>6.35</v>
      </c>
      <c r="E1232" s="18">
        <v>5.31</v>
      </c>
      <c r="F1232" s="18">
        <v>7</v>
      </c>
      <c r="G1232" s="18">
        <v>6.2152500000000002</v>
      </c>
      <c r="H1232" s="18">
        <v>6.1967835000000004</v>
      </c>
      <c r="I1232" s="8">
        <v>1.442307692307687E-2</v>
      </c>
      <c r="J1232" s="8">
        <v>-3.1496062992125711E-3</v>
      </c>
      <c r="K1232" s="8">
        <v>0.19209039548022599</v>
      </c>
      <c r="L1232" s="8">
        <v>-9.5714285714285752E-2</v>
      </c>
      <c r="M1232" s="18">
        <v>0.1076495803898045</v>
      </c>
    </row>
    <row r="1233" spans="1:13" x14ac:dyDescent="0.45">
      <c r="A1233" t="s">
        <v>103</v>
      </c>
      <c r="B1233" s="18">
        <v>71.069999999999993</v>
      </c>
      <c r="C1233" s="18">
        <v>72</v>
      </c>
      <c r="D1233" s="18">
        <v>70.47</v>
      </c>
      <c r="E1233" s="18">
        <v>59.63</v>
      </c>
      <c r="F1233" s="18">
        <v>87.4</v>
      </c>
      <c r="G1233" s="18">
        <v>72.151800000000009</v>
      </c>
      <c r="H1233" s="18">
        <v>68.308250000000001</v>
      </c>
      <c r="I1233" s="8">
        <v>-1.29166666666668E-2</v>
      </c>
      <c r="J1233" s="8">
        <v>8.5142613878246287E-3</v>
      </c>
      <c r="K1233" s="8">
        <v>0.19184974006372621</v>
      </c>
      <c r="L1233" s="8">
        <v>-0.186842105263158</v>
      </c>
      <c r="M1233" s="18">
        <v>6.0522952172603617E-4</v>
      </c>
    </row>
    <row r="1234" spans="1:13" x14ac:dyDescent="0.45">
      <c r="A1234" t="s">
        <v>495</v>
      </c>
      <c r="B1234" s="18">
        <v>77.84</v>
      </c>
      <c r="C1234" s="18">
        <v>72.28</v>
      </c>
      <c r="D1234" s="18">
        <v>69.150000000000006</v>
      </c>
      <c r="E1234" s="18">
        <v>65.319999999999993</v>
      </c>
      <c r="F1234" s="18">
        <v>58.51</v>
      </c>
      <c r="G1234" s="18">
        <v>72.6494</v>
      </c>
      <c r="H1234" s="18">
        <v>68.037499999999994</v>
      </c>
      <c r="I1234" s="8">
        <v>7.6923076923076872E-2</v>
      </c>
      <c r="J1234" s="8">
        <v>0.1256688358640636</v>
      </c>
      <c r="K1234" s="8">
        <v>0.19167176974892849</v>
      </c>
      <c r="L1234" s="8">
        <v>0.33037087677320121</v>
      </c>
      <c r="M1234" s="18">
        <v>0.72463455930927023</v>
      </c>
    </row>
    <row r="1235" spans="1:13" x14ac:dyDescent="0.45">
      <c r="A1235" t="s">
        <v>530</v>
      </c>
      <c r="B1235" s="18">
        <v>12.09</v>
      </c>
      <c r="C1235" s="18">
        <v>11.84</v>
      </c>
      <c r="D1235" s="18">
        <v>11.25</v>
      </c>
      <c r="E1235" s="18">
        <v>10.15</v>
      </c>
      <c r="F1235" s="18">
        <v>14.98</v>
      </c>
      <c r="G1235" s="18">
        <v>11.825799999999999</v>
      </c>
      <c r="H1235" s="18">
        <v>11.79135</v>
      </c>
      <c r="I1235" s="8">
        <v>2.1114864864864909E-2</v>
      </c>
      <c r="J1235" s="8">
        <v>7.4666666666666659E-2</v>
      </c>
      <c r="K1235" s="8">
        <v>0.19113300492610841</v>
      </c>
      <c r="L1235" s="8">
        <v>-0.19292389853137509</v>
      </c>
      <c r="M1235" s="18">
        <v>9.3990637926264831E-2</v>
      </c>
    </row>
    <row r="1236" spans="1:13" x14ac:dyDescent="0.45">
      <c r="A1236" t="s">
        <v>1060</v>
      </c>
      <c r="B1236" s="18">
        <v>8.75</v>
      </c>
      <c r="C1236" s="18">
        <v>8.65</v>
      </c>
      <c r="D1236" s="18">
        <v>8.68</v>
      </c>
      <c r="E1236" s="18">
        <v>7.35</v>
      </c>
      <c r="F1236" s="18">
        <v>8.65</v>
      </c>
      <c r="G1236" s="18">
        <v>8.688600000000001</v>
      </c>
      <c r="H1236" s="18">
        <v>8.5797655000000006</v>
      </c>
      <c r="I1236" s="8">
        <v>1.156069364161838E-2</v>
      </c>
      <c r="J1236" s="8">
        <v>8.0645161290322509E-3</v>
      </c>
      <c r="K1236" s="8">
        <v>0.19047619047619049</v>
      </c>
      <c r="L1236" s="8">
        <v>1.156069364161838E-2</v>
      </c>
      <c r="M1236" s="18">
        <v>0.2216620938884595</v>
      </c>
    </row>
    <row r="1237" spans="1:13" x14ac:dyDescent="0.45">
      <c r="A1237" t="s">
        <v>311</v>
      </c>
      <c r="B1237" s="18">
        <v>27.28</v>
      </c>
      <c r="C1237" s="18">
        <v>26.59</v>
      </c>
      <c r="D1237" s="18">
        <v>25</v>
      </c>
      <c r="E1237" s="18">
        <v>22.92</v>
      </c>
      <c r="F1237" s="18">
        <v>30.79</v>
      </c>
      <c r="G1237" s="18">
        <v>26.182200000000002</v>
      </c>
      <c r="H1237" s="18">
        <v>25.962949999999999</v>
      </c>
      <c r="I1237" s="8">
        <v>2.5949605114704791E-2</v>
      </c>
      <c r="J1237" s="8">
        <v>9.1199999999999948E-2</v>
      </c>
      <c r="K1237" s="8">
        <v>0.1902268760907504</v>
      </c>
      <c r="L1237" s="8">
        <v>-0.1139980513153621</v>
      </c>
      <c r="M1237" s="18">
        <v>0.19337842989009299</v>
      </c>
    </row>
    <row r="1238" spans="1:13" x14ac:dyDescent="0.45">
      <c r="A1238" t="s">
        <v>1738</v>
      </c>
      <c r="B1238" s="18">
        <v>3.15</v>
      </c>
      <c r="C1238" s="18">
        <v>3.02</v>
      </c>
      <c r="D1238" s="18">
        <v>4.08</v>
      </c>
      <c r="E1238" s="18">
        <v>2.65</v>
      </c>
      <c r="F1238" s="18">
        <v>4.7</v>
      </c>
      <c r="G1238" s="18">
        <v>3.0750000000000002</v>
      </c>
      <c r="H1238" s="18">
        <v>3.6776499999999999</v>
      </c>
      <c r="I1238" s="8">
        <v>4.3046357615893933E-2</v>
      </c>
      <c r="J1238" s="8">
        <v>-0.22794117647058831</v>
      </c>
      <c r="K1238" s="8">
        <v>0.1886792452830188</v>
      </c>
      <c r="L1238" s="8">
        <v>-0.32978723404255328</v>
      </c>
      <c r="M1238" s="18">
        <v>-0.32600280761422878</v>
      </c>
    </row>
    <row r="1239" spans="1:13" x14ac:dyDescent="0.45">
      <c r="A1239" t="s">
        <v>1478</v>
      </c>
      <c r="B1239" s="18">
        <v>29.53</v>
      </c>
      <c r="C1239" s="18">
        <v>28.55</v>
      </c>
      <c r="D1239" s="18">
        <v>35.11</v>
      </c>
      <c r="E1239" s="18">
        <v>24.86</v>
      </c>
      <c r="F1239" s="18">
        <v>23.52</v>
      </c>
      <c r="G1239" s="18">
        <v>29.683199999999999</v>
      </c>
      <c r="H1239" s="18">
        <v>30.330850000000002</v>
      </c>
      <c r="I1239" s="8">
        <v>3.432574430823121E-2</v>
      </c>
      <c r="J1239" s="8">
        <v>-0.1589290800341783</v>
      </c>
      <c r="K1239" s="8">
        <v>0.1878519710378119</v>
      </c>
      <c r="L1239" s="8">
        <v>0.25552721088435382</v>
      </c>
      <c r="M1239" s="18">
        <v>0.31877584619621868</v>
      </c>
    </row>
    <row r="1240" spans="1:13" x14ac:dyDescent="0.45">
      <c r="A1240" t="s">
        <v>238</v>
      </c>
      <c r="B1240" s="18">
        <v>56.41</v>
      </c>
      <c r="C1240" s="18">
        <v>50.25</v>
      </c>
      <c r="D1240" s="18">
        <v>54.52</v>
      </c>
      <c r="E1240" s="18">
        <v>47.49</v>
      </c>
      <c r="F1240" s="18">
        <v>36.94</v>
      </c>
      <c r="G1240" s="18">
        <v>52.248800000000003</v>
      </c>
      <c r="H1240" s="18">
        <v>52.427250000000001</v>
      </c>
      <c r="I1240" s="8">
        <v>0.12258706467661699</v>
      </c>
      <c r="J1240" s="8">
        <v>3.4666177549522947E-2</v>
      </c>
      <c r="K1240" s="8">
        <v>0.18782901663508089</v>
      </c>
      <c r="L1240" s="8">
        <v>0.52707092582566317</v>
      </c>
      <c r="M1240" s="18">
        <v>0.87215318468688396</v>
      </c>
    </row>
    <row r="1241" spans="1:13" x14ac:dyDescent="0.45">
      <c r="A1241" t="s">
        <v>2299</v>
      </c>
      <c r="B1241" s="18">
        <v>7.85</v>
      </c>
      <c r="C1241" s="18">
        <v>7.72</v>
      </c>
      <c r="D1241" s="18">
        <v>9.1</v>
      </c>
      <c r="E1241" s="18">
        <v>6.61</v>
      </c>
      <c r="F1241" s="18">
        <v>7.27</v>
      </c>
      <c r="G1241" s="18">
        <v>7.8857999999999997</v>
      </c>
      <c r="H1241" s="18">
        <v>7.9896500000000001</v>
      </c>
      <c r="I1241" s="8">
        <v>1.6839378238342029E-2</v>
      </c>
      <c r="J1241" s="8">
        <v>-0.13736263736263729</v>
      </c>
      <c r="K1241" s="8">
        <v>0.1875945537065051</v>
      </c>
      <c r="L1241" s="8">
        <v>7.9779917469050998E-2</v>
      </c>
      <c r="M1241" s="18">
        <v>0.14685121205126081</v>
      </c>
    </row>
    <row r="1242" spans="1:13" x14ac:dyDescent="0.45">
      <c r="A1242" t="s">
        <v>1124</v>
      </c>
      <c r="B1242" s="18">
        <v>172.39</v>
      </c>
      <c r="C1242" s="18">
        <v>164.92</v>
      </c>
      <c r="D1242" s="18">
        <v>166.74</v>
      </c>
      <c r="E1242" s="18">
        <v>145.28</v>
      </c>
      <c r="F1242" s="18">
        <v>179.99</v>
      </c>
      <c r="G1242" s="18">
        <v>166.3706</v>
      </c>
      <c r="H1242" s="18">
        <v>168.4461</v>
      </c>
      <c r="I1242" s="8">
        <v>4.5294688333737509E-2</v>
      </c>
      <c r="J1242" s="8">
        <v>3.3885090560153319E-2</v>
      </c>
      <c r="K1242" s="8">
        <v>0.18660517621145359</v>
      </c>
      <c r="L1242" s="8">
        <v>-4.2224568031557393E-2</v>
      </c>
      <c r="M1242" s="18">
        <v>0.223560387073787</v>
      </c>
    </row>
    <row r="1243" spans="1:13" x14ac:dyDescent="0.45">
      <c r="A1243" t="s">
        <v>1143</v>
      </c>
      <c r="B1243" s="18">
        <v>10.37</v>
      </c>
      <c r="C1243" s="18">
        <v>10.42</v>
      </c>
      <c r="D1243" s="18">
        <v>10.14</v>
      </c>
      <c r="E1243" s="18">
        <v>8.74</v>
      </c>
      <c r="F1243" s="18">
        <v>10.26</v>
      </c>
      <c r="G1243" s="18">
        <v>10.321</v>
      </c>
      <c r="H1243" s="18">
        <v>9.8821499999999993</v>
      </c>
      <c r="I1243" s="8">
        <v>-4.7984644913627861E-3</v>
      </c>
      <c r="J1243" s="8">
        <v>2.2682445759368619E-2</v>
      </c>
      <c r="K1243" s="8">
        <v>0.18649885583524009</v>
      </c>
      <c r="L1243" s="8">
        <v>1.0721247563352691E-2</v>
      </c>
      <c r="M1243" s="18">
        <v>0.21510408466659861</v>
      </c>
    </row>
    <row r="1244" spans="1:13" x14ac:dyDescent="0.45">
      <c r="A1244" t="s">
        <v>160</v>
      </c>
      <c r="B1244" s="18">
        <v>82.44</v>
      </c>
      <c r="C1244" s="18">
        <v>84.15</v>
      </c>
      <c r="D1244" s="18">
        <v>76.540000000000006</v>
      </c>
      <c r="E1244" s="18">
        <v>69.510000000000005</v>
      </c>
      <c r="F1244" s="18">
        <v>98.17</v>
      </c>
      <c r="G1244" s="18">
        <v>82.1036</v>
      </c>
      <c r="H1244" s="18">
        <v>78.133600000000001</v>
      </c>
      <c r="I1244" s="8">
        <v>-2.0320855614973321E-2</v>
      </c>
      <c r="J1244" s="8">
        <v>7.7083877711000559E-2</v>
      </c>
      <c r="K1244" s="8">
        <v>0.18601640051791099</v>
      </c>
      <c r="L1244" s="8">
        <v>-0.16023225017826229</v>
      </c>
      <c r="M1244" s="18">
        <v>8.2547172435675997E-2</v>
      </c>
    </row>
    <row r="1245" spans="1:13" x14ac:dyDescent="0.45">
      <c r="A1245" t="s">
        <v>2344</v>
      </c>
      <c r="B1245" s="18">
        <v>36.42</v>
      </c>
      <c r="C1245" s="18">
        <v>35.1</v>
      </c>
      <c r="D1245" s="18">
        <v>38.049999999999997</v>
      </c>
      <c r="E1245" s="18">
        <v>30.71</v>
      </c>
      <c r="F1245" s="18">
        <v>32.54</v>
      </c>
      <c r="G1245" s="18">
        <v>35.6738</v>
      </c>
      <c r="H1245" s="18">
        <v>36.363</v>
      </c>
      <c r="I1245" s="8">
        <v>3.7606837606837702E-2</v>
      </c>
      <c r="J1245" s="8">
        <v>-4.2838370565045913E-2</v>
      </c>
      <c r="K1245" s="8">
        <v>0.1859329208726799</v>
      </c>
      <c r="L1245" s="8">
        <v>0.1192378610940381</v>
      </c>
      <c r="M1245" s="18">
        <v>0.29993924900850982</v>
      </c>
    </row>
    <row r="1246" spans="1:13" x14ac:dyDescent="0.45">
      <c r="A1246" t="s">
        <v>1380</v>
      </c>
      <c r="B1246" s="18">
        <v>11.1</v>
      </c>
      <c r="C1246" s="18">
        <v>11.85</v>
      </c>
      <c r="D1246" s="18">
        <v>10.65</v>
      </c>
      <c r="E1246" s="18">
        <v>9.36</v>
      </c>
      <c r="F1246" s="18">
        <v>9.76</v>
      </c>
      <c r="G1246" s="18">
        <v>11.615399999999999</v>
      </c>
      <c r="H1246" s="18">
        <v>10.6388</v>
      </c>
      <c r="I1246" s="8">
        <v>-6.3291139240506333E-2</v>
      </c>
      <c r="J1246" s="8">
        <v>4.2253521126760507E-2</v>
      </c>
      <c r="K1246" s="8">
        <v>0.1858974358974359</v>
      </c>
      <c r="L1246" s="8">
        <v>0.13729508196721321</v>
      </c>
      <c r="M1246" s="18">
        <v>0.30215489975090332</v>
      </c>
    </row>
    <row r="1247" spans="1:13" x14ac:dyDescent="0.45">
      <c r="A1247" t="s">
        <v>980</v>
      </c>
      <c r="B1247" s="18">
        <v>20.59</v>
      </c>
      <c r="C1247" s="18">
        <v>15.4</v>
      </c>
      <c r="D1247" s="18">
        <v>22.15</v>
      </c>
      <c r="E1247" s="18">
        <v>17.38</v>
      </c>
      <c r="F1247" s="18">
        <v>12.05</v>
      </c>
      <c r="G1247" s="18">
        <v>17.205400000000001</v>
      </c>
      <c r="H1247" s="18">
        <v>20.040600000000001</v>
      </c>
      <c r="I1247" s="8">
        <v>0.33701298701298699</v>
      </c>
      <c r="J1247" s="8">
        <v>-7.0428893905191803E-2</v>
      </c>
      <c r="K1247" s="8">
        <v>0.18469505178365939</v>
      </c>
      <c r="L1247" s="8">
        <v>0.70871369294605802</v>
      </c>
      <c r="M1247" s="18">
        <v>1.1599928378375131</v>
      </c>
    </row>
    <row r="1248" spans="1:13" x14ac:dyDescent="0.45">
      <c r="A1248" t="s">
        <v>1641</v>
      </c>
      <c r="B1248" s="18">
        <v>18.48</v>
      </c>
      <c r="C1248" s="18">
        <v>16.059999999999999</v>
      </c>
      <c r="D1248" s="18">
        <v>16.600000000000001</v>
      </c>
      <c r="E1248" s="18">
        <v>15.6</v>
      </c>
      <c r="F1248" s="18">
        <v>15.097</v>
      </c>
      <c r="G1248" s="18">
        <v>16.789400000000001</v>
      </c>
      <c r="H1248" s="18">
        <v>16.997599999999998</v>
      </c>
      <c r="I1248" s="8">
        <v>0.1506849315068495</v>
      </c>
      <c r="J1248" s="8">
        <v>0.1132530120481927</v>
      </c>
      <c r="K1248" s="8">
        <v>0.1846153846153846</v>
      </c>
      <c r="L1248" s="8">
        <v>0.22408425515002989</v>
      </c>
      <c r="M1248" s="18">
        <v>0.67263758332045676</v>
      </c>
    </row>
    <row r="1249" spans="1:13" x14ac:dyDescent="0.45">
      <c r="A1249" t="s">
        <v>484</v>
      </c>
      <c r="B1249" s="18">
        <v>205.2</v>
      </c>
      <c r="C1249" s="18">
        <v>186.43</v>
      </c>
      <c r="D1249" s="18">
        <v>184.05</v>
      </c>
      <c r="E1249" s="18">
        <v>173.28</v>
      </c>
      <c r="F1249" s="18">
        <v>215.68</v>
      </c>
      <c r="G1249" s="18">
        <v>185.73580000000001</v>
      </c>
      <c r="H1249" s="18">
        <v>181.60024999999999</v>
      </c>
      <c r="I1249" s="8">
        <v>0.10068122083355679</v>
      </c>
      <c r="J1249" s="8">
        <v>0.1149144254278727</v>
      </c>
      <c r="K1249" s="8">
        <v>0.18421052631578941</v>
      </c>
      <c r="L1249" s="8">
        <v>-4.859050445103863E-2</v>
      </c>
      <c r="M1249" s="18">
        <v>0.35121566812618021</v>
      </c>
    </row>
    <row r="1250" spans="1:13" x14ac:dyDescent="0.45">
      <c r="A1250" t="s">
        <v>2154</v>
      </c>
      <c r="B1250" s="18">
        <v>81.08</v>
      </c>
      <c r="C1250" s="18">
        <v>84.57</v>
      </c>
      <c r="D1250" s="18">
        <v>82.57</v>
      </c>
      <c r="E1250" s="18">
        <v>68.48</v>
      </c>
      <c r="F1250" s="18">
        <v>79.8</v>
      </c>
      <c r="G1250" s="18">
        <v>83.038799999999995</v>
      </c>
      <c r="H1250" s="18">
        <v>81.339799999999997</v>
      </c>
      <c r="I1250" s="8">
        <v>-4.1267588979543517E-2</v>
      </c>
      <c r="J1250" s="8">
        <v>-1.8045294901295809E-2</v>
      </c>
      <c r="K1250" s="8">
        <v>0.18399532710280361</v>
      </c>
      <c r="L1250" s="8">
        <v>1.6040100250626521E-2</v>
      </c>
      <c r="M1250" s="18">
        <v>0.14072254347259081</v>
      </c>
    </row>
    <row r="1251" spans="1:13" x14ac:dyDescent="0.45">
      <c r="A1251" t="s">
        <v>1346</v>
      </c>
      <c r="B1251" s="18">
        <v>187.76</v>
      </c>
      <c r="C1251" s="18">
        <v>170.24</v>
      </c>
      <c r="D1251" s="18">
        <v>175.93</v>
      </c>
      <c r="E1251" s="18">
        <v>158.62</v>
      </c>
      <c r="F1251" s="18">
        <v>150.91</v>
      </c>
      <c r="G1251" s="18">
        <v>173.447</v>
      </c>
      <c r="H1251" s="18">
        <v>180.51249999999999</v>
      </c>
      <c r="I1251" s="8">
        <v>0.1029135338345863</v>
      </c>
      <c r="J1251" s="8">
        <v>6.7242653328028146E-2</v>
      </c>
      <c r="K1251" s="8">
        <v>0.183709494389106</v>
      </c>
      <c r="L1251" s="8">
        <v>0.24418527599231329</v>
      </c>
      <c r="M1251" s="18">
        <v>0.59805095754403381</v>
      </c>
    </row>
    <row r="1252" spans="1:13" x14ac:dyDescent="0.45">
      <c r="A1252" t="s">
        <v>1583</v>
      </c>
      <c r="B1252" s="18">
        <v>88.83</v>
      </c>
      <c r="C1252" s="18">
        <v>103.38</v>
      </c>
      <c r="D1252" s="18">
        <v>101.18</v>
      </c>
      <c r="E1252" s="18">
        <v>75.069999999999993</v>
      </c>
      <c r="F1252" s="18">
        <v>118.67</v>
      </c>
      <c r="G1252" s="18">
        <v>99.3934</v>
      </c>
      <c r="H1252" s="18">
        <v>95.413349999999994</v>
      </c>
      <c r="I1252" s="8">
        <v>-0.14074289030760301</v>
      </c>
      <c r="J1252" s="8">
        <v>-0.12205969559201441</v>
      </c>
      <c r="K1252" s="8">
        <v>0.18329559078193691</v>
      </c>
      <c r="L1252" s="8">
        <v>-0.25145361085362772</v>
      </c>
      <c r="M1252" s="18">
        <v>-0.33096060597130822</v>
      </c>
    </row>
    <row r="1253" spans="1:13" x14ac:dyDescent="0.45">
      <c r="A1253" t="s">
        <v>2265</v>
      </c>
      <c r="B1253" s="18">
        <v>79.400000000000006</v>
      </c>
      <c r="C1253" s="18">
        <v>77.11</v>
      </c>
      <c r="D1253" s="18">
        <v>76.53</v>
      </c>
      <c r="E1253" s="18">
        <v>67.11</v>
      </c>
      <c r="F1253" s="18">
        <v>73.83</v>
      </c>
      <c r="G1253" s="18">
        <v>78.424000000000007</v>
      </c>
      <c r="H1253" s="18">
        <v>74.648899999999998</v>
      </c>
      <c r="I1253" s="8">
        <v>2.969783426274164E-2</v>
      </c>
      <c r="J1253" s="8">
        <v>3.7501633346400221E-2</v>
      </c>
      <c r="K1253" s="8">
        <v>0.18313217106243501</v>
      </c>
      <c r="L1253" s="8">
        <v>7.5443586617906178E-2</v>
      </c>
      <c r="M1253" s="18">
        <v>0.32577522528948299</v>
      </c>
    </row>
    <row r="1254" spans="1:13" x14ac:dyDescent="0.45">
      <c r="A1254" t="s">
        <v>380</v>
      </c>
      <c r="B1254" s="18">
        <v>43.9</v>
      </c>
      <c r="C1254" s="18">
        <v>40.49</v>
      </c>
      <c r="D1254" s="18">
        <v>39.6</v>
      </c>
      <c r="E1254" s="18">
        <v>37.11</v>
      </c>
      <c r="F1254" s="18">
        <v>34.64</v>
      </c>
      <c r="G1254" s="18">
        <v>42.021000000000001</v>
      </c>
      <c r="H1254" s="18">
        <v>39.730150000000002</v>
      </c>
      <c r="I1254" s="8">
        <v>8.4218325512472214E-2</v>
      </c>
      <c r="J1254" s="8">
        <v>0.10858585858585861</v>
      </c>
      <c r="K1254" s="8">
        <v>0.18296954998652651</v>
      </c>
      <c r="L1254" s="8">
        <v>0.26732101616628179</v>
      </c>
      <c r="M1254" s="18">
        <v>0.64309475025113905</v>
      </c>
    </row>
    <row r="1255" spans="1:13" x14ac:dyDescent="0.45">
      <c r="A1255" t="s">
        <v>2452</v>
      </c>
      <c r="B1255" s="18">
        <v>23.29</v>
      </c>
      <c r="C1255" s="18">
        <v>25.57</v>
      </c>
      <c r="D1255" s="18">
        <v>23.55</v>
      </c>
      <c r="E1255" s="18">
        <v>19.690000000000001</v>
      </c>
      <c r="F1255" s="18">
        <v>25.64</v>
      </c>
      <c r="G1255" s="18">
        <v>24.795400000000001</v>
      </c>
      <c r="H1255" s="18">
        <v>24.01135</v>
      </c>
      <c r="I1255" s="8">
        <v>-8.9166992569417292E-2</v>
      </c>
      <c r="J1255" s="8">
        <v>-1.104033970276019E-2</v>
      </c>
      <c r="K1255" s="8">
        <v>0.1828339258506855</v>
      </c>
      <c r="L1255" s="8">
        <v>-9.165366614664594E-2</v>
      </c>
      <c r="M1255" s="18">
        <v>-9.0270725681379504E-3</v>
      </c>
    </row>
    <row r="1256" spans="1:13" x14ac:dyDescent="0.45">
      <c r="A1256" t="s">
        <v>1048</v>
      </c>
      <c r="B1256" s="18">
        <v>11.47</v>
      </c>
      <c r="C1256" s="18">
        <v>12.17</v>
      </c>
      <c r="D1256" s="18">
        <v>11.03</v>
      </c>
      <c r="E1256" s="18">
        <v>9.6999999999999993</v>
      </c>
      <c r="F1256" s="18">
        <v>11.9</v>
      </c>
      <c r="G1256" s="18">
        <v>11.827</v>
      </c>
      <c r="H1256" s="18">
        <v>11.075749999999999</v>
      </c>
      <c r="I1256" s="8">
        <v>-5.751848808545601E-2</v>
      </c>
      <c r="J1256" s="8">
        <v>3.9891205802357277E-2</v>
      </c>
      <c r="K1256" s="8">
        <v>0.18247422680412401</v>
      </c>
      <c r="L1256" s="8">
        <v>-3.6134453781512588E-2</v>
      </c>
      <c r="M1256" s="18">
        <v>0.1287124907395126</v>
      </c>
    </row>
    <row r="1257" spans="1:13" x14ac:dyDescent="0.45">
      <c r="A1257" t="s">
        <v>44</v>
      </c>
      <c r="B1257" s="18">
        <v>35.9</v>
      </c>
      <c r="C1257" s="18">
        <v>32.15</v>
      </c>
      <c r="D1257" s="18">
        <v>41.23</v>
      </c>
      <c r="E1257" s="18">
        <v>30.37</v>
      </c>
      <c r="F1257" s="18">
        <v>39.65</v>
      </c>
      <c r="G1257" s="18">
        <v>33.810600000000001</v>
      </c>
      <c r="H1257" s="18">
        <v>37.579424999999993</v>
      </c>
      <c r="I1257" s="8">
        <v>0.1166407465007777</v>
      </c>
      <c r="J1257" s="8">
        <v>-0.12927479990298321</v>
      </c>
      <c r="K1257" s="8">
        <v>0.18208758643398079</v>
      </c>
      <c r="L1257" s="8">
        <v>-9.4577553593947039E-2</v>
      </c>
      <c r="M1257" s="18">
        <v>7.4875979437828311E-2</v>
      </c>
    </row>
    <row r="1258" spans="1:13" x14ac:dyDescent="0.45">
      <c r="A1258" t="s">
        <v>1456</v>
      </c>
      <c r="B1258" s="18">
        <v>5.14</v>
      </c>
      <c r="C1258" s="18">
        <v>5.0599999999999996</v>
      </c>
      <c r="D1258" s="18">
        <v>5.25</v>
      </c>
      <c r="E1258" s="18">
        <v>4.3499999999999996</v>
      </c>
      <c r="F1258" s="18">
        <v>6.26</v>
      </c>
      <c r="G1258" s="18">
        <v>5.0204000000000004</v>
      </c>
      <c r="H1258" s="18">
        <v>5.0660500000000006</v>
      </c>
      <c r="I1258" s="8">
        <v>1.5810276679841809E-2</v>
      </c>
      <c r="J1258" s="8">
        <v>-2.0952380952381059E-2</v>
      </c>
      <c r="K1258" s="8">
        <v>0.18160919540229889</v>
      </c>
      <c r="L1258" s="8">
        <v>-0.17891373801916929</v>
      </c>
      <c r="M1258" s="18">
        <v>-2.4466468894096538E-3</v>
      </c>
    </row>
    <row r="1259" spans="1:13" x14ac:dyDescent="0.45">
      <c r="A1259" t="s">
        <v>1208</v>
      </c>
      <c r="B1259" s="18">
        <v>16.73</v>
      </c>
      <c r="C1259" s="18">
        <v>17.46</v>
      </c>
      <c r="D1259" s="18">
        <v>17.18</v>
      </c>
      <c r="E1259" s="18">
        <v>14.16</v>
      </c>
      <c r="F1259" s="18">
        <v>16.47</v>
      </c>
      <c r="G1259" s="18">
        <v>17.153199999999998</v>
      </c>
      <c r="H1259" s="18">
        <v>16.297699999999999</v>
      </c>
      <c r="I1259" s="8">
        <v>-4.1809851088201677E-2</v>
      </c>
      <c r="J1259" s="8">
        <v>-2.619324796274736E-2</v>
      </c>
      <c r="K1259" s="8">
        <v>0.18149717514124289</v>
      </c>
      <c r="L1259" s="8">
        <v>1.5786278081360239E-2</v>
      </c>
      <c r="M1259" s="18">
        <v>0.12928035417165409</v>
      </c>
    </row>
    <row r="1260" spans="1:13" x14ac:dyDescent="0.45">
      <c r="A1260" t="s">
        <v>2164</v>
      </c>
      <c r="B1260" s="18">
        <v>9.1199999999999992</v>
      </c>
      <c r="C1260" s="18">
        <v>9.3800000000000008</v>
      </c>
      <c r="D1260" s="18">
        <v>9.26</v>
      </c>
      <c r="E1260" s="18">
        <v>7.72</v>
      </c>
      <c r="F1260" s="18">
        <v>10.47</v>
      </c>
      <c r="G1260" s="18">
        <v>9.2897999999999996</v>
      </c>
      <c r="H1260" s="18">
        <v>9.6243999999999996</v>
      </c>
      <c r="I1260" s="8">
        <v>-2.7718550106609952E-2</v>
      </c>
      <c r="J1260" s="8">
        <v>-1.511879049676035E-2</v>
      </c>
      <c r="K1260" s="8">
        <v>0.18134715025906731</v>
      </c>
      <c r="L1260" s="8">
        <v>-0.1289398280802293</v>
      </c>
      <c r="M1260" s="18">
        <v>9.5699815754677342E-3</v>
      </c>
    </row>
    <row r="1261" spans="1:13" x14ac:dyDescent="0.45">
      <c r="A1261" t="s">
        <v>1044</v>
      </c>
      <c r="B1261" s="18">
        <v>24.24</v>
      </c>
      <c r="C1261" s="18">
        <v>29.64</v>
      </c>
      <c r="D1261" s="18">
        <v>28.22</v>
      </c>
      <c r="E1261" s="18">
        <v>20.52</v>
      </c>
      <c r="F1261" s="18">
        <v>34.299999999999997</v>
      </c>
      <c r="G1261" s="18">
        <v>27.363800000000001</v>
      </c>
      <c r="H1261" s="18">
        <v>24.477799999999998</v>
      </c>
      <c r="I1261" s="8">
        <v>-0.18218623481781379</v>
      </c>
      <c r="J1261" s="8">
        <v>-0.14103472714386969</v>
      </c>
      <c r="K1261" s="8">
        <v>0.18128654970760241</v>
      </c>
      <c r="L1261" s="8">
        <v>-0.29329446064139941</v>
      </c>
      <c r="M1261" s="18">
        <v>-0.43522887289548051</v>
      </c>
    </row>
    <row r="1262" spans="1:13" x14ac:dyDescent="0.45">
      <c r="A1262" t="s">
        <v>1501</v>
      </c>
      <c r="B1262" s="18">
        <v>13.62</v>
      </c>
      <c r="C1262" s="18">
        <v>13.5</v>
      </c>
      <c r="D1262" s="18">
        <v>13.18</v>
      </c>
      <c r="E1262" s="18">
        <v>11.53</v>
      </c>
      <c r="F1262" s="18">
        <v>13.37</v>
      </c>
      <c r="G1262" s="18">
        <v>13.474399999999999</v>
      </c>
      <c r="H1262" s="18">
        <v>12.969528499999999</v>
      </c>
      <c r="I1262" s="8">
        <v>8.8888888888887241E-3</v>
      </c>
      <c r="J1262" s="8">
        <v>3.3383915022761723E-2</v>
      </c>
      <c r="K1262" s="8">
        <v>0.18126626192541201</v>
      </c>
      <c r="L1262" s="8">
        <v>1.8698578908002968E-2</v>
      </c>
      <c r="M1262" s="18">
        <v>0.2422376447450654</v>
      </c>
    </row>
    <row r="1263" spans="1:13" x14ac:dyDescent="0.45">
      <c r="A1263" t="s">
        <v>2493</v>
      </c>
      <c r="B1263" s="18">
        <v>5.15</v>
      </c>
      <c r="C1263" s="18">
        <v>5.13</v>
      </c>
      <c r="D1263" s="18">
        <v>4.0199999999999996</v>
      </c>
      <c r="E1263" s="18">
        <v>4.3600000000000003</v>
      </c>
      <c r="F1263" s="18">
        <v>5.21</v>
      </c>
      <c r="G1263" s="18">
        <v>4.7986000000000004</v>
      </c>
      <c r="H1263" s="18">
        <v>4.4872500000000004</v>
      </c>
      <c r="I1263" s="8">
        <v>3.8986354775829568E-3</v>
      </c>
      <c r="J1263" s="8">
        <v>0.28109452736318441</v>
      </c>
      <c r="K1263" s="8">
        <v>0.1811926605504588</v>
      </c>
      <c r="L1263" s="8">
        <v>-1.1516314779270511E-2</v>
      </c>
      <c r="M1263" s="18">
        <v>0.45466950861195571</v>
      </c>
    </row>
    <row r="1264" spans="1:13" x14ac:dyDescent="0.45">
      <c r="A1264" t="s">
        <v>1826</v>
      </c>
      <c r="B1264" s="18">
        <v>42.23</v>
      </c>
      <c r="C1264" s="18">
        <v>44.8</v>
      </c>
      <c r="D1264" s="18">
        <v>46.83</v>
      </c>
      <c r="E1264" s="18">
        <v>35.76</v>
      </c>
      <c r="F1264" s="18">
        <v>36.44</v>
      </c>
      <c r="G1264" s="18">
        <v>44.492199999999997</v>
      </c>
      <c r="H1264" s="18">
        <v>41.202599999999997</v>
      </c>
      <c r="I1264" s="8">
        <v>-5.7366071428571419E-2</v>
      </c>
      <c r="J1264" s="8">
        <v>-9.8227631859918896E-2</v>
      </c>
      <c r="K1264" s="8">
        <v>0.1809284116331096</v>
      </c>
      <c r="L1264" s="8">
        <v>0.15889132821075741</v>
      </c>
      <c r="M1264" s="18">
        <v>0.18422603655537659</v>
      </c>
    </row>
    <row r="1265" spans="1:13" x14ac:dyDescent="0.45">
      <c r="A1265" t="s">
        <v>1676</v>
      </c>
      <c r="B1265" s="18">
        <v>7.19</v>
      </c>
      <c r="C1265" s="18">
        <v>7.75</v>
      </c>
      <c r="D1265" s="18">
        <v>7.68</v>
      </c>
      <c r="E1265" s="18">
        <v>6.09</v>
      </c>
      <c r="F1265" s="18">
        <v>7.23</v>
      </c>
      <c r="G1265" s="18">
        <v>7.5038</v>
      </c>
      <c r="H1265" s="18">
        <v>7.2039499999999999</v>
      </c>
      <c r="I1265" s="8">
        <v>-7.2258064516128928E-2</v>
      </c>
      <c r="J1265" s="8">
        <v>-6.3802083333333259E-2</v>
      </c>
      <c r="K1265" s="8">
        <v>0.180623973727422</v>
      </c>
      <c r="L1265" s="8">
        <v>-5.5325034578146406E-3</v>
      </c>
      <c r="M1265" s="18">
        <v>3.9031322420145183E-2</v>
      </c>
    </row>
    <row r="1266" spans="1:13" x14ac:dyDescent="0.45">
      <c r="A1266" t="s">
        <v>1781</v>
      </c>
      <c r="B1266" s="18">
        <v>14.73</v>
      </c>
      <c r="C1266" s="18">
        <v>17.37</v>
      </c>
      <c r="D1266" s="18">
        <v>12.66</v>
      </c>
      <c r="E1266" s="18">
        <v>12.48</v>
      </c>
      <c r="F1266" s="18">
        <v>12.77</v>
      </c>
      <c r="G1266" s="18">
        <v>16.938199999999998</v>
      </c>
      <c r="H1266" s="18">
        <v>13.894118499999999</v>
      </c>
      <c r="I1266" s="8">
        <v>-0.15198618307426601</v>
      </c>
      <c r="J1266" s="8">
        <v>0.1635071090047393</v>
      </c>
      <c r="K1266" s="8">
        <v>0.18028846153846151</v>
      </c>
      <c r="L1266" s="8">
        <v>0.1534847298355522</v>
      </c>
      <c r="M1266" s="18">
        <v>0.34529411730448689</v>
      </c>
    </row>
    <row r="1267" spans="1:13" x14ac:dyDescent="0.45">
      <c r="A1267" t="s">
        <v>1008</v>
      </c>
      <c r="B1267" s="18">
        <v>22.04</v>
      </c>
      <c r="C1267" s="18">
        <v>23.51</v>
      </c>
      <c r="D1267" s="18">
        <v>25.81</v>
      </c>
      <c r="E1267" s="18">
        <v>18.68</v>
      </c>
      <c r="F1267" s="18">
        <v>25.145</v>
      </c>
      <c r="G1267" s="18">
        <v>23.188600000000001</v>
      </c>
      <c r="H1267" s="18">
        <v>23.823899999999998</v>
      </c>
      <c r="I1267" s="8">
        <v>-6.252658443215664E-2</v>
      </c>
      <c r="J1267" s="8">
        <v>-0.1460674157303371</v>
      </c>
      <c r="K1267" s="8">
        <v>0.17987152034261239</v>
      </c>
      <c r="L1267" s="8">
        <v>-0.12348379399483</v>
      </c>
      <c r="M1267" s="18">
        <v>-0.1522062738147113</v>
      </c>
    </row>
    <row r="1268" spans="1:13" x14ac:dyDescent="0.45">
      <c r="A1268" t="s">
        <v>1968</v>
      </c>
      <c r="B1268" s="18">
        <v>13.45</v>
      </c>
      <c r="C1268" s="18">
        <v>13.41</v>
      </c>
      <c r="D1268" s="18">
        <v>14.03</v>
      </c>
      <c r="E1268" s="18">
        <v>11.4</v>
      </c>
      <c r="F1268" s="18">
        <v>13.48</v>
      </c>
      <c r="G1268" s="18">
        <v>13.164999999999999</v>
      </c>
      <c r="H1268" s="18">
        <v>12.323399999999999</v>
      </c>
      <c r="I1268" s="8">
        <v>2.9828486204324101E-3</v>
      </c>
      <c r="J1268" s="8">
        <v>-4.1339985744832553E-2</v>
      </c>
      <c r="K1268" s="8">
        <v>0.1798245614035088</v>
      </c>
      <c r="L1268" s="8">
        <v>-2.225519287833877E-3</v>
      </c>
      <c r="M1268" s="18">
        <v>0.13924190499127481</v>
      </c>
    </row>
    <row r="1269" spans="1:13" x14ac:dyDescent="0.45">
      <c r="A1269" t="s">
        <v>1477</v>
      </c>
      <c r="B1269" s="18">
        <v>40.29</v>
      </c>
      <c r="C1269" s="18">
        <v>38.6</v>
      </c>
      <c r="D1269" s="18">
        <v>37.69</v>
      </c>
      <c r="E1269" s="18">
        <v>34.159999999999997</v>
      </c>
      <c r="F1269" s="18">
        <v>47.6</v>
      </c>
      <c r="G1269" s="18">
        <v>36.854399999999998</v>
      </c>
      <c r="H1269" s="18">
        <v>41.623750000000001</v>
      </c>
      <c r="I1269" s="8">
        <v>4.3782383419689097E-2</v>
      </c>
      <c r="J1269" s="8">
        <v>6.8983815335632803E-2</v>
      </c>
      <c r="K1269" s="8">
        <v>0.17944964871194391</v>
      </c>
      <c r="L1269" s="8">
        <v>-0.15357142857142861</v>
      </c>
      <c r="M1269" s="18">
        <v>0.1386444188958372</v>
      </c>
    </row>
    <row r="1270" spans="1:13" x14ac:dyDescent="0.45">
      <c r="A1270" t="s">
        <v>2033</v>
      </c>
      <c r="B1270" s="18">
        <v>105.69</v>
      </c>
      <c r="C1270" s="18">
        <v>116.3</v>
      </c>
      <c r="D1270" s="18">
        <v>107.69</v>
      </c>
      <c r="E1270" s="18">
        <v>89.64</v>
      </c>
      <c r="F1270" s="18">
        <v>81.209999999999994</v>
      </c>
      <c r="G1270" s="18">
        <v>113.273</v>
      </c>
      <c r="H1270" s="18">
        <v>103.12075</v>
      </c>
      <c r="I1270" s="8">
        <v>-9.1229578675838363E-2</v>
      </c>
      <c r="J1270" s="8">
        <v>-1.8571826539140131E-2</v>
      </c>
      <c r="K1270" s="8">
        <v>0.17904953145916999</v>
      </c>
      <c r="L1270" s="8">
        <v>0.30144070927225708</v>
      </c>
      <c r="M1270" s="18">
        <v>0.3706888355164486</v>
      </c>
    </row>
    <row r="1271" spans="1:13" x14ac:dyDescent="0.45">
      <c r="A1271" t="s">
        <v>1999</v>
      </c>
      <c r="B1271" s="18">
        <v>35.07</v>
      </c>
      <c r="C1271" s="18">
        <v>36.11</v>
      </c>
      <c r="D1271" s="18">
        <v>31.91</v>
      </c>
      <c r="E1271" s="18">
        <v>29.76</v>
      </c>
      <c r="F1271" s="18"/>
      <c r="G1271" s="18">
        <v>35.276800000000001</v>
      </c>
      <c r="H1271" s="18"/>
      <c r="I1271" s="8">
        <v>-2.8800886181113209E-2</v>
      </c>
      <c r="J1271" s="8">
        <v>9.9028517706048369E-2</v>
      </c>
      <c r="K1271" s="8">
        <v>0.17842741935483869</v>
      </c>
      <c r="L1271" s="8"/>
      <c r="M1271" s="18">
        <v>0.24865505087977391</v>
      </c>
    </row>
    <row r="1272" spans="1:13" x14ac:dyDescent="0.45">
      <c r="A1272" t="s">
        <v>697</v>
      </c>
      <c r="B1272" s="18">
        <v>14.01</v>
      </c>
      <c r="C1272" s="18">
        <v>9.99</v>
      </c>
      <c r="D1272" s="18">
        <v>11.09</v>
      </c>
      <c r="E1272" s="18">
        <v>11.89</v>
      </c>
      <c r="F1272" s="18">
        <v>17.510000000000002</v>
      </c>
      <c r="G1272" s="18">
        <v>10.3064</v>
      </c>
      <c r="H1272" s="18">
        <v>12.96705</v>
      </c>
      <c r="I1272" s="8">
        <v>0.40240240240240238</v>
      </c>
      <c r="J1272" s="8">
        <v>0.26330027051397659</v>
      </c>
      <c r="K1272" s="8">
        <v>0.17830109335576119</v>
      </c>
      <c r="L1272" s="8">
        <v>-0.19988577955454029</v>
      </c>
      <c r="M1272" s="18">
        <v>0.6441179867175999</v>
      </c>
    </row>
    <row r="1273" spans="1:13" x14ac:dyDescent="0.45">
      <c r="A1273" t="s">
        <v>2012</v>
      </c>
      <c r="B1273" s="18">
        <v>5.69</v>
      </c>
      <c r="C1273" s="18">
        <v>4.5199999999999996</v>
      </c>
      <c r="D1273" s="18">
        <v>6.59</v>
      </c>
      <c r="E1273" s="18">
        <v>4.83</v>
      </c>
      <c r="F1273" s="18">
        <v>8.44</v>
      </c>
      <c r="G1273" s="18">
        <v>4.9972000000000003</v>
      </c>
      <c r="H1273" s="18">
        <v>6.6058000000000003</v>
      </c>
      <c r="I1273" s="8">
        <v>0.25884955752212407</v>
      </c>
      <c r="J1273" s="8">
        <v>-0.13657056145675259</v>
      </c>
      <c r="K1273" s="8">
        <v>0.17805383022774321</v>
      </c>
      <c r="L1273" s="8">
        <v>-0.32582938388625582</v>
      </c>
      <c r="M1273" s="18">
        <v>-2.5496557593141071E-2</v>
      </c>
    </row>
    <row r="1274" spans="1:13" x14ac:dyDescent="0.45">
      <c r="A1274" t="s">
        <v>118</v>
      </c>
      <c r="B1274" s="18">
        <v>65.42</v>
      </c>
      <c r="C1274" s="18">
        <v>66.19</v>
      </c>
      <c r="D1274" s="18">
        <v>58.55</v>
      </c>
      <c r="E1274" s="18">
        <v>55.56</v>
      </c>
      <c r="F1274" s="18">
        <v>50.1</v>
      </c>
      <c r="G1274" s="18">
        <v>65.438199999999995</v>
      </c>
      <c r="H1274" s="18">
        <v>58.950749999999999</v>
      </c>
      <c r="I1274" s="8">
        <v>-1.163317721710222E-2</v>
      </c>
      <c r="J1274" s="8">
        <v>0.11733561058924</v>
      </c>
      <c r="K1274" s="8">
        <v>0.17746580273578119</v>
      </c>
      <c r="L1274" s="8">
        <v>0.3057884231536927</v>
      </c>
      <c r="M1274" s="18">
        <v>0.58895665926161167</v>
      </c>
    </row>
    <row r="1275" spans="1:13" x14ac:dyDescent="0.45">
      <c r="A1275" t="s">
        <v>1252</v>
      </c>
      <c r="B1275" s="18">
        <v>22.43</v>
      </c>
      <c r="C1275" s="18">
        <v>25.8</v>
      </c>
      <c r="D1275" s="18">
        <v>23.86</v>
      </c>
      <c r="E1275" s="18">
        <v>19.05</v>
      </c>
      <c r="F1275" s="18">
        <v>10.210000000000001</v>
      </c>
      <c r="G1275" s="18">
        <v>25.114799999999999</v>
      </c>
      <c r="H1275" s="18">
        <v>23.596</v>
      </c>
      <c r="I1275" s="8">
        <v>-0.13062015503875971</v>
      </c>
      <c r="J1275" s="8">
        <v>-5.9932942162615237E-2</v>
      </c>
      <c r="K1275" s="8">
        <v>0.17742782152230971</v>
      </c>
      <c r="L1275" s="8">
        <v>1.196865817825661</v>
      </c>
      <c r="M1275" s="18">
        <v>1.1837405421465961</v>
      </c>
    </row>
    <row r="1276" spans="1:13" x14ac:dyDescent="0.45">
      <c r="A1276" t="s">
        <v>2323</v>
      </c>
      <c r="B1276" s="18">
        <v>81.86</v>
      </c>
      <c r="C1276" s="18">
        <v>81.2</v>
      </c>
      <c r="D1276" s="18">
        <v>83.14</v>
      </c>
      <c r="E1276" s="18">
        <v>69.53</v>
      </c>
      <c r="F1276" s="18">
        <v>91.99</v>
      </c>
      <c r="G1276" s="18">
        <v>81.882000000000005</v>
      </c>
      <c r="H1276" s="18">
        <v>80.153150000000011</v>
      </c>
      <c r="I1276" s="8">
        <v>8.1280788177340302E-3</v>
      </c>
      <c r="J1276" s="8">
        <v>-1.5395718065912891E-2</v>
      </c>
      <c r="K1276" s="8">
        <v>0.17733352509708039</v>
      </c>
      <c r="L1276" s="8">
        <v>-0.11012066528970529</v>
      </c>
      <c r="M1276" s="18">
        <v>5.9945220559196273E-2</v>
      </c>
    </row>
    <row r="1277" spans="1:13" x14ac:dyDescent="0.45">
      <c r="A1277" t="s">
        <v>1719</v>
      </c>
      <c r="B1277" s="18">
        <v>154.65</v>
      </c>
      <c r="C1277" s="18">
        <v>147.38999999999999</v>
      </c>
      <c r="D1277" s="18">
        <v>169.63</v>
      </c>
      <c r="E1277" s="18">
        <v>131.41999999999999</v>
      </c>
      <c r="F1277" s="18">
        <v>173.22</v>
      </c>
      <c r="G1277" s="18">
        <v>152.53819999999999</v>
      </c>
      <c r="H1277" s="18">
        <v>157.7629</v>
      </c>
      <c r="I1277" s="8">
        <v>4.9257073071443218E-2</v>
      </c>
      <c r="J1277" s="8">
        <v>-8.8309850851853944E-2</v>
      </c>
      <c r="K1277" s="8">
        <v>0.17676152792573441</v>
      </c>
      <c r="L1277" s="8">
        <v>-0.1072047107724281</v>
      </c>
      <c r="M1277" s="18">
        <v>3.050403937289559E-2</v>
      </c>
    </row>
    <row r="1278" spans="1:13" x14ac:dyDescent="0.45">
      <c r="A1278" t="s">
        <v>399</v>
      </c>
      <c r="B1278" s="18">
        <v>25.68</v>
      </c>
      <c r="C1278" s="18">
        <v>24.71</v>
      </c>
      <c r="D1278" s="18">
        <v>25.78</v>
      </c>
      <c r="E1278" s="18">
        <v>21.84</v>
      </c>
      <c r="F1278" s="18">
        <v>28.58</v>
      </c>
      <c r="G1278" s="18">
        <v>24.779399999999999</v>
      </c>
      <c r="H1278" s="18">
        <v>24.836749999999999</v>
      </c>
      <c r="I1278" s="8">
        <v>3.9255362201537691E-2</v>
      </c>
      <c r="J1278" s="8">
        <v>-3.878975950349139E-3</v>
      </c>
      <c r="K1278" s="8">
        <v>0.17582417582417589</v>
      </c>
      <c r="L1278" s="8">
        <v>-0.1014695591322603</v>
      </c>
      <c r="M1278" s="18">
        <v>0.1097310029431041</v>
      </c>
    </row>
    <row r="1279" spans="1:13" x14ac:dyDescent="0.45">
      <c r="A1279" t="s">
        <v>528</v>
      </c>
      <c r="B1279" s="18">
        <v>247.88</v>
      </c>
      <c r="C1279" s="18">
        <v>253.94</v>
      </c>
      <c r="D1279" s="18">
        <v>265.97000000000003</v>
      </c>
      <c r="E1279" s="18">
        <v>210.85</v>
      </c>
      <c r="F1279" s="18">
        <v>231.82</v>
      </c>
      <c r="G1279" s="18">
        <v>242.86439999999999</v>
      </c>
      <c r="H1279" s="18">
        <v>244.20744999999999</v>
      </c>
      <c r="I1279" s="8">
        <v>-2.3863904859415589E-2</v>
      </c>
      <c r="J1279" s="8">
        <v>-6.8015189683047095E-2</v>
      </c>
      <c r="K1279" s="8">
        <v>0.17562248043632911</v>
      </c>
      <c r="L1279" s="8">
        <v>6.9277888016564537E-2</v>
      </c>
      <c r="M1279" s="18">
        <v>0.15302127391043099</v>
      </c>
    </row>
    <row r="1280" spans="1:13" x14ac:dyDescent="0.45">
      <c r="A1280" t="s">
        <v>408</v>
      </c>
      <c r="B1280" s="18">
        <v>81.77</v>
      </c>
      <c r="C1280" s="18">
        <v>80.069999999999993</v>
      </c>
      <c r="D1280" s="18">
        <v>81.599999999999994</v>
      </c>
      <c r="E1280" s="18">
        <v>69.56</v>
      </c>
      <c r="F1280" s="18">
        <v>87.32</v>
      </c>
      <c r="G1280" s="18">
        <v>80.119600000000005</v>
      </c>
      <c r="H1280" s="18">
        <v>79.923899999999989</v>
      </c>
      <c r="I1280" s="8">
        <v>2.1231422505307851E-2</v>
      </c>
      <c r="J1280" s="8">
        <v>2.083333333333437E-3</v>
      </c>
      <c r="K1280" s="8">
        <v>0.175531914893617</v>
      </c>
      <c r="L1280" s="8">
        <v>-6.3559322033898247E-2</v>
      </c>
      <c r="M1280" s="18">
        <v>0.13528734869836001</v>
      </c>
    </row>
    <row r="1281" spans="1:13" x14ac:dyDescent="0.45">
      <c r="A1281" t="s">
        <v>1969</v>
      </c>
      <c r="B1281" s="18">
        <v>48.69</v>
      </c>
      <c r="C1281" s="18">
        <v>50.95</v>
      </c>
      <c r="D1281" s="18">
        <v>57.45</v>
      </c>
      <c r="E1281" s="18">
        <v>41.43</v>
      </c>
      <c r="F1281" s="18">
        <v>68.67</v>
      </c>
      <c r="G1281" s="18">
        <v>51.997999999999998</v>
      </c>
      <c r="H1281" s="18">
        <v>48.780799999999999</v>
      </c>
      <c r="I1281" s="8">
        <v>-4.4357212953876402E-2</v>
      </c>
      <c r="J1281" s="8">
        <v>-0.15248041775456919</v>
      </c>
      <c r="K1281" s="8">
        <v>0.175235336712527</v>
      </c>
      <c r="L1281" s="8">
        <v>-0.29095674967234608</v>
      </c>
      <c r="M1281" s="18">
        <v>-0.3125590436682647</v>
      </c>
    </row>
    <row r="1282" spans="1:13" x14ac:dyDescent="0.45">
      <c r="A1282" t="s">
        <v>1079</v>
      </c>
      <c r="B1282" s="18">
        <v>48.43</v>
      </c>
      <c r="C1282" s="18">
        <v>50.65</v>
      </c>
      <c r="D1282" s="18">
        <v>52.79</v>
      </c>
      <c r="E1282" s="18">
        <v>41.21</v>
      </c>
      <c r="F1282" s="18">
        <v>53.83</v>
      </c>
      <c r="G1282" s="18">
        <v>49.084400000000002</v>
      </c>
      <c r="H1282" s="18">
        <v>51.779799999999987</v>
      </c>
      <c r="I1282" s="8">
        <v>-4.3830207305034508E-2</v>
      </c>
      <c r="J1282" s="8">
        <v>-8.2591399886342121E-2</v>
      </c>
      <c r="K1282" s="8">
        <v>0.1752001941276389</v>
      </c>
      <c r="L1282" s="8">
        <v>-0.1003158090284227</v>
      </c>
      <c r="M1282" s="18">
        <v>-5.1537222092160502E-2</v>
      </c>
    </row>
    <row r="1283" spans="1:13" x14ac:dyDescent="0.45">
      <c r="A1283" t="s">
        <v>1119</v>
      </c>
      <c r="B1283" s="18">
        <v>13.62</v>
      </c>
      <c r="C1283" s="18">
        <v>13.66</v>
      </c>
      <c r="D1283" s="18">
        <v>13.24</v>
      </c>
      <c r="E1283" s="18">
        <v>11.59</v>
      </c>
      <c r="F1283" s="18">
        <v>12.46</v>
      </c>
      <c r="G1283" s="18">
        <v>13.3682</v>
      </c>
      <c r="H1283" s="18">
        <v>12.9688</v>
      </c>
      <c r="I1283" s="8">
        <v>-2.9282576866764831E-3</v>
      </c>
      <c r="J1283" s="8">
        <v>2.87009063444108E-2</v>
      </c>
      <c r="K1283" s="8">
        <v>0.175150992234685</v>
      </c>
      <c r="L1283" s="8">
        <v>9.3097913322632175E-2</v>
      </c>
      <c r="M1283" s="18">
        <v>0.29402155421505149</v>
      </c>
    </row>
    <row r="1284" spans="1:13" x14ac:dyDescent="0.45">
      <c r="A1284" t="s">
        <v>2430</v>
      </c>
      <c r="B1284" s="18">
        <v>11.34</v>
      </c>
      <c r="C1284" s="18">
        <v>11.224600000000001</v>
      </c>
      <c r="D1284" s="18">
        <v>11.000400000000001</v>
      </c>
      <c r="E1284" s="18">
        <v>9.65</v>
      </c>
      <c r="F1284" s="18">
        <v>11.58</v>
      </c>
      <c r="G1284" s="18">
        <v>11.18769</v>
      </c>
      <c r="H1284" s="18">
        <v>10.849722</v>
      </c>
      <c r="I1284" s="8">
        <v>1.028098996846216E-2</v>
      </c>
      <c r="J1284" s="8">
        <v>3.087160466892103E-2</v>
      </c>
      <c r="K1284" s="8">
        <v>0.17512953367875639</v>
      </c>
      <c r="L1284" s="8">
        <v>-2.072538860103634E-2</v>
      </c>
      <c r="M1284" s="18">
        <v>0.19555673971510321</v>
      </c>
    </row>
    <row r="1285" spans="1:13" x14ac:dyDescent="0.45">
      <c r="A1285" t="s">
        <v>2076</v>
      </c>
      <c r="B1285" s="18">
        <v>8.5399999999999991</v>
      </c>
      <c r="C1285" s="18">
        <v>9.33</v>
      </c>
      <c r="D1285" s="18">
        <v>8.43</v>
      </c>
      <c r="E1285" s="18">
        <v>7.27</v>
      </c>
      <c r="F1285" s="18">
        <v>11.85</v>
      </c>
      <c r="G1285" s="18">
        <v>9.0568000000000008</v>
      </c>
      <c r="H1285" s="18">
        <v>8.7911999999999999</v>
      </c>
      <c r="I1285" s="8">
        <v>-8.4673097534833985E-2</v>
      </c>
      <c r="J1285" s="8">
        <v>1.304863582443638E-2</v>
      </c>
      <c r="K1285" s="8">
        <v>0.17469050894085281</v>
      </c>
      <c r="L1285" s="8">
        <v>-0.27932489451476789</v>
      </c>
      <c r="M1285" s="18">
        <v>-0.17625884728431271</v>
      </c>
    </row>
    <row r="1286" spans="1:13" x14ac:dyDescent="0.45">
      <c r="A1286" t="s">
        <v>1858</v>
      </c>
      <c r="B1286" s="18">
        <v>34.840000000000003</v>
      </c>
      <c r="C1286" s="18">
        <v>37.94</v>
      </c>
      <c r="D1286" s="18">
        <v>37.799999999999997</v>
      </c>
      <c r="E1286" s="18">
        <v>29.67</v>
      </c>
      <c r="F1286" s="18">
        <v>31.4</v>
      </c>
      <c r="G1286" s="18">
        <v>36.505600000000001</v>
      </c>
      <c r="H1286" s="18">
        <v>35.52525</v>
      </c>
      <c r="I1286" s="8">
        <v>-8.1707959936742069E-2</v>
      </c>
      <c r="J1286" s="8">
        <v>-7.8306878306878103E-2</v>
      </c>
      <c r="K1286" s="8">
        <v>0.1742500842601955</v>
      </c>
      <c r="L1286" s="8">
        <v>0.1095541401273887</v>
      </c>
      <c r="M1286" s="18">
        <v>0.12378938614396411</v>
      </c>
    </row>
    <row r="1287" spans="1:13" x14ac:dyDescent="0.45">
      <c r="A1287" t="s">
        <v>250</v>
      </c>
      <c r="B1287" s="18">
        <v>120.75</v>
      </c>
      <c r="C1287" s="18">
        <v>120.96</v>
      </c>
      <c r="D1287" s="18">
        <v>119.25</v>
      </c>
      <c r="E1287" s="18">
        <v>102.84</v>
      </c>
      <c r="F1287" s="18">
        <v>120.44</v>
      </c>
      <c r="G1287" s="18">
        <v>120.6382</v>
      </c>
      <c r="H1287" s="18">
        <v>115.4177</v>
      </c>
      <c r="I1287" s="8">
        <v>-1.736111111111049E-3</v>
      </c>
      <c r="J1287" s="8">
        <v>1.257861635220126E-2</v>
      </c>
      <c r="K1287" s="8">
        <v>0.1741540256709451</v>
      </c>
      <c r="L1287" s="8">
        <v>2.5738957157090958E-3</v>
      </c>
      <c r="M1287" s="18">
        <v>0.1875704266277444</v>
      </c>
    </row>
    <row r="1288" spans="1:13" x14ac:dyDescent="0.45">
      <c r="A1288" t="s">
        <v>1786</v>
      </c>
      <c r="B1288" s="18">
        <v>20.95</v>
      </c>
      <c r="C1288" s="18">
        <v>22.27</v>
      </c>
      <c r="D1288" s="18">
        <v>19.809999999999999</v>
      </c>
      <c r="E1288" s="18">
        <v>17.850000000000001</v>
      </c>
      <c r="F1288" s="18">
        <v>19.63</v>
      </c>
      <c r="G1288" s="18">
        <v>21.066600000000001</v>
      </c>
      <c r="H1288" s="18">
        <v>20.0792</v>
      </c>
      <c r="I1288" s="8">
        <v>-5.9272563987427078E-2</v>
      </c>
      <c r="J1288" s="8">
        <v>5.7546693589096483E-2</v>
      </c>
      <c r="K1288" s="8">
        <v>0.1736694677871147</v>
      </c>
      <c r="L1288" s="8">
        <v>6.7244014263881935E-2</v>
      </c>
      <c r="M1288" s="18">
        <v>0.239187611652666</v>
      </c>
    </row>
    <row r="1289" spans="1:13" x14ac:dyDescent="0.45">
      <c r="A1289" t="s">
        <v>206</v>
      </c>
      <c r="B1289" s="18">
        <v>204.96</v>
      </c>
      <c r="C1289" s="18">
        <v>194.33</v>
      </c>
      <c r="D1289" s="18">
        <v>205.51</v>
      </c>
      <c r="E1289" s="18">
        <v>174.64</v>
      </c>
      <c r="F1289" s="18">
        <v>270.02999999999997</v>
      </c>
      <c r="G1289" s="18">
        <v>200.34440000000001</v>
      </c>
      <c r="H1289" s="18">
        <v>204.78700000000001</v>
      </c>
      <c r="I1289" s="8">
        <v>5.4700766736993638E-2</v>
      </c>
      <c r="J1289" s="8">
        <v>-2.6762687947057269E-3</v>
      </c>
      <c r="K1289" s="8">
        <v>0.17361429225836009</v>
      </c>
      <c r="L1289" s="8">
        <v>-0.24097322519720021</v>
      </c>
      <c r="M1289" s="18">
        <v>-1.533443499655218E-2</v>
      </c>
    </row>
    <row r="1290" spans="1:13" x14ac:dyDescent="0.45">
      <c r="A1290" t="s">
        <v>1101</v>
      </c>
      <c r="B1290" s="18">
        <v>16.63</v>
      </c>
      <c r="C1290" s="18">
        <v>16.7</v>
      </c>
      <c r="D1290" s="18">
        <v>16.41</v>
      </c>
      <c r="E1290" s="18">
        <v>14.17</v>
      </c>
      <c r="F1290" s="18">
        <v>17.87</v>
      </c>
      <c r="G1290" s="18">
        <v>16.513400000000001</v>
      </c>
      <c r="H1290" s="18">
        <v>16.1998</v>
      </c>
      <c r="I1290" s="8">
        <v>-4.1916167664670656E-3</v>
      </c>
      <c r="J1290" s="8">
        <v>1.340645947592933E-2</v>
      </c>
      <c r="K1290" s="8">
        <v>0.17360621030345791</v>
      </c>
      <c r="L1290" s="8">
        <v>-6.9390039171796425E-2</v>
      </c>
      <c r="M1290" s="18">
        <v>0.11343101384112381</v>
      </c>
    </row>
    <row r="1291" spans="1:13" x14ac:dyDescent="0.45">
      <c r="A1291" t="s">
        <v>1891</v>
      </c>
      <c r="B1291" s="18">
        <v>7.24</v>
      </c>
      <c r="C1291" s="18">
        <v>7.2</v>
      </c>
      <c r="D1291" s="18">
        <v>7.2</v>
      </c>
      <c r="E1291" s="18">
        <v>6.17</v>
      </c>
      <c r="F1291" s="18">
        <v>7.83</v>
      </c>
      <c r="G1291" s="18">
        <v>7.0923999999999996</v>
      </c>
      <c r="H1291" s="18">
        <v>7.41845</v>
      </c>
      <c r="I1291" s="8">
        <v>5.5555555555555358E-3</v>
      </c>
      <c r="J1291" s="8">
        <v>5.5555555555555358E-3</v>
      </c>
      <c r="K1291" s="8">
        <v>0.17341977309562401</v>
      </c>
      <c r="L1291" s="8">
        <v>-7.5351213282247698E-2</v>
      </c>
      <c r="M1291" s="18">
        <v>0.1091796709244873</v>
      </c>
    </row>
    <row r="1292" spans="1:13" x14ac:dyDescent="0.45">
      <c r="A1292" t="s">
        <v>2518</v>
      </c>
      <c r="B1292" s="18">
        <v>14.62</v>
      </c>
      <c r="C1292" s="18">
        <v>13.84</v>
      </c>
      <c r="D1292" s="18">
        <v>19.89</v>
      </c>
      <c r="E1292" s="18">
        <v>12.46</v>
      </c>
      <c r="F1292" s="18">
        <v>7.3391999999999999</v>
      </c>
      <c r="G1292" s="18">
        <v>14.264799999999999</v>
      </c>
      <c r="H1292" s="18">
        <v>13.403600000000001</v>
      </c>
      <c r="I1292" s="8">
        <v>5.6358381502890083E-2</v>
      </c>
      <c r="J1292" s="8">
        <v>-0.26495726495726502</v>
      </c>
      <c r="K1292" s="8">
        <v>0.17335473515248781</v>
      </c>
      <c r="L1292" s="8">
        <v>0.99204272945280136</v>
      </c>
      <c r="M1292" s="18">
        <v>0.95679858115091421</v>
      </c>
    </row>
    <row r="1293" spans="1:13" x14ac:dyDescent="0.45">
      <c r="A1293" t="s">
        <v>1352</v>
      </c>
      <c r="B1293" s="18">
        <v>5.56</v>
      </c>
      <c r="C1293" s="18">
        <v>5.19</v>
      </c>
      <c r="D1293" s="18">
        <v>5.81</v>
      </c>
      <c r="E1293" s="18">
        <v>4.74</v>
      </c>
      <c r="F1293" s="18">
        <v>6.22</v>
      </c>
      <c r="G1293" s="18">
        <v>5.3882000000000003</v>
      </c>
      <c r="H1293" s="18">
        <v>5.7159500000000003</v>
      </c>
      <c r="I1293" s="8">
        <v>7.1290944123313826E-2</v>
      </c>
      <c r="J1293" s="8">
        <v>-4.3029259896729788E-2</v>
      </c>
      <c r="K1293" s="8">
        <v>0.17299578059071721</v>
      </c>
      <c r="L1293" s="8">
        <v>-0.10610932475884249</v>
      </c>
      <c r="M1293" s="18">
        <v>9.514814005845873E-2</v>
      </c>
    </row>
    <row r="1294" spans="1:13" x14ac:dyDescent="0.45">
      <c r="A1294" t="s">
        <v>1281</v>
      </c>
      <c r="B1294" s="18">
        <v>20.69</v>
      </c>
      <c r="C1294" s="18">
        <v>24.1</v>
      </c>
      <c r="D1294" s="18">
        <v>23.09</v>
      </c>
      <c r="E1294" s="18">
        <v>17.64</v>
      </c>
      <c r="F1294" s="18">
        <v>21.25</v>
      </c>
      <c r="G1294" s="18">
        <v>21.6874</v>
      </c>
      <c r="H1294" s="18">
        <v>22.193000000000001</v>
      </c>
      <c r="I1294" s="8">
        <v>-0.14149377593361001</v>
      </c>
      <c r="J1294" s="8">
        <v>-0.1039411000433087</v>
      </c>
      <c r="K1294" s="8">
        <v>0.17290249433106569</v>
      </c>
      <c r="L1294" s="8">
        <v>-2.6352941176470579E-2</v>
      </c>
      <c r="M1294" s="18">
        <v>-9.888532282232354E-2</v>
      </c>
    </row>
    <row r="1295" spans="1:13" x14ac:dyDescent="0.45">
      <c r="A1295" t="s">
        <v>2286</v>
      </c>
      <c r="B1295" s="18">
        <v>12.02</v>
      </c>
      <c r="C1295" s="18">
        <v>12.06</v>
      </c>
      <c r="D1295" s="18">
        <v>12.145</v>
      </c>
      <c r="E1295" s="18">
        <v>10.25</v>
      </c>
      <c r="F1295" s="18">
        <v>13.19</v>
      </c>
      <c r="G1295" s="18">
        <v>11.974936</v>
      </c>
      <c r="H1295" s="18">
        <v>11.828946</v>
      </c>
      <c r="I1295" s="8">
        <v>-3.3167495854063982E-3</v>
      </c>
      <c r="J1295" s="8">
        <v>-1.029230135858383E-2</v>
      </c>
      <c r="K1295" s="8">
        <v>0.1726829268292682</v>
      </c>
      <c r="L1295" s="8">
        <v>-8.8703563305534527E-2</v>
      </c>
      <c r="M1295" s="18">
        <v>7.0370312579743466E-2</v>
      </c>
    </row>
    <row r="1296" spans="1:13" x14ac:dyDescent="0.45">
      <c r="A1296" t="s">
        <v>465</v>
      </c>
      <c r="B1296" s="18">
        <v>140.71</v>
      </c>
      <c r="C1296" s="18">
        <v>139.97</v>
      </c>
      <c r="D1296" s="18">
        <v>124.16</v>
      </c>
      <c r="E1296" s="18">
        <v>120.03</v>
      </c>
      <c r="F1296" s="18">
        <v>114.69</v>
      </c>
      <c r="G1296" s="18">
        <v>137.29900000000001</v>
      </c>
      <c r="H1296" s="18">
        <v>127.42345</v>
      </c>
      <c r="I1296" s="8">
        <v>5.286847181539045E-3</v>
      </c>
      <c r="J1296" s="8">
        <v>0.1332957474226806</v>
      </c>
      <c r="K1296" s="8">
        <v>0.17229026076814141</v>
      </c>
      <c r="L1296" s="8">
        <v>0.22687243874792931</v>
      </c>
      <c r="M1296" s="18">
        <v>0.53774529412029026</v>
      </c>
    </row>
    <row r="1297" spans="1:13" x14ac:dyDescent="0.45">
      <c r="A1297" t="s">
        <v>747</v>
      </c>
      <c r="B1297" s="18">
        <v>5.92</v>
      </c>
      <c r="C1297" s="18">
        <v>5.79</v>
      </c>
      <c r="D1297" s="18">
        <v>5.78</v>
      </c>
      <c r="E1297" s="18">
        <v>5.05</v>
      </c>
      <c r="F1297" s="18">
        <v>5.72</v>
      </c>
      <c r="G1297" s="18">
        <v>5.7625999999999999</v>
      </c>
      <c r="H1297" s="18">
        <v>5.6416500000000012</v>
      </c>
      <c r="I1297" s="8">
        <v>2.245250431778922E-2</v>
      </c>
      <c r="J1297" s="8">
        <v>2.4221453287197159E-2</v>
      </c>
      <c r="K1297" s="8">
        <v>0.17227722772277221</v>
      </c>
      <c r="L1297" s="8">
        <v>3.4965034965035002E-2</v>
      </c>
      <c r="M1297" s="18">
        <v>0.25391622029279359</v>
      </c>
    </row>
    <row r="1298" spans="1:13" x14ac:dyDescent="0.45">
      <c r="A1298" t="s">
        <v>2230</v>
      </c>
      <c r="B1298" s="18">
        <v>17.420000000000002</v>
      </c>
      <c r="C1298" s="18">
        <v>18.25</v>
      </c>
      <c r="D1298" s="18">
        <v>17.899999999999999</v>
      </c>
      <c r="E1298" s="18">
        <v>14.86</v>
      </c>
      <c r="F1298" s="18">
        <v>16.66</v>
      </c>
      <c r="G1298" s="18">
        <v>17.904599999999999</v>
      </c>
      <c r="H1298" s="18">
        <v>17.485900000000001</v>
      </c>
      <c r="I1298" s="8">
        <v>-4.5479452054794423E-2</v>
      </c>
      <c r="J1298" s="8">
        <v>-2.6815642458100419E-2</v>
      </c>
      <c r="K1298" s="8">
        <v>0.17227456258411869</v>
      </c>
      <c r="L1298" s="8">
        <v>4.5618247298919723E-2</v>
      </c>
      <c r="M1298" s="18">
        <v>0.14559771537014349</v>
      </c>
    </row>
    <row r="1299" spans="1:13" x14ac:dyDescent="0.45">
      <c r="A1299" t="s">
        <v>2130</v>
      </c>
      <c r="B1299" s="18">
        <v>70.599999999999994</v>
      </c>
      <c r="C1299" s="18">
        <v>76.040000000000006</v>
      </c>
      <c r="D1299" s="18">
        <v>66.06</v>
      </c>
      <c r="E1299" s="18">
        <v>60.25</v>
      </c>
      <c r="F1299" s="18">
        <v>62.45</v>
      </c>
      <c r="G1299" s="18">
        <v>73.899000000000001</v>
      </c>
      <c r="H1299" s="18">
        <v>67.991</v>
      </c>
      <c r="I1299" s="8">
        <v>-7.1541294055760263E-2</v>
      </c>
      <c r="J1299" s="8">
        <v>6.8725401150469212E-2</v>
      </c>
      <c r="K1299" s="8">
        <v>0.17178423236514509</v>
      </c>
      <c r="L1299" s="8">
        <v>0.130504403522818</v>
      </c>
      <c r="M1299" s="18">
        <v>0.29947274298267201</v>
      </c>
    </row>
    <row r="1300" spans="1:13" x14ac:dyDescent="0.45">
      <c r="A1300" t="s">
        <v>2099</v>
      </c>
      <c r="B1300" s="18">
        <v>5.8</v>
      </c>
      <c r="C1300" s="18">
        <v>6.2</v>
      </c>
      <c r="D1300" s="18">
        <v>6.02</v>
      </c>
      <c r="E1300" s="18">
        <v>4.95</v>
      </c>
      <c r="F1300" s="18">
        <v>7.56</v>
      </c>
      <c r="G1300" s="18">
        <v>5.931</v>
      </c>
      <c r="H1300" s="18">
        <v>6.0357500000000002</v>
      </c>
      <c r="I1300" s="8">
        <v>-6.4516129032258118E-2</v>
      </c>
      <c r="J1300" s="8">
        <v>-3.6544850498338777E-2</v>
      </c>
      <c r="K1300" s="8">
        <v>0.17171717171717171</v>
      </c>
      <c r="L1300" s="8">
        <v>-0.23280423280423279</v>
      </c>
      <c r="M1300" s="18">
        <v>-0.162148040617658</v>
      </c>
    </row>
    <row r="1301" spans="1:13" x14ac:dyDescent="0.45">
      <c r="A1301" t="s">
        <v>1534</v>
      </c>
      <c r="B1301" s="18">
        <v>70.64</v>
      </c>
      <c r="C1301" s="18">
        <v>72.930000000000007</v>
      </c>
      <c r="D1301" s="18">
        <v>74.8</v>
      </c>
      <c r="E1301" s="18">
        <v>60.29</v>
      </c>
      <c r="F1301" s="18">
        <v>72.900000000000006</v>
      </c>
      <c r="G1301" s="18">
        <v>72.281399999999991</v>
      </c>
      <c r="H1301" s="18">
        <v>69.037649999999999</v>
      </c>
      <c r="I1301" s="8">
        <v>-3.1399972576443218E-2</v>
      </c>
      <c r="J1301" s="8">
        <v>-5.5614973262032019E-2</v>
      </c>
      <c r="K1301" s="8">
        <v>0.1716702604080278</v>
      </c>
      <c r="L1301" s="8">
        <v>-3.100137174211259E-2</v>
      </c>
      <c r="M1301" s="18">
        <v>5.365394282743996E-2</v>
      </c>
    </row>
    <row r="1302" spans="1:13" x14ac:dyDescent="0.45">
      <c r="A1302" t="s">
        <v>351</v>
      </c>
      <c r="B1302" s="18">
        <v>68.81</v>
      </c>
      <c r="C1302" s="18">
        <v>73.45</v>
      </c>
      <c r="D1302" s="18">
        <v>67.5</v>
      </c>
      <c r="E1302" s="18">
        <v>58.73</v>
      </c>
      <c r="F1302" s="18">
        <v>82.37</v>
      </c>
      <c r="G1302" s="18">
        <v>71.8874</v>
      </c>
      <c r="H1302" s="18">
        <v>69.522599999999997</v>
      </c>
      <c r="I1302" s="8">
        <v>-6.3172226004084453E-2</v>
      </c>
      <c r="J1302" s="8">
        <v>1.940740740740754E-2</v>
      </c>
      <c r="K1302" s="8">
        <v>0.17163289630512521</v>
      </c>
      <c r="L1302" s="8">
        <v>-0.16462304236979489</v>
      </c>
      <c r="M1302" s="18">
        <v>-3.6754964661346527E-2</v>
      </c>
    </row>
    <row r="1303" spans="1:13" x14ac:dyDescent="0.45">
      <c r="A1303" t="s">
        <v>878</v>
      </c>
      <c r="B1303" s="18">
        <v>91.92</v>
      </c>
      <c r="C1303" s="18">
        <v>94.56</v>
      </c>
      <c r="D1303" s="18">
        <v>107.45</v>
      </c>
      <c r="E1303" s="18">
        <v>78.47</v>
      </c>
      <c r="F1303" s="18">
        <v>93.78</v>
      </c>
      <c r="G1303" s="18">
        <v>97.467399999999998</v>
      </c>
      <c r="H1303" s="18">
        <v>93.961850000000013</v>
      </c>
      <c r="I1303" s="8">
        <v>-2.791878172588835E-2</v>
      </c>
      <c r="J1303" s="8">
        <v>-0.14453234062354581</v>
      </c>
      <c r="K1303" s="8">
        <v>0.17140308398113929</v>
      </c>
      <c r="L1303" s="8">
        <v>-1.983365323096609E-2</v>
      </c>
      <c r="M1303" s="18">
        <v>-2.0881691599260899E-2</v>
      </c>
    </row>
    <row r="1304" spans="1:13" x14ac:dyDescent="0.45">
      <c r="A1304" t="s">
        <v>1303</v>
      </c>
      <c r="B1304" s="18">
        <v>76.83</v>
      </c>
      <c r="C1304" s="18">
        <v>78.819999999999993</v>
      </c>
      <c r="D1304" s="18">
        <v>79.62</v>
      </c>
      <c r="E1304" s="18">
        <v>65.59</v>
      </c>
      <c r="F1304" s="18">
        <v>69.180000000000007</v>
      </c>
      <c r="G1304" s="18">
        <v>76.394799999999989</v>
      </c>
      <c r="H1304" s="18">
        <v>73.588650000000001</v>
      </c>
      <c r="I1304" s="8">
        <v>-2.5247399137274699E-2</v>
      </c>
      <c r="J1304" s="8">
        <v>-3.5041446872645099E-2</v>
      </c>
      <c r="K1304" s="8">
        <v>0.17136758652233561</v>
      </c>
      <c r="L1304" s="8">
        <v>0.1105810928013875</v>
      </c>
      <c r="M1304" s="18">
        <v>0.22165983331380329</v>
      </c>
    </row>
    <row r="1305" spans="1:13" x14ac:dyDescent="0.45">
      <c r="A1305" t="s">
        <v>371</v>
      </c>
      <c r="B1305" s="18">
        <v>462.26</v>
      </c>
      <c r="C1305" s="18">
        <v>477.93</v>
      </c>
      <c r="D1305" s="18">
        <v>417.72</v>
      </c>
      <c r="E1305" s="18">
        <v>394.72</v>
      </c>
      <c r="F1305" s="18">
        <v>450.3</v>
      </c>
      <c r="G1305" s="18">
        <v>462.94880000000012</v>
      </c>
      <c r="H1305" s="18">
        <v>440.11554999999998</v>
      </c>
      <c r="I1305" s="8">
        <v>-3.2787228255183883E-2</v>
      </c>
      <c r="J1305" s="8">
        <v>0.1066264483385999</v>
      </c>
      <c r="K1305" s="8">
        <v>0.1711086339683825</v>
      </c>
      <c r="L1305" s="8">
        <v>2.6560071063735261E-2</v>
      </c>
      <c r="M1305" s="18">
        <v>0.27150792511553379</v>
      </c>
    </row>
    <row r="1306" spans="1:13" x14ac:dyDescent="0.45">
      <c r="A1306" t="s">
        <v>1046</v>
      </c>
      <c r="B1306" s="18">
        <v>21.84</v>
      </c>
      <c r="C1306" s="18">
        <v>21.28</v>
      </c>
      <c r="D1306" s="18">
        <v>20.88</v>
      </c>
      <c r="E1306" s="18">
        <v>18.66</v>
      </c>
      <c r="F1306" s="18">
        <v>21.35</v>
      </c>
      <c r="G1306" s="18">
        <v>21.247</v>
      </c>
      <c r="H1306" s="18">
        <v>20.479505</v>
      </c>
      <c r="I1306" s="8">
        <v>2.631578947368407E-2</v>
      </c>
      <c r="J1306" s="8">
        <v>4.5977011494252817E-2</v>
      </c>
      <c r="K1306" s="8">
        <v>0.17041800643086821</v>
      </c>
      <c r="L1306" s="8">
        <v>2.2950819672131081E-2</v>
      </c>
      <c r="M1306" s="18">
        <v>0.26566162707093621</v>
      </c>
    </row>
    <row r="1307" spans="1:13" x14ac:dyDescent="0.45">
      <c r="A1307" t="s">
        <v>525</v>
      </c>
      <c r="B1307" s="18">
        <v>38.619999999999997</v>
      </c>
      <c r="C1307" s="18">
        <v>38.020000000000003</v>
      </c>
      <c r="D1307" s="18">
        <v>41.67</v>
      </c>
      <c r="E1307" s="18">
        <v>33</v>
      </c>
      <c r="F1307" s="18">
        <v>34.71</v>
      </c>
      <c r="G1307" s="18">
        <v>39.218600000000002</v>
      </c>
      <c r="H1307" s="18">
        <v>38.870199999999997</v>
      </c>
      <c r="I1307" s="8">
        <v>1.578116780641747E-2</v>
      </c>
      <c r="J1307" s="8">
        <v>-7.3194144468442635E-2</v>
      </c>
      <c r="K1307" s="8">
        <v>0.17030303030303021</v>
      </c>
      <c r="L1307" s="8">
        <v>0.11264765197349449</v>
      </c>
      <c r="M1307" s="18">
        <v>0.22553770561449951</v>
      </c>
    </row>
    <row r="1308" spans="1:13" x14ac:dyDescent="0.45">
      <c r="A1308" t="s">
        <v>1420</v>
      </c>
      <c r="B1308" s="18">
        <v>17.68</v>
      </c>
      <c r="C1308" s="18">
        <v>18.68</v>
      </c>
      <c r="D1308" s="18">
        <v>16.190000000000001</v>
      </c>
      <c r="E1308" s="18">
        <v>15.11</v>
      </c>
      <c r="F1308" s="18">
        <v>17.47</v>
      </c>
      <c r="G1308" s="18">
        <v>17.371400000000001</v>
      </c>
      <c r="H1308" s="18">
        <v>16.323899999999998</v>
      </c>
      <c r="I1308" s="8">
        <v>-5.3533190578158418E-2</v>
      </c>
      <c r="J1308" s="8">
        <v>9.2032118591723222E-2</v>
      </c>
      <c r="K1308" s="8">
        <v>0.17008603573792189</v>
      </c>
      <c r="L1308" s="8">
        <v>1.2020606754436169E-2</v>
      </c>
      <c r="M1308" s="18">
        <v>0.22060557050592289</v>
      </c>
    </row>
    <row r="1309" spans="1:13" x14ac:dyDescent="0.45">
      <c r="A1309" t="s">
        <v>2060</v>
      </c>
      <c r="B1309" s="18">
        <v>197.16</v>
      </c>
      <c r="C1309" s="18">
        <v>190.81</v>
      </c>
      <c r="D1309" s="18">
        <v>196.65</v>
      </c>
      <c r="E1309" s="18">
        <v>168.53</v>
      </c>
      <c r="F1309" s="18">
        <v>219.94</v>
      </c>
      <c r="G1309" s="18">
        <v>190.3536</v>
      </c>
      <c r="H1309" s="18">
        <v>198.25649999999999</v>
      </c>
      <c r="I1309" s="8">
        <v>3.3279178240134037E-2</v>
      </c>
      <c r="J1309" s="8">
        <v>2.59344012204421E-3</v>
      </c>
      <c r="K1309" s="8">
        <v>0.16988073340058141</v>
      </c>
      <c r="L1309" s="8">
        <v>-0.1035737019187051</v>
      </c>
      <c r="M1309" s="18">
        <v>0.1021796498440546</v>
      </c>
    </row>
    <row r="1310" spans="1:13" x14ac:dyDescent="0.45">
      <c r="A1310" t="s">
        <v>1461</v>
      </c>
      <c r="B1310" s="18">
        <v>26.68</v>
      </c>
      <c r="C1310" s="18">
        <v>26.83</v>
      </c>
      <c r="D1310" s="18">
        <v>28.03</v>
      </c>
      <c r="E1310" s="18">
        <v>22.81</v>
      </c>
      <c r="F1310" s="18">
        <v>28.9</v>
      </c>
      <c r="G1310" s="18">
        <v>26.92736</v>
      </c>
      <c r="H1310" s="18">
        <v>25.874898000000002</v>
      </c>
      <c r="I1310" s="8">
        <v>-5.5907566157286093E-3</v>
      </c>
      <c r="J1310" s="8">
        <v>-4.8162682839814508E-2</v>
      </c>
      <c r="K1310" s="8">
        <v>0.16966242875931631</v>
      </c>
      <c r="L1310" s="8">
        <v>-7.6816608996539748E-2</v>
      </c>
      <c r="M1310" s="18">
        <v>3.9092380307233388E-2</v>
      </c>
    </row>
    <row r="1311" spans="1:13" x14ac:dyDescent="0.45">
      <c r="A1311" t="s">
        <v>1550</v>
      </c>
      <c r="B1311" s="18">
        <v>45.87</v>
      </c>
      <c r="C1311" s="18">
        <v>42.9</v>
      </c>
      <c r="D1311" s="18">
        <v>48.22</v>
      </c>
      <c r="E1311" s="18">
        <v>39.229999999999997</v>
      </c>
      <c r="F1311" s="18">
        <v>49.85</v>
      </c>
      <c r="G1311" s="18">
        <v>42.134399999999999</v>
      </c>
      <c r="H1311" s="18">
        <v>45.886450000000004</v>
      </c>
      <c r="I1311" s="8">
        <v>6.9230769230769207E-2</v>
      </c>
      <c r="J1311" s="8">
        <v>-4.8734964744919118E-2</v>
      </c>
      <c r="K1311" s="8">
        <v>0.1692582207494264</v>
      </c>
      <c r="L1311" s="8">
        <v>-7.9839518555667066E-2</v>
      </c>
      <c r="M1311" s="18">
        <v>0.10991450667960941</v>
      </c>
    </row>
    <row r="1312" spans="1:13" x14ac:dyDescent="0.45">
      <c r="A1312" t="s">
        <v>2082</v>
      </c>
      <c r="B1312" s="18">
        <v>13.21</v>
      </c>
      <c r="C1312" s="18">
        <v>13.46</v>
      </c>
      <c r="D1312" s="18">
        <v>12.31</v>
      </c>
      <c r="E1312" s="18">
        <v>11.3</v>
      </c>
      <c r="F1312" s="18">
        <v>12.09</v>
      </c>
      <c r="G1312" s="18">
        <v>13.5908</v>
      </c>
      <c r="H1312" s="18">
        <v>13.78345</v>
      </c>
      <c r="I1312" s="8">
        <v>-1.8573551263001531E-2</v>
      </c>
      <c r="J1312" s="8">
        <v>7.3111291632818931E-2</v>
      </c>
      <c r="K1312" s="8">
        <v>0.16902654867256639</v>
      </c>
      <c r="L1312" s="8">
        <v>9.2638544251447463E-2</v>
      </c>
      <c r="M1312" s="18">
        <v>0.31620283329383131</v>
      </c>
    </row>
    <row r="1313" spans="1:13" x14ac:dyDescent="0.45">
      <c r="A1313" t="s">
        <v>292</v>
      </c>
      <c r="B1313" s="18">
        <v>68.34</v>
      </c>
      <c r="C1313" s="18">
        <v>66.72</v>
      </c>
      <c r="D1313" s="18">
        <v>66.849999999999994</v>
      </c>
      <c r="E1313" s="18">
        <v>58.46</v>
      </c>
      <c r="F1313" s="18">
        <v>80.239999999999995</v>
      </c>
      <c r="G1313" s="18">
        <v>67.058900000000008</v>
      </c>
      <c r="H1313" s="18">
        <v>64.620525000000001</v>
      </c>
      <c r="I1313" s="8">
        <v>2.4280575539568309E-2</v>
      </c>
      <c r="J1313" s="8">
        <v>2.2288706058339661E-2</v>
      </c>
      <c r="K1313" s="8">
        <v>0.1690044474854602</v>
      </c>
      <c r="L1313" s="8">
        <v>-0.14830508474576259</v>
      </c>
      <c r="M1313" s="18">
        <v>6.7268644337605488E-2</v>
      </c>
    </row>
    <row r="1314" spans="1:13" x14ac:dyDescent="0.45">
      <c r="A1314" t="s">
        <v>2403</v>
      </c>
      <c r="B1314" s="18">
        <v>5.4</v>
      </c>
      <c r="C1314" s="18">
        <v>6.4</v>
      </c>
      <c r="D1314" s="18">
        <v>4.1500000000000004</v>
      </c>
      <c r="E1314" s="18">
        <v>4.62</v>
      </c>
      <c r="F1314" s="18">
        <v>7.56</v>
      </c>
      <c r="G1314" s="18">
        <v>5.6976000000000004</v>
      </c>
      <c r="H1314" s="18">
        <v>5.2672500000000007</v>
      </c>
      <c r="I1314" s="8">
        <v>-0.15625</v>
      </c>
      <c r="J1314" s="8">
        <v>0.3012048192771084</v>
      </c>
      <c r="K1314" s="8">
        <v>0.1688311688311688</v>
      </c>
      <c r="L1314" s="8">
        <v>-0.28571428571428559</v>
      </c>
      <c r="M1314" s="18">
        <v>2.807170239399159E-2</v>
      </c>
    </row>
    <row r="1315" spans="1:13" x14ac:dyDescent="0.45">
      <c r="A1315" t="s">
        <v>510</v>
      </c>
      <c r="B1315" s="18">
        <v>63.5</v>
      </c>
      <c r="C1315" s="18">
        <v>57.57</v>
      </c>
      <c r="D1315" s="18">
        <v>57.78</v>
      </c>
      <c r="E1315" s="18">
        <v>54.33</v>
      </c>
      <c r="F1315" s="18">
        <v>49.63</v>
      </c>
      <c r="G1315" s="18">
        <v>59.470599999999997</v>
      </c>
      <c r="H1315" s="18">
        <v>58.324649999999998</v>
      </c>
      <c r="I1315" s="8">
        <v>0.10300503734583979</v>
      </c>
      <c r="J1315" s="8">
        <v>9.8996192454136267E-2</v>
      </c>
      <c r="K1315" s="8">
        <v>0.16878336094238919</v>
      </c>
      <c r="L1315" s="8">
        <v>0.27946806367116661</v>
      </c>
      <c r="M1315" s="18">
        <v>0.65025265441353186</v>
      </c>
    </row>
    <row r="1316" spans="1:13" x14ac:dyDescent="0.45">
      <c r="A1316" t="s">
        <v>1572</v>
      </c>
      <c r="B1316" s="18">
        <v>12.26</v>
      </c>
      <c r="C1316" s="18">
        <v>12.22</v>
      </c>
      <c r="D1316" s="18">
        <v>12.43</v>
      </c>
      <c r="E1316" s="18">
        <v>10.49</v>
      </c>
      <c r="F1316" s="18">
        <v>11.73</v>
      </c>
      <c r="G1316" s="18">
        <v>12.3004</v>
      </c>
      <c r="H1316" s="18">
        <v>12.411505</v>
      </c>
      <c r="I1316" s="8">
        <v>3.2733224222585289E-3</v>
      </c>
      <c r="J1316" s="8">
        <v>-1.3676588897827861E-2</v>
      </c>
      <c r="K1316" s="8">
        <v>0.16873212583412769</v>
      </c>
      <c r="L1316" s="8">
        <v>4.5183290707587309E-2</v>
      </c>
      <c r="M1316" s="18">
        <v>0.20351215006614559</v>
      </c>
    </row>
    <row r="1317" spans="1:13" x14ac:dyDescent="0.45">
      <c r="A1317" t="s">
        <v>2398</v>
      </c>
      <c r="B1317" s="18">
        <v>30.47</v>
      </c>
      <c r="C1317" s="18">
        <v>27.83</v>
      </c>
      <c r="D1317" s="18">
        <v>31.45</v>
      </c>
      <c r="E1317" s="18">
        <v>26.08</v>
      </c>
      <c r="F1317" s="18">
        <v>15.41</v>
      </c>
      <c r="G1317" s="18">
        <v>28.64</v>
      </c>
      <c r="H1317" s="18">
        <v>29.191299999999998</v>
      </c>
      <c r="I1317" s="8">
        <v>9.4861660079051502E-2</v>
      </c>
      <c r="J1317" s="8">
        <v>-3.116057233704295E-2</v>
      </c>
      <c r="K1317" s="8">
        <v>0.16832822085889559</v>
      </c>
      <c r="L1317" s="8">
        <v>0.97728747566515239</v>
      </c>
      <c r="M1317" s="18">
        <v>1.209316784266057</v>
      </c>
    </row>
    <row r="1318" spans="1:13" x14ac:dyDescent="0.45">
      <c r="A1318" t="s">
        <v>1431</v>
      </c>
      <c r="B1318" s="18">
        <v>32.950000000000003</v>
      </c>
      <c r="C1318" s="18">
        <v>34.729999999999997</v>
      </c>
      <c r="D1318" s="18">
        <v>31.19</v>
      </c>
      <c r="E1318" s="18">
        <v>28.21</v>
      </c>
      <c r="F1318" s="18">
        <v>31.28</v>
      </c>
      <c r="G1318" s="18">
        <v>33.2468</v>
      </c>
      <c r="H1318" s="18">
        <v>30.882750000000001</v>
      </c>
      <c r="I1318" s="8">
        <v>-5.1252519435646238E-2</v>
      </c>
      <c r="J1318" s="8">
        <v>5.6428342417441428E-2</v>
      </c>
      <c r="K1318" s="8">
        <v>0.1680255228642327</v>
      </c>
      <c r="L1318" s="8">
        <v>5.3388746803069147E-2</v>
      </c>
      <c r="M1318" s="18">
        <v>0.22659009264909699</v>
      </c>
    </row>
    <row r="1319" spans="1:13" x14ac:dyDescent="0.45">
      <c r="A1319" t="s">
        <v>2008</v>
      </c>
      <c r="B1319" s="18">
        <v>14.95</v>
      </c>
      <c r="C1319" s="18">
        <v>15.95</v>
      </c>
      <c r="D1319" s="18">
        <v>14.76</v>
      </c>
      <c r="E1319" s="18">
        <v>12.8</v>
      </c>
      <c r="F1319" s="18">
        <v>14.36</v>
      </c>
      <c r="G1319" s="18">
        <v>15.3194</v>
      </c>
      <c r="H1319" s="18">
        <v>14.103949999999999</v>
      </c>
      <c r="I1319" s="8">
        <v>-6.2695924764890276E-2</v>
      </c>
      <c r="J1319" s="8">
        <v>1.287262872628725E-2</v>
      </c>
      <c r="K1319" s="8">
        <v>0.16796874999999981</v>
      </c>
      <c r="L1319" s="8">
        <v>4.1086350974930408E-2</v>
      </c>
      <c r="M1319" s="18">
        <v>0.15923180493632719</v>
      </c>
    </row>
    <row r="1320" spans="1:13" x14ac:dyDescent="0.45">
      <c r="A1320" t="s">
        <v>2322</v>
      </c>
      <c r="B1320" s="18">
        <v>62.96</v>
      </c>
      <c r="C1320" s="18">
        <v>70</v>
      </c>
      <c r="D1320" s="18">
        <v>65.650000000000006</v>
      </c>
      <c r="E1320" s="18">
        <v>53.93</v>
      </c>
      <c r="F1320" s="18">
        <v>67.760000000000005</v>
      </c>
      <c r="G1320" s="18">
        <v>66.843599999999995</v>
      </c>
      <c r="H1320" s="18">
        <v>62.148049999999998</v>
      </c>
      <c r="I1320" s="8">
        <v>-0.10057142857142851</v>
      </c>
      <c r="J1320" s="8">
        <v>-4.0974866717440987E-2</v>
      </c>
      <c r="K1320" s="8">
        <v>0.16743927313183751</v>
      </c>
      <c r="L1320" s="8">
        <v>-7.0838252656434508E-2</v>
      </c>
      <c r="M1320" s="18">
        <v>-4.4945274813466551E-2</v>
      </c>
    </row>
    <row r="1321" spans="1:13" x14ac:dyDescent="0.45">
      <c r="A1321" t="s">
        <v>256</v>
      </c>
      <c r="B1321" s="18">
        <v>97.55</v>
      </c>
      <c r="C1321" s="18">
        <v>100.33</v>
      </c>
      <c r="D1321" s="18">
        <v>94.61</v>
      </c>
      <c r="E1321" s="18">
        <v>83.56</v>
      </c>
      <c r="F1321" s="18">
        <v>111.35</v>
      </c>
      <c r="G1321" s="18">
        <v>97.70620000000001</v>
      </c>
      <c r="H1321" s="18">
        <v>98.823849999999979</v>
      </c>
      <c r="I1321" s="8">
        <v>-2.7708561746237481E-2</v>
      </c>
      <c r="J1321" s="8">
        <v>3.1074939224183359E-2</v>
      </c>
      <c r="K1321" s="8">
        <v>0.1674246050741981</v>
      </c>
      <c r="L1321" s="8">
        <v>-0.12393354288280201</v>
      </c>
      <c r="M1321" s="18">
        <v>4.6857439669341971E-2</v>
      </c>
    </row>
    <row r="1322" spans="1:13" x14ac:dyDescent="0.45">
      <c r="A1322" t="s">
        <v>1415</v>
      </c>
      <c r="B1322" s="18">
        <v>17.59</v>
      </c>
      <c r="C1322" s="18">
        <v>16.690000000000001</v>
      </c>
      <c r="D1322" s="18">
        <v>16.21</v>
      </c>
      <c r="E1322" s="18">
        <v>15.07</v>
      </c>
      <c r="F1322" s="18">
        <v>18.78</v>
      </c>
      <c r="G1322" s="18">
        <v>16.557072000000002</v>
      </c>
      <c r="H1322" s="18">
        <v>16.420888999999999</v>
      </c>
      <c r="I1322" s="8">
        <v>5.3924505692031E-2</v>
      </c>
      <c r="J1322" s="8">
        <v>8.5132634176434241E-2</v>
      </c>
      <c r="K1322" s="8">
        <v>0.1672196416721965</v>
      </c>
      <c r="L1322" s="8">
        <v>-6.3365282215122498E-2</v>
      </c>
      <c r="M1322" s="18">
        <v>0.24291149932553921</v>
      </c>
    </row>
    <row r="1323" spans="1:13" x14ac:dyDescent="0.45">
      <c r="A1323" t="s">
        <v>1334</v>
      </c>
      <c r="B1323" s="18">
        <v>7.96</v>
      </c>
      <c r="C1323" s="18">
        <v>8.19</v>
      </c>
      <c r="D1323" s="18">
        <v>7.6</v>
      </c>
      <c r="E1323" s="18">
        <v>6.82</v>
      </c>
      <c r="F1323" s="18">
        <v>8.3699999999999992</v>
      </c>
      <c r="G1323" s="18">
        <v>7.8049999999999997</v>
      </c>
      <c r="H1323" s="18">
        <v>7.5773000000000001</v>
      </c>
      <c r="I1323" s="8">
        <v>-2.808302808302798E-2</v>
      </c>
      <c r="J1323" s="8">
        <v>4.7368421052631733E-2</v>
      </c>
      <c r="K1323" s="8">
        <v>0.1671554252199412</v>
      </c>
      <c r="L1323" s="8">
        <v>-4.8984468339306919E-2</v>
      </c>
      <c r="M1323" s="18">
        <v>0.137456349850238</v>
      </c>
    </row>
    <row r="1324" spans="1:13" x14ac:dyDescent="0.45">
      <c r="A1324" t="s">
        <v>7</v>
      </c>
      <c r="B1324" s="18">
        <v>118.19</v>
      </c>
      <c r="C1324" s="18">
        <v>108.36</v>
      </c>
      <c r="D1324" s="18">
        <v>106.04</v>
      </c>
      <c r="E1324" s="18">
        <v>101.28</v>
      </c>
      <c r="F1324" s="18">
        <v>100.28</v>
      </c>
      <c r="G1324" s="18">
        <v>111.34350000000001</v>
      </c>
      <c r="H1324" s="18">
        <v>104.80442499999999</v>
      </c>
      <c r="I1324" s="8">
        <v>9.0716131413805856E-2</v>
      </c>
      <c r="J1324" s="8">
        <v>0.11457940399849111</v>
      </c>
      <c r="K1324" s="8">
        <v>0.1669628751974723</v>
      </c>
      <c r="L1324" s="8">
        <v>0.17859992022337459</v>
      </c>
      <c r="M1324" s="18">
        <v>0.55085833083314384</v>
      </c>
    </row>
    <row r="1325" spans="1:13" x14ac:dyDescent="0.45">
      <c r="A1325" t="s">
        <v>816</v>
      </c>
      <c r="B1325" s="18">
        <v>26.91</v>
      </c>
      <c r="C1325" s="18">
        <v>27.85</v>
      </c>
      <c r="D1325" s="18">
        <v>25.6</v>
      </c>
      <c r="E1325" s="18">
        <v>23.06</v>
      </c>
      <c r="F1325" s="18">
        <v>27.29</v>
      </c>
      <c r="G1325" s="18">
        <v>27.193200000000001</v>
      </c>
      <c r="H1325" s="18">
        <v>26.331250000000001</v>
      </c>
      <c r="I1325" s="8">
        <v>-3.3752244165170642E-2</v>
      </c>
      <c r="J1325" s="8">
        <v>5.1171874999999867E-2</v>
      </c>
      <c r="K1325" s="8">
        <v>0.16695576756287939</v>
      </c>
      <c r="L1325" s="8">
        <v>-1.392451447416632E-2</v>
      </c>
      <c r="M1325" s="18">
        <v>0.17045088392354241</v>
      </c>
    </row>
    <row r="1326" spans="1:13" x14ac:dyDescent="0.45">
      <c r="A1326" t="s">
        <v>850</v>
      </c>
      <c r="B1326" s="18">
        <v>27.56</v>
      </c>
      <c r="C1326" s="18">
        <v>28.87</v>
      </c>
      <c r="D1326" s="18">
        <v>28.26</v>
      </c>
      <c r="E1326" s="18">
        <v>23.62</v>
      </c>
      <c r="F1326" s="18">
        <v>25.66</v>
      </c>
      <c r="G1326" s="18">
        <v>27.888400000000001</v>
      </c>
      <c r="H1326" s="18">
        <v>27.308599999999998</v>
      </c>
      <c r="I1326" s="8">
        <v>-4.5375822653273327E-2</v>
      </c>
      <c r="J1326" s="8">
        <v>-2.4769992922859311E-2</v>
      </c>
      <c r="K1326" s="8">
        <v>0.16680779000846721</v>
      </c>
      <c r="L1326" s="8">
        <v>7.4045206547155074E-2</v>
      </c>
      <c r="M1326" s="18">
        <v>0.1707071809794897</v>
      </c>
    </row>
    <row r="1327" spans="1:13" x14ac:dyDescent="0.45">
      <c r="A1327" t="s">
        <v>2120</v>
      </c>
      <c r="B1327" s="18">
        <v>277.14999999999998</v>
      </c>
      <c r="C1327" s="18">
        <v>271.48</v>
      </c>
      <c r="D1327" s="18">
        <v>306.20999999999998</v>
      </c>
      <c r="E1327" s="18">
        <v>237.53</v>
      </c>
      <c r="F1327" s="18">
        <v>220.88</v>
      </c>
      <c r="G1327" s="18">
        <v>272.57060000000001</v>
      </c>
      <c r="H1327" s="18">
        <v>278.70724999999999</v>
      </c>
      <c r="I1327" s="8">
        <v>2.088551642846603E-2</v>
      </c>
      <c r="J1327" s="8">
        <v>-9.4902191306619699E-2</v>
      </c>
      <c r="K1327" s="8">
        <v>0.16679998316002179</v>
      </c>
      <c r="L1327" s="8">
        <v>0.25475371242303502</v>
      </c>
      <c r="M1327" s="18">
        <v>0.34753702070490311</v>
      </c>
    </row>
    <row r="1328" spans="1:13" x14ac:dyDescent="0.45">
      <c r="A1328" t="s">
        <v>337</v>
      </c>
      <c r="B1328" s="18">
        <v>120.12</v>
      </c>
      <c r="C1328" s="18">
        <v>137.44999999999999</v>
      </c>
      <c r="D1328" s="18">
        <v>116.44</v>
      </c>
      <c r="E1328" s="18">
        <v>102.96</v>
      </c>
      <c r="F1328" s="18">
        <v>176.42789999999999</v>
      </c>
      <c r="G1328" s="18">
        <v>128.74180000000001</v>
      </c>
      <c r="H1328" s="18">
        <v>119.87850400000001</v>
      </c>
      <c r="I1328" s="8">
        <v>-0.12608221171335021</v>
      </c>
      <c r="J1328" s="8">
        <v>3.1604259704568927E-2</v>
      </c>
      <c r="K1328" s="8">
        <v>0.16666666666666671</v>
      </c>
      <c r="L1328" s="8">
        <v>-0.31915530366795719</v>
      </c>
      <c r="M1328" s="18">
        <v>-0.24696658901007171</v>
      </c>
    </row>
    <row r="1329" spans="1:13" x14ac:dyDescent="0.45">
      <c r="A1329" t="s">
        <v>539</v>
      </c>
      <c r="B1329" s="18">
        <v>20.72</v>
      </c>
      <c r="C1329" s="18">
        <v>21.01</v>
      </c>
      <c r="D1329" s="18">
        <v>17.899999999999999</v>
      </c>
      <c r="E1329" s="18">
        <v>17.760000000000002</v>
      </c>
      <c r="F1329" s="18">
        <v>15.67</v>
      </c>
      <c r="G1329" s="18">
        <v>20.5502</v>
      </c>
      <c r="H1329" s="18">
        <v>19.129899999999999</v>
      </c>
      <c r="I1329" s="8">
        <v>-1.380295097572592E-2</v>
      </c>
      <c r="J1329" s="8">
        <v>0.15754189944134089</v>
      </c>
      <c r="K1329" s="8">
        <v>0.16666666666666649</v>
      </c>
      <c r="L1329" s="8">
        <v>0.32227185705169109</v>
      </c>
      <c r="M1329" s="18">
        <v>0.63267747218397263</v>
      </c>
    </row>
    <row r="1330" spans="1:13" x14ac:dyDescent="0.45">
      <c r="A1330" t="s">
        <v>2087</v>
      </c>
      <c r="B1330" s="18">
        <v>113.12</v>
      </c>
      <c r="C1330" s="18">
        <v>125.59</v>
      </c>
      <c r="D1330" s="18">
        <v>114.3</v>
      </c>
      <c r="E1330" s="18">
        <v>96.97</v>
      </c>
      <c r="F1330" s="18">
        <v>128.91</v>
      </c>
      <c r="G1330" s="18">
        <v>121.7246</v>
      </c>
      <c r="H1330" s="18">
        <v>117.3991</v>
      </c>
      <c r="I1330" s="8">
        <v>-9.9291344852297181E-2</v>
      </c>
      <c r="J1330" s="8">
        <v>-1.0323709536307899E-2</v>
      </c>
      <c r="K1330" s="8">
        <v>0.16654635454264219</v>
      </c>
      <c r="L1330" s="8">
        <v>-0.1224885579086183</v>
      </c>
      <c r="M1330" s="18">
        <v>-6.5557257754581211E-2</v>
      </c>
    </row>
    <row r="1331" spans="1:13" x14ac:dyDescent="0.45">
      <c r="A1331" t="s">
        <v>239</v>
      </c>
      <c r="B1331" s="18">
        <v>239.68</v>
      </c>
      <c r="C1331" s="18">
        <v>252.01</v>
      </c>
      <c r="D1331" s="18">
        <v>265</v>
      </c>
      <c r="E1331" s="18">
        <v>205.5</v>
      </c>
      <c r="F1331" s="18">
        <v>283.60000000000002</v>
      </c>
      <c r="G1331" s="18">
        <v>247.82859999999999</v>
      </c>
      <c r="H1331" s="18">
        <v>252.15774999999999</v>
      </c>
      <c r="I1331" s="8">
        <v>-4.8926629895639007E-2</v>
      </c>
      <c r="J1331" s="8">
        <v>-9.554716981132072E-2</v>
      </c>
      <c r="K1331" s="8">
        <v>0.16632603406326041</v>
      </c>
      <c r="L1331" s="8">
        <v>-0.15486600846262341</v>
      </c>
      <c r="M1331" s="18">
        <v>-0.13301377410632281</v>
      </c>
    </row>
    <row r="1332" spans="1:13" x14ac:dyDescent="0.45">
      <c r="A1332" t="s">
        <v>1585</v>
      </c>
      <c r="B1332" s="18">
        <v>21.74</v>
      </c>
      <c r="C1332" s="18">
        <v>21.6</v>
      </c>
      <c r="D1332" s="18">
        <v>21.29</v>
      </c>
      <c r="E1332" s="18">
        <v>18.64</v>
      </c>
      <c r="F1332" s="18">
        <v>21.74</v>
      </c>
      <c r="G1332" s="18">
        <v>21.556100000000001</v>
      </c>
      <c r="H1332" s="18">
        <v>20.716725</v>
      </c>
      <c r="I1332" s="8">
        <v>6.4814814814813104E-3</v>
      </c>
      <c r="J1332" s="8">
        <v>2.1136683889149799E-2</v>
      </c>
      <c r="K1332" s="8">
        <v>0.16630901287553651</v>
      </c>
      <c r="L1332" s="8">
        <v>0</v>
      </c>
      <c r="M1332" s="18">
        <v>0.19392717824616759</v>
      </c>
    </row>
    <row r="1333" spans="1:13" x14ac:dyDescent="0.45">
      <c r="A1333" t="s">
        <v>2197</v>
      </c>
      <c r="B1333" s="18">
        <v>8.43</v>
      </c>
      <c r="C1333" s="18">
        <v>7.28</v>
      </c>
      <c r="D1333" s="18">
        <v>9.34</v>
      </c>
      <c r="E1333" s="18">
        <v>7.23</v>
      </c>
      <c r="F1333" s="18">
        <v>10.8</v>
      </c>
      <c r="G1333" s="18">
        <v>7.7791999999999986</v>
      </c>
      <c r="H1333" s="18">
        <v>9.0484000000000009</v>
      </c>
      <c r="I1333" s="8">
        <v>0.15796703296703279</v>
      </c>
      <c r="J1333" s="8">
        <v>-9.7430406852248463E-2</v>
      </c>
      <c r="K1333" s="8">
        <v>0.16597510373443969</v>
      </c>
      <c r="L1333" s="8">
        <v>-0.21944444444444461</v>
      </c>
      <c r="M1333" s="18">
        <v>7.0672854047795219E-3</v>
      </c>
    </row>
    <row r="1334" spans="1:13" x14ac:dyDescent="0.45">
      <c r="A1334" t="s">
        <v>2009</v>
      </c>
      <c r="B1334" s="18">
        <v>20.52</v>
      </c>
      <c r="C1334" s="18">
        <v>20.56</v>
      </c>
      <c r="D1334" s="18">
        <v>19.986999999999998</v>
      </c>
      <c r="E1334" s="18">
        <v>17.61</v>
      </c>
      <c r="F1334" s="18">
        <v>21.045999999999999</v>
      </c>
      <c r="G1334" s="18">
        <v>20.354002000000001</v>
      </c>
      <c r="H1334" s="18">
        <v>19.688031500000001</v>
      </c>
      <c r="I1334" s="8">
        <v>-1.9455252918287871E-3</v>
      </c>
      <c r="J1334" s="8">
        <v>2.666733376694852E-2</v>
      </c>
      <c r="K1334" s="8">
        <v>0.16524701873935271</v>
      </c>
      <c r="L1334" s="8">
        <v>-2.4992872754917791E-2</v>
      </c>
      <c r="M1334" s="18">
        <v>0.1649759544595546</v>
      </c>
    </row>
    <row r="1335" spans="1:13" x14ac:dyDescent="0.45">
      <c r="A1335" t="s">
        <v>339</v>
      </c>
      <c r="B1335" s="18">
        <v>845.72</v>
      </c>
      <c r="C1335" s="18">
        <v>750.61</v>
      </c>
      <c r="D1335" s="18">
        <v>790.65</v>
      </c>
      <c r="E1335" s="18">
        <v>726.24</v>
      </c>
      <c r="F1335" s="18">
        <v>887.16</v>
      </c>
      <c r="G1335" s="18">
        <v>739.35940000000005</v>
      </c>
      <c r="H1335" s="18">
        <v>784.95024999999998</v>
      </c>
      <c r="I1335" s="8">
        <v>0.12671027564247739</v>
      </c>
      <c r="J1335" s="8">
        <v>6.9651552520078486E-2</v>
      </c>
      <c r="K1335" s="8">
        <v>0.1645186164353383</v>
      </c>
      <c r="L1335" s="8">
        <v>-4.6710852608323077E-2</v>
      </c>
      <c r="M1335" s="18">
        <v>0.31416959198957112</v>
      </c>
    </row>
    <row r="1336" spans="1:13" x14ac:dyDescent="0.45">
      <c r="A1336" t="s">
        <v>2533</v>
      </c>
      <c r="B1336" s="18">
        <v>13.63</v>
      </c>
      <c r="C1336" s="18">
        <v>13.3</v>
      </c>
      <c r="D1336" s="18">
        <v>16.04</v>
      </c>
      <c r="E1336" s="18">
        <v>11.71</v>
      </c>
      <c r="F1336" s="18">
        <v>18.95</v>
      </c>
      <c r="G1336" s="18">
        <v>14.677</v>
      </c>
      <c r="H1336" s="18">
        <v>16.610900000000001</v>
      </c>
      <c r="I1336" s="8">
        <v>2.4812030075187948E-2</v>
      </c>
      <c r="J1336" s="8">
        <v>-0.1502493765586034</v>
      </c>
      <c r="K1336" s="8">
        <v>0.16396242527754051</v>
      </c>
      <c r="L1336" s="8">
        <v>-0.28073878627968329</v>
      </c>
      <c r="M1336" s="18">
        <v>-0.24221370748555829</v>
      </c>
    </row>
    <row r="1337" spans="1:13" x14ac:dyDescent="0.45">
      <c r="A1337" t="s">
        <v>1606</v>
      </c>
      <c r="B1337" s="18">
        <v>144.83000000000001</v>
      </c>
      <c r="C1337" s="18">
        <v>166.11</v>
      </c>
      <c r="D1337" s="18">
        <v>135.91999999999999</v>
      </c>
      <c r="E1337" s="18">
        <v>124.45</v>
      </c>
      <c r="F1337" s="18">
        <v>80.17</v>
      </c>
      <c r="G1337" s="18">
        <v>151.30199999999999</v>
      </c>
      <c r="H1337" s="18">
        <v>138.17345</v>
      </c>
      <c r="I1337" s="8">
        <v>-0.12810788032026971</v>
      </c>
      <c r="J1337" s="8">
        <v>6.5553266627428108E-2</v>
      </c>
      <c r="K1337" s="8">
        <v>0.1637605464041785</v>
      </c>
      <c r="L1337" s="8">
        <v>0.80653611076462539</v>
      </c>
      <c r="M1337" s="18">
        <v>0.90774204347596232</v>
      </c>
    </row>
    <row r="1338" spans="1:13" x14ac:dyDescent="0.45">
      <c r="A1338" t="s">
        <v>1678</v>
      </c>
      <c r="B1338" s="18">
        <v>1955.33</v>
      </c>
      <c r="C1338" s="18">
        <v>1928.85</v>
      </c>
      <c r="D1338" s="18">
        <v>1994.16</v>
      </c>
      <c r="E1338" s="18">
        <v>1680.26</v>
      </c>
      <c r="F1338" s="18">
        <v>1603.69</v>
      </c>
      <c r="G1338" s="18">
        <v>1940.8262</v>
      </c>
      <c r="H1338" s="18">
        <v>1888.0186000000001</v>
      </c>
      <c r="I1338" s="8">
        <v>1.372838738108206E-2</v>
      </c>
      <c r="J1338" s="8">
        <v>-1.9471857824848619E-2</v>
      </c>
      <c r="K1338" s="8">
        <v>0.16370680727982581</v>
      </c>
      <c r="L1338" s="8">
        <v>0.21926931015345841</v>
      </c>
      <c r="M1338" s="18">
        <v>0.37723264698951758</v>
      </c>
    </row>
    <row r="1339" spans="1:13" x14ac:dyDescent="0.45">
      <c r="A1339" t="s">
        <v>1513</v>
      </c>
      <c r="B1339" s="18">
        <v>47.64</v>
      </c>
      <c r="C1339" s="18">
        <v>50.82</v>
      </c>
      <c r="D1339" s="18">
        <v>51.58</v>
      </c>
      <c r="E1339" s="18">
        <v>40.94</v>
      </c>
      <c r="F1339" s="18">
        <v>58.55</v>
      </c>
      <c r="G1339" s="18">
        <v>50.229399999999998</v>
      </c>
      <c r="H1339" s="18">
        <v>47.272699999999993</v>
      </c>
      <c r="I1339" s="8">
        <v>-6.2573789846517069E-2</v>
      </c>
      <c r="J1339" s="8">
        <v>-7.6386196200077472E-2</v>
      </c>
      <c r="K1339" s="8">
        <v>0.16365412799218371</v>
      </c>
      <c r="L1339" s="8">
        <v>-0.18633646456020489</v>
      </c>
      <c r="M1339" s="18">
        <v>-0.16164232261461581</v>
      </c>
    </row>
    <row r="1340" spans="1:13" x14ac:dyDescent="0.45">
      <c r="A1340" t="s">
        <v>1519</v>
      </c>
      <c r="B1340" s="18">
        <v>8.0486000000000004</v>
      </c>
      <c r="C1340" s="18">
        <v>8.17</v>
      </c>
      <c r="D1340" s="18">
        <v>7.79</v>
      </c>
      <c r="E1340" s="18">
        <v>6.92</v>
      </c>
      <c r="F1340" s="18">
        <v>8.91</v>
      </c>
      <c r="G1340" s="18">
        <v>7.9705699999999986</v>
      </c>
      <c r="H1340" s="18">
        <v>8.0735675000000011</v>
      </c>
      <c r="I1340" s="8">
        <v>-1.4859241126070949E-2</v>
      </c>
      <c r="J1340" s="8">
        <v>3.319640564826698E-2</v>
      </c>
      <c r="K1340" s="8">
        <v>0.16309248554913289</v>
      </c>
      <c r="L1340" s="8">
        <v>-9.6677890011223289E-2</v>
      </c>
      <c r="M1340" s="18">
        <v>8.4751760060105652E-2</v>
      </c>
    </row>
    <row r="1341" spans="1:13" x14ac:dyDescent="0.45">
      <c r="A1341" t="s">
        <v>945</v>
      </c>
      <c r="B1341" s="18">
        <v>51.77</v>
      </c>
      <c r="C1341" s="18">
        <v>49.7</v>
      </c>
      <c r="D1341" s="18">
        <v>62.27</v>
      </c>
      <c r="E1341" s="18">
        <v>44.53</v>
      </c>
      <c r="F1341" s="18">
        <v>43.03</v>
      </c>
      <c r="G1341" s="18">
        <v>58.6524</v>
      </c>
      <c r="H1341" s="18">
        <v>55.109799999999993</v>
      </c>
      <c r="I1341" s="8">
        <v>4.1649899396378309E-2</v>
      </c>
      <c r="J1341" s="8">
        <v>-0.16862052352657769</v>
      </c>
      <c r="K1341" s="8">
        <v>0.162587019986526</v>
      </c>
      <c r="L1341" s="8">
        <v>0.20311410643736941</v>
      </c>
      <c r="M1341" s="18">
        <v>0.238730502293696</v>
      </c>
    </row>
    <row r="1342" spans="1:13" x14ac:dyDescent="0.45">
      <c r="A1342" t="s">
        <v>804</v>
      </c>
      <c r="B1342" s="18">
        <v>33.04</v>
      </c>
      <c r="C1342" s="18">
        <v>33.549999999999997</v>
      </c>
      <c r="D1342" s="18">
        <v>33.21</v>
      </c>
      <c r="E1342" s="18">
        <v>28.42</v>
      </c>
      <c r="F1342" s="18">
        <v>32.15</v>
      </c>
      <c r="G1342" s="18">
        <v>32.182000000000002</v>
      </c>
      <c r="H1342" s="18">
        <v>32.498350000000002</v>
      </c>
      <c r="I1342" s="8">
        <v>-1.5201192250372531E-2</v>
      </c>
      <c r="J1342" s="8">
        <v>-5.1189400782897243E-3</v>
      </c>
      <c r="K1342" s="8">
        <v>0.16256157635467969</v>
      </c>
      <c r="L1342" s="8">
        <v>2.768273716951786E-2</v>
      </c>
      <c r="M1342" s="18">
        <v>0.16992418119553529</v>
      </c>
    </row>
    <row r="1343" spans="1:13" x14ac:dyDescent="0.45">
      <c r="A1343" t="s">
        <v>450</v>
      </c>
      <c r="B1343" s="18">
        <v>242.33</v>
      </c>
      <c r="C1343" s="18">
        <v>248.39</v>
      </c>
      <c r="D1343" s="18">
        <v>230.72</v>
      </c>
      <c r="E1343" s="18">
        <v>208.55</v>
      </c>
      <c r="F1343" s="18">
        <v>231.02</v>
      </c>
      <c r="G1343" s="18">
        <v>243.55959999999999</v>
      </c>
      <c r="H1343" s="18">
        <v>230.28825000000001</v>
      </c>
      <c r="I1343" s="8">
        <v>-2.439711743628958E-2</v>
      </c>
      <c r="J1343" s="8">
        <v>5.0320735090152668E-2</v>
      </c>
      <c r="K1343" s="8">
        <v>0.16197554543274981</v>
      </c>
      <c r="L1343" s="8">
        <v>4.8956800277032197E-2</v>
      </c>
      <c r="M1343" s="18">
        <v>0.23685596336364509</v>
      </c>
    </row>
    <row r="1344" spans="1:13" x14ac:dyDescent="0.45">
      <c r="A1344" t="s">
        <v>1268</v>
      </c>
      <c r="B1344" s="18">
        <v>8.0749999999999993</v>
      </c>
      <c r="C1344" s="18">
        <v>7.88</v>
      </c>
      <c r="D1344" s="18">
        <v>7.68</v>
      </c>
      <c r="E1344" s="18">
        <v>6.95</v>
      </c>
      <c r="F1344" s="18">
        <v>7.5549999999999997</v>
      </c>
      <c r="G1344" s="18">
        <v>7.9370959999999986</v>
      </c>
      <c r="H1344" s="18">
        <v>7.5973514999999994</v>
      </c>
      <c r="I1344" s="8">
        <v>2.4746192893400961E-2</v>
      </c>
      <c r="J1344" s="8">
        <v>5.1432291666666519E-2</v>
      </c>
      <c r="K1344" s="8">
        <v>0.16187050359712221</v>
      </c>
      <c r="L1344" s="8">
        <v>6.8828590337524753E-2</v>
      </c>
      <c r="M1344" s="18">
        <v>0.30687757849471442</v>
      </c>
    </row>
    <row r="1345" spans="1:13" x14ac:dyDescent="0.45">
      <c r="A1345" t="s">
        <v>1486</v>
      </c>
      <c r="B1345" s="18">
        <v>7.55</v>
      </c>
      <c r="C1345" s="18">
        <v>7.85</v>
      </c>
      <c r="D1345" s="18">
        <v>7.76</v>
      </c>
      <c r="E1345" s="18">
        <v>6.5</v>
      </c>
      <c r="F1345" s="18">
        <v>9.0500000000000007</v>
      </c>
      <c r="G1345" s="18">
        <v>7.6336000000000004</v>
      </c>
      <c r="H1345" s="18">
        <v>7.8114500000000007</v>
      </c>
      <c r="I1345" s="8">
        <v>-3.8216560509554132E-2</v>
      </c>
      <c r="J1345" s="8">
        <v>-2.7061855670103111E-2</v>
      </c>
      <c r="K1345" s="8">
        <v>0.16153846153846141</v>
      </c>
      <c r="L1345" s="8">
        <v>-0.16574585635359129</v>
      </c>
      <c r="M1345" s="18">
        <v>-6.9485810994787123E-2</v>
      </c>
    </row>
    <row r="1346" spans="1:13" x14ac:dyDescent="0.45">
      <c r="A1346" t="s">
        <v>1561</v>
      </c>
      <c r="B1346" s="18">
        <v>13.45</v>
      </c>
      <c r="C1346" s="18">
        <v>13.62</v>
      </c>
      <c r="D1346" s="18">
        <v>14.07</v>
      </c>
      <c r="E1346" s="18">
        <v>11.58</v>
      </c>
      <c r="F1346" s="18">
        <v>16.3</v>
      </c>
      <c r="G1346" s="18">
        <v>13.901</v>
      </c>
      <c r="H1346" s="18">
        <v>14.12645</v>
      </c>
      <c r="I1346" s="8">
        <v>-1.2481644640234929E-2</v>
      </c>
      <c r="J1346" s="8">
        <v>-4.4065387348969483E-2</v>
      </c>
      <c r="K1346" s="8">
        <v>0.16148531951640741</v>
      </c>
      <c r="L1346" s="8">
        <v>-0.17484662576687129</v>
      </c>
      <c r="M1346" s="18">
        <v>-6.9908338239668244E-2</v>
      </c>
    </row>
    <row r="1347" spans="1:13" x14ac:dyDescent="0.45">
      <c r="A1347" t="s">
        <v>684</v>
      </c>
      <c r="B1347" s="18">
        <v>3.89</v>
      </c>
      <c r="C1347" s="18">
        <v>4.0199999999999996</v>
      </c>
      <c r="D1347" s="18">
        <v>3.85</v>
      </c>
      <c r="E1347" s="18">
        <v>3.35</v>
      </c>
      <c r="F1347" s="18">
        <v>4.4000000000000004</v>
      </c>
      <c r="G1347" s="18">
        <v>3.9535999999999998</v>
      </c>
      <c r="H1347" s="18">
        <v>3.903435</v>
      </c>
      <c r="I1347" s="8">
        <v>-3.2338308457711351E-2</v>
      </c>
      <c r="J1347" s="8">
        <v>1.038961038961039E-2</v>
      </c>
      <c r="K1347" s="8">
        <v>0.16119402985074641</v>
      </c>
      <c r="L1347" s="8">
        <v>-0.115909090909091</v>
      </c>
      <c r="M1347" s="18">
        <v>2.3336240873554459E-2</v>
      </c>
    </row>
    <row r="1348" spans="1:13" x14ac:dyDescent="0.45">
      <c r="A1348" t="s">
        <v>2365</v>
      </c>
      <c r="B1348" s="18">
        <v>56.82</v>
      </c>
      <c r="C1348" s="18">
        <v>56.84</v>
      </c>
      <c r="D1348" s="18">
        <v>56.26</v>
      </c>
      <c r="E1348" s="18">
        <v>48.95</v>
      </c>
      <c r="F1348" s="18">
        <v>43.25</v>
      </c>
      <c r="G1348" s="18">
        <v>56.785999999999987</v>
      </c>
      <c r="H1348" s="18">
        <v>53.7408</v>
      </c>
      <c r="I1348" s="8">
        <v>-3.5186488388461168E-4</v>
      </c>
      <c r="J1348" s="8">
        <v>9.9537859936011941E-3</v>
      </c>
      <c r="K1348" s="8">
        <v>0.16077630234933599</v>
      </c>
      <c r="L1348" s="8">
        <v>0.31375722543352591</v>
      </c>
      <c r="M1348" s="18">
        <v>0.48413544889257848</v>
      </c>
    </row>
    <row r="1349" spans="1:13" x14ac:dyDescent="0.45">
      <c r="A1349" t="s">
        <v>2181</v>
      </c>
      <c r="B1349" s="18">
        <v>61.96</v>
      </c>
      <c r="C1349" s="18">
        <v>58.45</v>
      </c>
      <c r="D1349" s="18">
        <v>62</v>
      </c>
      <c r="E1349" s="18">
        <v>53.39</v>
      </c>
      <c r="F1349" s="18">
        <v>58.31</v>
      </c>
      <c r="G1349" s="18">
        <v>59.204399999999993</v>
      </c>
      <c r="H1349" s="18">
        <v>59.546950000000002</v>
      </c>
      <c r="I1349" s="8">
        <v>6.0051325919589393E-2</v>
      </c>
      <c r="J1349" s="8">
        <v>-6.4516129032254899E-4</v>
      </c>
      <c r="K1349" s="8">
        <v>0.16051695073983899</v>
      </c>
      <c r="L1349" s="8">
        <v>6.2596467158291924E-2</v>
      </c>
      <c r="M1349" s="18">
        <v>0.28251958252739767</v>
      </c>
    </row>
    <row r="1350" spans="1:13" x14ac:dyDescent="0.45">
      <c r="A1350" t="s">
        <v>1525</v>
      </c>
      <c r="B1350" s="18">
        <v>60.31</v>
      </c>
      <c r="C1350" s="18">
        <v>65.92</v>
      </c>
      <c r="D1350" s="18">
        <v>56.18</v>
      </c>
      <c r="E1350" s="18">
        <v>51.98</v>
      </c>
      <c r="F1350" s="18">
        <v>81.77</v>
      </c>
      <c r="G1350" s="18">
        <v>62.796599999999998</v>
      </c>
      <c r="H1350" s="18">
        <v>59.48545</v>
      </c>
      <c r="I1350" s="8">
        <v>-8.5103155339805836E-2</v>
      </c>
      <c r="J1350" s="8">
        <v>7.3513705945176255E-2</v>
      </c>
      <c r="K1350" s="8">
        <v>0.16025394382454811</v>
      </c>
      <c r="L1350" s="8">
        <v>-0.26244343891402711</v>
      </c>
      <c r="M1350" s="18">
        <v>-0.11377894448410859</v>
      </c>
    </row>
    <row r="1351" spans="1:13" x14ac:dyDescent="0.45">
      <c r="A1351" t="s">
        <v>947</v>
      </c>
      <c r="B1351" s="18">
        <v>18.68</v>
      </c>
      <c r="C1351" s="18">
        <v>18.93</v>
      </c>
      <c r="D1351" s="18">
        <v>21.21</v>
      </c>
      <c r="E1351" s="18">
        <v>16.100000000000001</v>
      </c>
      <c r="F1351" s="18">
        <v>18.68</v>
      </c>
      <c r="G1351" s="18">
        <v>18.946999999999999</v>
      </c>
      <c r="H1351" s="18">
        <v>19.06025</v>
      </c>
      <c r="I1351" s="8">
        <v>-1.320655044902275E-2</v>
      </c>
      <c r="J1351" s="8">
        <v>-0.1192833569071193</v>
      </c>
      <c r="K1351" s="8">
        <v>0.16024844720496881</v>
      </c>
      <c r="L1351" s="8">
        <v>0</v>
      </c>
      <c r="M1351" s="18">
        <v>2.7758539848826699E-2</v>
      </c>
    </row>
    <row r="1352" spans="1:13" x14ac:dyDescent="0.45">
      <c r="A1352" t="s">
        <v>1113</v>
      </c>
      <c r="B1352" s="18">
        <v>5.032</v>
      </c>
      <c r="C1352" s="18">
        <v>5.13</v>
      </c>
      <c r="D1352" s="18">
        <v>5.13</v>
      </c>
      <c r="E1352" s="18">
        <v>4.34</v>
      </c>
      <c r="F1352" s="18">
        <v>5.2750000000000004</v>
      </c>
      <c r="G1352" s="18">
        <v>5.0979619999999999</v>
      </c>
      <c r="H1352" s="18">
        <v>5.0033180000000002</v>
      </c>
      <c r="I1352" s="8">
        <v>-1.9103313840155959E-2</v>
      </c>
      <c r="J1352" s="8">
        <v>-1.9103313840155959E-2</v>
      </c>
      <c r="K1352" s="8">
        <v>0.159447004608295</v>
      </c>
      <c r="L1352" s="8">
        <v>-4.6066350710900483E-2</v>
      </c>
      <c r="M1352" s="18">
        <v>7.5174026217082579E-2</v>
      </c>
    </row>
    <row r="1353" spans="1:13" x14ac:dyDescent="0.45">
      <c r="A1353" t="s">
        <v>2338</v>
      </c>
      <c r="B1353" s="18">
        <v>28.07</v>
      </c>
      <c r="C1353" s="18">
        <v>28.17</v>
      </c>
      <c r="D1353" s="18">
        <v>28.32</v>
      </c>
      <c r="E1353" s="18">
        <v>24.21</v>
      </c>
      <c r="F1353" s="18">
        <v>33.99</v>
      </c>
      <c r="G1353" s="18">
        <v>27.754799999999999</v>
      </c>
      <c r="H1353" s="18">
        <v>29.140149999999998</v>
      </c>
      <c r="I1353" s="8">
        <v>-3.5498757543486188E-3</v>
      </c>
      <c r="J1353" s="8">
        <v>-8.827683615819204E-3</v>
      </c>
      <c r="K1353" s="8">
        <v>0.15943824865757941</v>
      </c>
      <c r="L1353" s="8">
        <v>-0.17416887319799951</v>
      </c>
      <c r="M1353" s="18">
        <v>-2.7108183910587891E-2</v>
      </c>
    </row>
    <row r="1354" spans="1:13" x14ac:dyDescent="0.45">
      <c r="A1354" t="s">
        <v>342</v>
      </c>
      <c r="B1354" s="18">
        <v>514.02</v>
      </c>
      <c r="C1354" s="18">
        <v>457.06</v>
      </c>
      <c r="D1354" s="18">
        <v>464.31</v>
      </c>
      <c r="E1354" s="18">
        <v>443.36</v>
      </c>
      <c r="F1354" s="18">
        <v>605.13</v>
      </c>
      <c r="G1354" s="18">
        <v>460.7962</v>
      </c>
      <c r="H1354" s="18">
        <v>463.06195000000002</v>
      </c>
      <c r="I1354" s="8">
        <v>0.1246225878440468</v>
      </c>
      <c r="J1354" s="8">
        <v>0.1070620921367189</v>
      </c>
      <c r="K1354" s="8">
        <v>0.15937387224828581</v>
      </c>
      <c r="L1354" s="8">
        <v>-0.15056268900897329</v>
      </c>
      <c r="M1354" s="18">
        <v>0.24049586322007821</v>
      </c>
    </row>
    <row r="1355" spans="1:13" x14ac:dyDescent="0.45">
      <c r="A1355" t="s">
        <v>1563</v>
      </c>
      <c r="B1355" s="18">
        <v>19.37</v>
      </c>
      <c r="C1355" s="18">
        <v>20</v>
      </c>
      <c r="D1355" s="18">
        <v>20.96</v>
      </c>
      <c r="E1355" s="18">
        <v>16.71</v>
      </c>
      <c r="F1355" s="18">
        <v>15</v>
      </c>
      <c r="G1355" s="18">
        <v>20.059799999999999</v>
      </c>
      <c r="H1355" s="18">
        <v>18.819800000000001</v>
      </c>
      <c r="I1355" s="8">
        <v>-3.1499999999999972E-2</v>
      </c>
      <c r="J1355" s="8">
        <v>-7.5858778625954137E-2</v>
      </c>
      <c r="K1355" s="8">
        <v>0.1591861160981449</v>
      </c>
      <c r="L1355" s="8">
        <v>0.29133333333333339</v>
      </c>
      <c r="M1355" s="18">
        <v>0.34316067080552431</v>
      </c>
    </row>
    <row r="1356" spans="1:13" x14ac:dyDescent="0.45">
      <c r="A1356" t="s">
        <v>172</v>
      </c>
      <c r="B1356" s="18">
        <v>241.26</v>
      </c>
      <c r="C1356" s="18">
        <v>232.43</v>
      </c>
      <c r="D1356" s="18">
        <v>234.43</v>
      </c>
      <c r="E1356" s="18">
        <v>208.13</v>
      </c>
      <c r="F1356" s="18">
        <v>210.42</v>
      </c>
      <c r="G1356" s="18">
        <v>241.57040000000001</v>
      </c>
      <c r="H1356" s="18">
        <v>223.12004999999999</v>
      </c>
      <c r="I1356" s="8">
        <v>3.7989932452781483E-2</v>
      </c>
      <c r="J1356" s="8">
        <v>2.9134496438169011E-2</v>
      </c>
      <c r="K1356" s="8">
        <v>0.159179359054437</v>
      </c>
      <c r="L1356" s="8">
        <v>0.14656401482748779</v>
      </c>
      <c r="M1356" s="18">
        <v>0.37286780277287529</v>
      </c>
    </row>
    <row r="1357" spans="1:13" x14ac:dyDescent="0.45">
      <c r="A1357" t="s">
        <v>273</v>
      </c>
      <c r="B1357" s="18">
        <v>27.24</v>
      </c>
      <c r="C1357" s="18">
        <v>29.47</v>
      </c>
      <c r="D1357" s="18">
        <v>29.68</v>
      </c>
      <c r="E1357" s="18">
        <v>23.5</v>
      </c>
      <c r="F1357" s="18">
        <v>27.49</v>
      </c>
      <c r="G1357" s="18">
        <v>29.562899999999999</v>
      </c>
      <c r="H1357" s="18">
        <v>28.200724999999998</v>
      </c>
      <c r="I1357" s="8">
        <v>-7.5670173057346468E-2</v>
      </c>
      <c r="J1357" s="8">
        <v>-8.2210242587601123E-2</v>
      </c>
      <c r="K1357" s="8">
        <v>0.15914893617021281</v>
      </c>
      <c r="L1357" s="8">
        <v>-9.09421607857408E-3</v>
      </c>
      <c r="M1357" s="18">
        <v>-7.8256955533089201E-3</v>
      </c>
    </row>
    <row r="1358" spans="1:13" x14ac:dyDescent="0.45">
      <c r="A1358" t="s">
        <v>2084</v>
      </c>
      <c r="B1358" s="18">
        <v>262.14999999999998</v>
      </c>
      <c r="C1358" s="18">
        <v>238.33</v>
      </c>
      <c r="D1358" s="18">
        <v>238.44</v>
      </c>
      <c r="E1358" s="18">
        <v>226.21</v>
      </c>
      <c r="F1358" s="18">
        <v>279.69</v>
      </c>
      <c r="G1358" s="18">
        <v>245.667</v>
      </c>
      <c r="H1358" s="18">
        <v>243.06925000000001</v>
      </c>
      <c r="I1358" s="8">
        <v>9.9945453782570137E-2</v>
      </c>
      <c r="J1358" s="8">
        <v>9.9438013756081078E-2</v>
      </c>
      <c r="K1358" s="8">
        <v>0.15887891781972499</v>
      </c>
      <c r="L1358" s="8">
        <v>-6.2712288605241584E-2</v>
      </c>
      <c r="M1358" s="18">
        <v>0.29555009675313459</v>
      </c>
    </row>
    <row r="1359" spans="1:13" x14ac:dyDescent="0.45">
      <c r="A1359" t="s">
        <v>1201</v>
      </c>
      <c r="B1359" s="18">
        <v>238.62</v>
      </c>
      <c r="C1359" s="18">
        <v>228.72</v>
      </c>
      <c r="D1359" s="18">
        <v>226.66</v>
      </c>
      <c r="E1359" s="18">
        <v>205.92</v>
      </c>
      <c r="F1359" s="18">
        <v>282.77999999999997</v>
      </c>
      <c r="G1359" s="18">
        <v>231.13380000000001</v>
      </c>
      <c r="H1359" s="18">
        <v>227.4726</v>
      </c>
      <c r="I1359" s="8">
        <v>4.3284365162644223E-2</v>
      </c>
      <c r="J1359" s="8">
        <v>5.2766257831112773E-2</v>
      </c>
      <c r="K1359" s="8">
        <v>0.15879953379953379</v>
      </c>
      <c r="L1359" s="8">
        <v>-0.15616380224909809</v>
      </c>
      <c r="M1359" s="18">
        <v>9.8686354544192723E-2</v>
      </c>
    </row>
    <row r="1360" spans="1:13" x14ac:dyDescent="0.45">
      <c r="A1360" t="s">
        <v>1570</v>
      </c>
      <c r="B1360" s="18">
        <v>7.74</v>
      </c>
      <c r="C1360" s="18">
        <v>8.73</v>
      </c>
      <c r="D1360" s="18">
        <v>7.77</v>
      </c>
      <c r="E1360" s="18">
        <v>6.68</v>
      </c>
      <c r="F1360" s="18">
        <v>10.87</v>
      </c>
      <c r="G1360" s="18">
        <v>8.2631999999999994</v>
      </c>
      <c r="H1360" s="18">
        <v>8.0138999999999996</v>
      </c>
      <c r="I1360" s="8">
        <v>-0.1134020618556701</v>
      </c>
      <c r="J1360" s="8">
        <v>-3.8610038610037418E-3</v>
      </c>
      <c r="K1360" s="8">
        <v>0.15868263473053901</v>
      </c>
      <c r="L1360" s="8">
        <v>-0.28794848206071749</v>
      </c>
      <c r="M1360" s="18">
        <v>-0.2465289130468524</v>
      </c>
    </row>
    <row r="1361" spans="1:13" x14ac:dyDescent="0.45">
      <c r="A1361" t="s">
        <v>2171</v>
      </c>
      <c r="B1361" s="18">
        <v>121.41</v>
      </c>
      <c r="C1361" s="18">
        <v>142.51</v>
      </c>
      <c r="D1361" s="18">
        <v>131.38</v>
      </c>
      <c r="E1361" s="18">
        <v>104.79</v>
      </c>
      <c r="F1361" s="18">
        <v>144.02000000000001</v>
      </c>
      <c r="G1361" s="18">
        <v>137.52359999999999</v>
      </c>
      <c r="H1361" s="18">
        <v>128.94370000000001</v>
      </c>
      <c r="I1361" s="8">
        <v>-0.14805978527822611</v>
      </c>
      <c r="J1361" s="8">
        <v>-7.5886740752017068E-2</v>
      </c>
      <c r="K1361" s="8">
        <v>0.15860292012596619</v>
      </c>
      <c r="L1361" s="8">
        <v>-0.1569920844327177</v>
      </c>
      <c r="M1361" s="18">
        <v>-0.2223356903369946</v>
      </c>
    </row>
    <row r="1362" spans="1:13" x14ac:dyDescent="0.45">
      <c r="A1362" t="s">
        <v>454</v>
      </c>
      <c r="B1362" s="18">
        <v>78.760000000000005</v>
      </c>
      <c r="C1362" s="18">
        <v>80.849999999999994</v>
      </c>
      <c r="D1362" s="18">
        <v>77.459999999999994</v>
      </c>
      <c r="E1362" s="18">
        <v>68</v>
      </c>
      <c r="F1362" s="18">
        <v>75.41</v>
      </c>
      <c r="G1362" s="18">
        <v>80.868600000000001</v>
      </c>
      <c r="H1362" s="18">
        <v>75.604350000000011</v>
      </c>
      <c r="I1362" s="8">
        <v>-2.5850340136054251E-2</v>
      </c>
      <c r="J1362" s="8">
        <v>1.6782855667441421E-2</v>
      </c>
      <c r="K1362" s="8">
        <v>0.158235294117647</v>
      </c>
      <c r="L1362" s="8">
        <v>4.4423816469964413E-2</v>
      </c>
      <c r="M1362" s="18">
        <v>0.19359162611899861</v>
      </c>
    </row>
    <row r="1363" spans="1:13" x14ac:dyDescent="0.45">
      <c r="A1363" t="s">
        <v>1241</v>
      </c>
      <c r="B1363" s="18">
        <v>246.04</v>
      </c>
      <c r="C1363" s="18">
        <v>291.94</v>
      </c>
      <c r="D1363" s="18">
        <v>289.58</v>
      </c>
      <c r="E1363" s="18">
        <v>212.5</v>
      </c>
      <c r="F1363" s="18">
        <v>237.53</v>
      </c>
      <c r="G1363" s="18">
        <v>286.32920000000001</v>
      </c>
      <c r="H1363" s="18">
        <v>265.30290000000002</v>
      </c>
      <c r="I1363" s="8">
        <v>-0.1572240871411934</v>
      </c>
      <c r="J1363" s="8">
        <v>-0.15035568754748249</v>
      </c>
      <c r="K1363" s="8">
        <v>0.1578352941176471</v>
      </c>
      <c r="L1363" s="8">
        <v>3.5827053424830613E-2</v>
      </c>
      <c r="M1363" s="18">
        <v>-0.11391742714619819</v>
      </c>
    </row>
    <row r="1364" spans="1:13" x14ac:dyDescent="0.45">
      <c r="A1364" t="s">
        <v>388</v>
      </c>
      <c r="B1364" s="18">
        <v>7756.83</v>
      </c>
      <c r="C1364" s="18">
        <v>8276.25</v>
      </c>
      <c r="D1364" s="18">
        <v>7689.72</v>
      </c>
      <c r="E1364" s="18">
        <v>6700</v>
      </c>
      <c r="F1364" s="18">
        <v>9515</v>
      </c>
      <c r="G1364" s="18">
        <v>8080.3873999999996</v>
      </c>
      <c r="H1364" s="18">
        <v>7615.5393499999991</v>
      </c>
      <c r="I1364" s="8">
        <v>-6.2760308110557328E-2</v>
      </c>
      <c r="J1364" s="8">
        <v>8.7272358421373042E-3</v>
      </c>
      <c r="K1364" s="8">
        <v>0.15773582089552241</v>
      </c>
      <c r="L1364" s="8">
        <v>-0.18477877036258539</v>
      </c>
      <c r="M1364" s="18">
        <v>-8.1076021735483006E-2</v>
      </c>
    </row>
    <row r="1365" spans="1:13" x14ac:dyDescent="0.45">
      <c r="A1365" t="s">
        <v>356</v>
      </c>
      <c r="B1365" s="18">
        <v>755.75</v>
      </c>
      <c r="C1365" s="18">
        <v>705.55</v>
      </c>
      <c r="D1365" s="18">
        <v>714.54</v>
      </c>
      <c r="E1365" s="18">
        <v>652.83000000000004</v>
      </c>
      <c r="F1365" s="18">
        <v>485.42</v>
      </c>
      <c r="G1365" s="18">
        <v>705.59679999999992</v>
      </c>
      <c r="H1365" s="18">
        <v>675.19865000000004</v>
      </c>
      <c r="I1365" s="8">
        <v>7.1150166536744441E-2</v>
      </c>
      <c r="J1365" s="8">
        <v>5.7673468245304622E-2</v>
      </c>
      <c r="K1365" s="8">
        <v>0.15765206868556891</v>
      </c>
      <c r="L1365" s="8">
        <v>0.55689918009146711</v>
      </c>
      <c r="M1365" s="18">
        <v>0.84337488355908508</v>
      </c>
    </row>
    <row r="1366" spans="1:13" x14ac:dyDescent="0.45">
      <c r="A1366" t="s">
        <v>117</v>
      </c>
      <c r="B1366" s="18">
        <v>212.35</v>
      </c>
      <c r="C1366" s="18">
        <v>200.12</v>
      </c>
      <c r="D1366" s="18">
        <v>194.68</v>
      </c>
      <c r="E1366" s="18">
        <v>183.47</v>
      </c>
      <c r="F1366" s="18">
        <v>190.57</v>
      </c>
      <c r="G1366" s="18">
        <v>205.63040000000001</v>
      </c>
      <c r="H1366" s="18">
        <v>198.9033</v>
      </c>
      <c r="I1366" s="8">
        <v>6.1113332000799492E-2</v>
      </c>
      <c r="J1366" s="8">
        <v>9.0764331210191118E-2</v>
      </c>
      <c r="K1366" s="8">
        <v>0.15740993077887391</v>
      </c>
      <c r="L1366" s="8">
        <v>0.11428871280894159</v>
      </c>
      <c r="M1366" s="18">
        <v>0.42357630679880609</v>
      </c>
    </row>
    <row r="1367" spans="1:13" x14ac:dyDescent="0.45">
      <c r="A1367" t="s">
        <v>750</v>
      </c>
      <c r="B1367" s="18">
        <v>38.119999999999997</v>
      </c>
      <c r="C1367" s="18">
        <v>39.020000000000003</v>
      </c>
      <c r="D1367" s="18">
        <v>40.36</v>
      </c>
      <c r="E1367" s="18">
        <v>32.94</v>
      </c>
      <c r="F1367" s="18">
        <v>43.73</v>
      </c>
      <c r="G1367" s="18">
        <v>39.36</v>
      </c>
      <c r="H1367" s="18">
        <v>39.644799999999996</v>
      </c>
      <c r="I1367" s="8">
        <v>-2.3065094823167761E-2</v>
      </c>
      <c r="J1367" s="8">
        <v>-5.5500495540138813E-2</v>
      </c>
      <c r="K1367" s="8">
        <v>0.15725561627200979</v>
      </c>
      <c r="L1367" s="8">
        <v>-0.12828721701349191</v>
      </c>
      <c r="M1367" s="18">
        <v>-4.9597191104788663E-2</v>
      </c>
    </row>
    <row r="1368" spans="1:13" x14ac:dyDescent="0.45">
      <c r="A1368" t="s">
        <v>304</v>
      </c>
      <c r="B1368" s="18">
        <v>252.75</v>
      </c>
      <c r="C1368" s="18">
        <v>262.18</v>
      </c>
      <c r="D1368" s="18">
        <v>262.12</v>
      </c>
      <c r="E1368" s="18">
        <v>218.41</v>
      </c>
      <c r="F1368" s="18">
        <v>258.41000000000003</v>
      </c>
      <c r="G1368" s="18">
        <v>261.10539999999997</v>
      </c>
      <c r="H1368" s="18">
        <v>253.39609999999999</v>
      </c>
      <c r="I1368" s="8">
        <v>-3.5967655808986199E-2</v>
      </c>
      <c r="J1368" s="8">
        <v>-3.5746986113230572E-2</v>
      </c>
      <c r="K1368" s="8">
        <v>0.15722723318529369</v>
      </c>
      <c r="L1368" s="8">
        <v>-2.1903177121628481E-2</v>
      </c>
      <c r="M1368" s="18">
        <v>6.3609414141448495E-2</v>
      </c>
    </row>
    <row r="1369" spans="1:13" x14ac:dyDescent="0.45">
      <c r="A1369" t="s">
        <v>2250</v>
      </c>
      <c r="B1369" s="18">
        <v>18.122</v>
      </c>
      <c r="C1369" s="18">
        <v>18.329999999999998</v>
      </c>
      <c r="D1369" s="18">
        <v>17.68</v>
      </c>
      <c r="E1369" s="18">
        <v>15.66</v>
      </c>
      <c r="F1369" s="18">
        <v>15.71</v>
      </c>
      <c r="G1369" s="18">
        <v>18.099599999999999</v>
      </c>
      <c r="H1369" s="18">
        <v>17.2179</v>
      </c>
      <c r="I1369" s="8">
        <v>-1.1347517730496359E-2</v>
      </c>
      <c r="J1369" s="8">
        <v>2.4999999999999911E-2</v>
      </c>
      <c r="K1369" s="8">
        <v>0.15721583652618129</v>
      </c>
      <c r="L1369" s="8">
        <v>0.15353278166772741</v>
      </c>
      <c r="M1369" s="18">
        <v>0.32440110046341231</v>
      </c>
    </row>
    <row r="1370" spans="1:13" x14ac:dyDescent="0.45">
      <c r="A1370" t="s">
        <v>1263</v>
      </c>
      <c r="B1370" s="18">
        <v>7.07</v>
      </c>
      <c r="C1370" s="18">
        <v>7.4</v>
      </c>
      <c r="D1370" s="18">
        <v>7.23</v>
      </c>
      <c r="E1370" s="18">
        <v>6.11</v>
      </c>
      <c r="F1370" s="18">
        <v>6.62</v>
      </c>
      <c r="G1370" s="18">
        <v>7.2956000000000003</v>
      </c>
      <c r="H1370" s="18">
        <v>7.0616999999999992</v>
      </c>
      <c r="I1370" s="8">
        <v>-4.4594594594594583E-2</v>
      </c>
      <c r="J1370" s="8">
        <v>-2.213001383125868E-2</v>
      </c>
      <c r="K1370" s="8">
        <v>0.15711947626841249</v>
      </c>
      <c r="L1370" s="8">
        <v>6.7975830815709903E-2</v>
      </c>
      <c r="M1370" s="18">
        <v>0.15837069865826911</v>
      </c>
    </row>
    <row r="1371" spans="1:13" x14ac:dyDescent="0.45">
      <c r="A1371" t="s">
        <v>2537</v>
      </c>
      <c r="B1371" s="18">
        <v>19.100000000000001</v>
      </c>
      <c r="C1371" s="18">
        <v>19.100000000000001</v>
      </c>
      <c r="D1371" s="18">
        <v>19.329999999999998</v>
      </c>
      <c r="E1371" s="18">
        <v>16.510000000000002</v>
      </c>
      <c r="F1371" s="18">
        <v>26.99</v>
      </c>
      <c r="G1371" s="18">
        <v>19.279800000000002</v>
      </c>
      <c r="H1371" s="18">
        <v>18.955349999999999</v>
      </c>
      <c r="I1371" s="8">
        <v>0</v>
      </c>
      <c r="J1371" s="8">
        <v>-1.18986032074494E-2</v>
      </c>
      <c r="K1371" s="8">
        <v>0.15687462144155059</v>
      </c>
      <c r="L1371" s="8">
        <v>-0.29233049277510181</v>
      </c>
      <c r="M1371" s="18">
        <v>-0.14735447454100059</v>
      </c>
    </row>
    <row r="1372" spans="1:13" x14ac:dyDescent="0.45">
      <c r="A1372" t="s">
        <v>963</v>
      </c>
      <c r="B1372" s="18">
        <v>77.66</v>
      </c>
      <c r="C1372" s="18">
        <v>74.73</v>
      </c>
      <c r="D1372" s="18">
        <v>82.41</v>
      </c>
      <c r="E1372" s="18">
        <v>67.150000000000006</v>
      </c>
      <c r="F1372" s="18">
        <v>82.42</v>
      </c>
      <c r="G1372" s="18">
        <v>75.242999999999995</v>
      </c>
      <c r="H1372" s="18">
        <v>76.319299999999998</v>
      </c>
      <c r="I1372" s="8">
        <v>3.9207814799946387E-2</v>
      </c>
      <c r="J1372" s="8">
        <v>-5.7638636087853468E-2</v>
      </c>
      <c r="K1372" s="8">
        <v>0.1565152643335814</v>
      </c>
      <c r="L1372" s="8">
        <v>-5.7752972579471103E-2</v>
      </c>
      <c r="M1372" s="18">
        <v>8.0331470466203259E-2</v>
      </c>
    </row>
    <row r="1373" spans="1:13" x14ac:dyDescent="0.45">
      <c r="A1373" t="s">
        <v>2024</v>
      </c>
      <c r="B1373" s="18">
        <v>10.199999999999999</v>
      </c>
      <c r="C1373" s="18">
        <v>10.25</v>
      </c>
      <c r="D1373" s="18">
        <v>9.73</v>
      </c>
      <c r="E1373" s="18">
        <v>8.82</v>
      </c>
      <c r="F1373" s="18">
        <v>13.41</v>
      </c>
      <c r="G1373" s="18">
        <v>10.225619999999999</v>
      </c>
      <c r="H1373" s="18">
        <v>10.223386</v>
      </c>
      <c r="I1373" s="8">
        <v>-4.8780487804879202E-3</v>
      </c>
      <c r="J1373" s="8">
        <v>4.8304213771839473E-2</v>
      </c>
      <c r="K1373" s="8">
        <v>0.15646258503401361</v>
      </c>
      <c r="L1373" s="8">
        <v>-0.23937360178970921</v>
      </c>
      <c r="M1373" s="18">
        <v>-3.9484851764344131E-2</v>
      </c>
    </row>
    <row r="1374" spans="1:13" x14ac:dyDescent="0.45">
      <c r="A1374" t="s">
        <v>523</v>
      </c>
      <c r="B1374" s="18">
        <v>19.989999999999998</v>
      </c>
      <c r="C1374" s="18">
        <v>20.14</v>
      </c>
      <c r="D1374" s="18">
        <v>20.98</v>
      </c>
      <c r="E1374" s="18">
        <v>17.29</v>
      </c>
      <c r="F1374" s="18">
        <v>26.47</v>
      </c>
      <c r="G1374" s="18">
        <v>20.093399999999999</v>
      </c>
      <c r="H1374" s="18">
        <v>20.898150000000001</v>
      </c>
      <c r="I1374" s="8">
        <v>-7.4478649453824097E-3</v>
      </c>
      <c r="J1374" s="8">
        <v>-4.7187797902764617E-2</v>
      </c>
      <c r="K1374" s="8">
        <v>0.15615962984384041</v>
      </c>
      <c r="L1374" s="8">
        <v>-0.24480544012089159</v>
      </c>
      <c r="M1374" s="18">
        <v>-0.14328147312519821</v>
      </c>
    </row>
    <row r="1375" spans="1:13" x14ac:dyDescent="0.45">
      <c r="A1375" t="s">
        <v>1350</v>
      </c>
      <c r="B1375" s="18">
        <v>23.7</v>
      </c>
      <c r="C1375" s="18">
        <v>28.84</v>
      </c>
      <c r="D1375" s="18">
        <v>20.84</v>
      </c>
      <c r="E1375" s="18">
        <v>20.5</v>
      </c>
      <c r="F1375" s="18">
        <v>17.36</v>
      </c>
      <c r="G1375" s="18">
        <v>25.114799999999999</v>
      </c>
      <c r="H1375" s="18">
        <v>22.364350000000002</v>
      </c>
      <c r="I1375" s="8">
        <v>-0.1782246879334258</v>
      </c>
      <c r="J1375" s="8">
        <v>0.137236084452975</v>
      </c>
      <c r="K1375" s="8">
        <v>0.1560975609756097</v>
      </c>
      <c r="L1375" s="8">
        <v>0.36520737327188951</v>
      </c>
      <c r="M1375" s="18">
        <v>0.48031633076704833</v>
      </c>
    </row>
    <row r="1376" spans="1:13" x14ac:dyDescent="0.45">
      <c r="A1376" t="s">
        <v>1050</v>
      </c>
      <c r="B1376" s="18">
        <v>14.75</v>
      </c>
      <c r="C1376" s="18">
        <v>14.7</v>
      </c>
      <c r="D1376" s="18">
        <v>14.38</v>
      </c>
      <c r="E1376" s="18">
        <v>12.76</v>
      </c>
      <c r="F1376" s="18">
        <v>14.78</v>
      </c>
      <c r="G1376" s="18">
        <v>14.5938</v>
      </c>
      <c r="H1376" s="18">
        <v>14.519349999999999</v>
      </c>
      <c r="I1376" s="8">
        <v>3.4013605442178019E-3</v>
      </c>
      <c r="J1376" s="8">
        <v>2.5730180806675881E-2</v>
      </c>
      <c r="K1376" s="8">
        <v>0.1559561128526645</v>
      </c>
      <c r="L1376" s="8">
        <v>-2.0297699594045149E-3</v>
      </c>
      <c r="M1376" s="18">
        <v>0.1830578842441537</v>
      </c>
    </row>
    <row r="1377" spans="1:13" x14ac:dyDescent="0.45">
      <c r="A1377" t="s">
        <v>2136</v>
      </c>
      <c r="B1377" s="18">
        <v>15.68</v>
      </c>
      <c r="C1377" s="18">
        <v>15.44</v>
      </c>
      <c r="D1377" s="18">
        <v>15.67</v>
      </c>
      <c r="E1377" s="18">
        <v>13.57</v>
      </c>
      <c r="F1377" s="18">
        <v>17.71</v>
      </c>
      <c r="G1377" s="18">
        <v>15.4366</v>
      </c>
      <c r="H1377" s="18">
        <v>15.895336</v>
      </c>
      <c r="I1377" s="8">
        <v>1.5544041450777261E-2</v>
      </c>
      <c r="J1377" s="8">
        <v>6.3816209317169026E-4</v>
      </c>
      <c r="K1377" s="8">
        <v>0.15549005158437729</v>
      </c>
      <c r="L1377" s="8">
        <v>-0.1146245059288538</v>
      </c>
      <c r="M1377" s="18">
        <v>5.7047749199472531E-2</v>
      </c>
    </row>
    <row r="1378" spans="1:13" x14ac:dyDescent="0.45">
      <c r="A1378" t="s">
        <v>1166</v>
      </c>
      <c r="B1378" s="18">
        <v>41.21</v>
      </c>
      <c r="C1378" s="18">
        <v>41.83</v>
      </c>
      <c r="D1378" s="18">
        <v>43.41</v>
      </c>
      <c r="E1378" s="18">
        <v>35.68</v>
      </c>
      <c r="F1378" s="18">
        <v>39.14</v>
      </c>
      <c r="G1378" s="18">
        <v>40.232599999999998</v>
      </c>
      <c r="H1378" s="18">
        <v>40.488700000000001</v>
      </c>
      <c r="I1378" s="8">
        <v>-1.4821898159215859E-2</v>
      </c>
      <c r="J1378" s="8">
        <v>-5.0679566920064367E-2</v>
      </c>
      <c r="K1378" s="8">
        <v>0.15498878923766821</v>
      </c>
      <c r="L1378" s="8">
        <v>5.2887072049054629E-2</v>
      </c>
      <c r="M1378" s="18">
        <v>0.14237439620744261</v>
      </c>
    </row>
    <row r="1379" spans="1:13" x14ac:dyDescent="0.45">
      <c r="A1379" t="s">
        <v>935</v>
      </c>
      <c r="B1379" s="18">
        <v>24.5</v>
      </c>
      <c r="C1379" s="18">
        <v>23.14</v>
      </c>
      <c r="D1379" s="18">
        <v>21.91</v>
      </c>
      <c r="E1379" s="18">
        <v>21.22</v>
      </c>
      <c r="F1379" s="18">
        <v>25.12</v>
      </c>
      <c r="G1379" s="18">
        <v>23.125392479999999</v>
      </c>
      <c r="H1379" s="18">
        <v>22.233083619999999</v>
      </c>
      <c r="I1379" s="8">
        <v>5.877268798617119E-2</v>
      </c>
      <c r="J1379" s="8">
        <v>0.1182108626198084</v>
      </c>
      <c r="K1379" s="8">
        <v>0.15457115928369469</v>
      </c>
      <c r="L1379" s="8">
        <v>-2.468152866242046E-2</v>
      </c>
      <c r="M1379" s="18">
        <v>0.30687318122725382</v>
      </c>
    </row>
    <row r="1380" spans="1:13" x14ac:dyDescent="0.45">
      <c r="A1380" t="s">
        <v>116</v>
      </c>
      <c r="B1380" s="18">
        <v>67.87</v>
      </c>
      <c r="C1380" s="18">
        <v>64.010000000000005</v>
      </c>
      <c r="D1380" s="18">
        <v>62.6</v>
      </c>
      <c r="E1380" s="18">
        <v>58.79</v>
      </c>
      <c r="F1380" s="18">
        <v>60.19</v>
      </c>
      <c r="G1380" s="18">
        <v>65.4482</v>
      </c>
      <c r="H1380" s="18">
        <v>62.355149999999988</v>
      </c>
      <c r="I1380" s="8">
        <v>6.0303077644118019E-2</v>
      </c>
      <c r="J1380" s="8">
        <v>8.4185303514377141E-2</v>
      </c>
      <c r="K1380" s="8">
        <v>0.15444803538016669</v>
      </c>
      <c r="L1380" s="8">
        <v>0.1275959461704603</v>
      </c>
      <c r="M1380" s="18">
        <v>0.4265323627091222</v>
      </c>
    </row>
    <row r="1381" spans="1:13" x14ac:dyDescent="0.45">
      <c r="A1381" t="s">
        <v>636</v>
      </c>
      <c r="B1381" s="18">
        <v>24.99</v>
      </c>
      <c r="C1381" s="18">
        <v>21.65</v>
      </c>
      <c r="D1381" s="18">
        <v>19.89</v>
      </c>
      <c r="E1381" s="18">
        <v>21.65</v>
      </c>
      <c r="F1381" s="18">
        <v>21.85</v>
      </c>
      <c r="G1381" s="18">
        <v>22.703256</v>
      </c>
      <c r="H1381" s="18">
        <v>21.482430999999998</v>
      </c>
      <c r="I1381" s="8">
        <v>0.15427251732101621</v>
      </c>
      <c r="J1381" s="8">
        <v>0.25641025641025639</v>
      </c>
      <c r="K1381" s="8">
        <v>0.15427251732101621</v>
      </c>
      <c r="L1381" s="8">
        <v>0.14370709382151009</v>
      </c>
      <c r="M1381" s="18">
        <v>0.70866238487379896</v>
      </c>
    </row>
    <row r="1382" spans="1:13" x14ac:dyDescent="0.45">
      <c r="A1382" t="s">
        <v>2218</v>
      </c>
      <c r="B1382" s="18">
        <v>15.59</v>
      </c>
      <c r="C1382" s="18">
        <v>15.773199999999999</v>
      </c>
      <c r="D1382" s="18">
        <v>15.54</v>
      </c>
      <c r="E1382" s="18">
        <v>13.51</v>
      </c>
      <c r="F1382" s="18">
        <v>14.06</v>
      </c>
      <c r="G1382" s="18">
        <v>15.550663999999999</v>
      </c>
      <c r="H1382" s="18">
        <v>15.174073999999999</v>
      </c>
      <c r="I1382" s="8">
        <v>-1.161463748636926E-2</v>
      </c>
      <c r="J1382" s="8">
        <v>3.2175032175032481E-3</v>
      </c>
      <c r="K1382" s="8">
        <v>0.15396002960769789</v>
      </c>
      <c r="L1382" s="8">
        <v>0.10881934566145079</v>
      </c>
      <c r="M1382" s="18">
        <v>0.25438224100028273</v>
      </c>
    </row>
    <row r="1383" spans="1:13" x14ac:dyDescent="0.45">
      <c r="A1383" t="s">
        <v>1916</v>
      </c>
      <c r="B1383" s="18">
        <v>40.76</v>
      </c>
      <c r="C1383" s="18">
        <v>38.29</v>
      </c>
      <c r="D1383" s="18">
        <v>36.83</v>
      </c>
      <c r="E1383" s="18">
        <v>35.33</v>
      </c>
      <c r="F1383" s="18">
        <v>42.67</v>
      </c>
      <c r="G1383" s="18">
        <v>38.391199999999998</v>
      </c>
      <c r="H1383" s="18">
        <v>37.718200000000003</v>
      </c>
      <c r="I1383" s="8">
        <v>6.4507704361452145E-2</v>
      </c>
      <c r="J1383" s="8">
        <v>0.1067064892750476</v>
      </c>
      <c r="K1383" s="8">
        <v>0.15369374469289571</v>
      </c>
      <c r="L1383" s="8">
        <v>-4.4762127958753339E-2</v>
      </c>
      <c r="M1383" s="18">
        <v>0.28014581037064201</v>
      </c>
    </row>
    <row r="1384" spans="1:13" x14ac:dyDescent="0.45">
      <c r="A1384" t="s">
        <v>1482</v>
      </c>
      <c r="B1384" s="18">
        <v>14.56</v>
      </c>
      <c r="C1384" s="18">
        <v>14.62</v>
      </c>
      <c r="D1384" s="18">
        <v>14.17</v>
      </c>
      <c r="E1384" s="18">
        <v>12.63</v>
      </c>
      <c r="F1384" s="18">
        <v>14.1</v>
      </c>
      <c r="G1384" s="18">
        <v>14.488</v>
      </c>
      <c r="H1384" s="18">
        <v>14.0146</v>
      </c>
      <c r="I1384" s="8">
        <v>-4.1039671682625567E-3</v>
      </c>
      <c r="J1384" s="8">
        <v>2.7522935779816571E-2</v>
      </c>
      <c r="K1384" s="8">
        <v>0.15281076801266821</v>
      </c>
      <c r="L1384" s="8">
        <v>3.2624113475177463E-2</v>
      </c>
      <c r="M1384" s="18">
        <v>0.20885385009939969</v>
      </c>
    </row>
    <row r="1385" spans="1:13" x14ac:dyDescent="0.45">
      <c r="A1385" t="s">
        <v>2073</v>
      </c>
      <c r="B1385" s="18">
        <v>15.19</v>
      </c>
      <c r="C1385" s="18">
        <v>15.61</v>
      </c>
      <c r="D1385" s="18">
        <v>15.4</v>
      </c>
      <c r="E1385" s="18">
        <v>13.19</v>
      </c>
      <c r="F1385" s="18">
        <v>16.32</v>
      </c>
      <c r="G1385" s="18">
        <v>15.4115</v>
      </c>
      <c r="H1385" s="18">
        <v>15.20783</v>
      </c>
      <c r="I1385" s="8">
        <v>-2.6905829596412519E-2</v>
      </c>
      <c r="J1385" s="8">
        <v>-1.363636363636367E-2</v>
      </c>
      <c r="K1385" s="8">
        <v>0.1516300227445033</v>
      </c>
      <c r="L1385" s="8">
        <v>-6.924019607843146E-2</v>
      </c>
      <c r="M1385" s="18">
        <v>4.1847633433295672E-2</v>
      </c>
    </row>
    <row r="1386" spans="1:13" x14ac:dyDescent="0.45">
      <c r="A1386" t="s">
        <v>2465</v>
      </c>
      <c r="B1386" s="18">
        <v>14.97</v>
      </c>
      <c r="C1386" s="18">
        <v>15.16</v>
      </c>
      <c r="D1386" s="18">
        <v>14.86</v>
      </c>
      <c r="E1386" s="18">
        <v>13</v>
      </c>
      <c r="F1386" s="18">
        <v>15.65</v>
      </c>
      <c r="G1386" s="18">
        <v>15.0128</v>
      </c>
      <c r="H1386" s="18">
        <v>14.6793</v>
      </c>
      <c r="I1386" s="8">
        <v>-1.253298153034299E-2</v>
      </c>
      <c r="J1386" s="8">
        <v>7.4024226110365188E-3</v>
      </c>
      <c r="K1386" s="8">
        <v>0.15153846153846159</v>
      </c>
      <c r="L1386" s="8">
        <v>-4.3450479233226869E-2</v>
      </c>
      <c r="M1386" s="18">
        <v>0.1029574233859283</v>
      </c>
    </row>
    <row r="1387" spans="1:13" x14ac:dyDescent="0.45">
      <c r="A1387" t="s">
        <v>139</v>
      </c>
      <c r="B1387" s="18">
        <v>4027.76</v>
      </c>
      <c r="C1387" s="18">
        <v>4291.12</v>
      </c>
      <c r="D1387" s="18">
        <v>3728.48</v>
      </c>
      <c r="E1387" s="18">
        <v>3499.08</v>
      </c>
      <c r="F1387" s="18">
        <v>3033.58</v>
      </c>
      <c r="G1387" s="18">
        <v>4134.9264000000003</v>
      </c>
      <c r="H1387" s="18">
        <v>3715.8962999999999</v>
      </c>
      <c r="I1387" s="8">
        <v>-6.1373254534946457E-2</v>
      </c>
      <c r="J1387" s="8">
        <v>8.0268634939707484E-2</v>
      </c>
      <c r="K1387" s="8">
        <v>0.1510911439578404</v>
      </c>
      <c r="L1387" s="8">
        <v>0.32772499818696083</v>
      </c>
      <c r="M1387" s="18">
        <v>0.49771152254956219</v>
      </c>
    </row>
    <row r="1388" spans="1:13" x14ac:dyDescent="0.45">
      <c r="A1388" t="s">
        <v>2213</v>
      </c>
      <c r="B1388" s="18">
        <v>45.7742</v>
      </c>
      <c r="C1388" s="18">
        <v>45.04</v>
      </c>
      <c r="D1388" s="18">
        <v>43.95</v>
      </c>
      <c r="E1388" s="18">
        <v>39.78</v>
      </c>
      <c r="F1388" s="18">
        <v>44.289900000000003</v>
      </c>
      <c r="G1388" s="18">
        <v>44.518175999999997</v>
      </c>
      <c r="H1388" s="18">
        <v>42.948937999999998</v>
      </c>
      <c r="I1388" s="8">
        <v>1.6301065719360519E-2</v>
      </c>
      <c r="J1388" s="8">
        <v>4.1506257110352607E-2</v>
      </c>
      <c r="K1388" s="8">
        <v>0.1506837606837608</v>
      </c>
      <c r="L1388" s="8">
        <v>3.3513284067022031E-2</v>
      </c>
      <c r="M1388" s="18">
        <v>0.2420043675804959</v>
      </c>
    </row>
    <row r="1389" spans="1:13" x14ac:dyDescent="0.45">
      <c r="A1389" t="s">
        <v>125</v>
      </c>
      <c r="B1389" s="18">
        <v>490.17</v>
      </c>
      <c r="C1389" s="18">
        <v>493.34</v>
      </c>
      <c r="D1389" s="18">
        <v>542.51</v>
      </c>
      <c r="E1389" s="18">
        <v>426.02</v>
      </c>
      <c r="F1389" s="18">
        <v>486.94</v>
      </c>
      <c r="G1389" s="18">
        <v>501.62380000000002</v>
      </c>
      <c r="H1389" s="18">
        <v>510.63019999999989</v>
      </c>
      <c r="I1389" s="8">
        <v>-6.4255888433939479E-3</v>
      </c>
      <c r="J1389" s="8">
        <v>-9.6477484286003889E-2</v>
      </c>
      <c r="K1389" s="8">
        <v>0.15057978498662039</v>
      </c>
      <c r="L1389" s="8">
        <v>6.6332607713477376E-3</v>
      </c>
      <c r="M1389" s="18">
        <v>5.4309972628570291E-2</v>
      </c>
    </row>
    <row r="1390" spans="1:13" x14ac:dyDescent="0.45">
      <c r="A1390" t="s">
        <v>798</v>
      </c>
      <c r="B1390" s="18">
        <v>5.82</v>
      </c>
      <c r="C1390" s="18">
        <v>5.74</v>
      </c>
      <c r="D1390" s="18">
        <v>4.0999999999999996</v>
      </c>
      <c r="E1390" s="18">
        <v>5.0599999999999996</v>
      </c>
      <c r="F1390" s="18">
        <v>6.94</v>
      </c>
      <c r="G1390" s="18">
        <v>5.5605999999999991</v>
      </c>
      <c r="H1390" s="18">
        <v>5.5313550949999986</v>
      </c>
      <c r="I1390" s="8">
        <v>1.3937282229965261E-2</v>
      </c>
      <c r="J1390" s="8">
        <v>0.41951219512195143</v>
      </c>
      <c r="K1390" s="8">
        <v>0.15019762845849829</v>
      </c>
      <c r="L1390" s="8">
        <v>-0.16138328530259369</v>
      </c>
      <c r="M1390" s="18">
        <v>0.42226382050782119</v>
      </c>
    </row>
    <row r="1391" spans="1:13" x14ac:dyDescent="0.45">
      <c r="A1391" t="s">
        <v>1515</v>
      </c>
      <c r="B1391" s="18">
        <v>8.1999999999999993</v>
      </c>
      <c r="C1391" s="18">
        <v>8.2200000000000006</v>
      </c>
      <c r="D1391" s="18">
        <v>8.17</v>
      </c>
      <c r="E1391" s="18">
        <v>7.13</v>
      </c>
      <c r="F1391" s="18">
        <v>7.99</v>
      </c>
      <c r="G1391" s="18">
        <v>8.1309999999999985</v>
      </c>
      <c r="H1391" s="18">
        <v>7.9543500000000007</v>
      </c>
      <c r="I1391" s="8">
        <v>-2.4330900243311189E-3</v>
      </c>
      <c r="J1391" s="8">
        <v>3.6719706242349659E-3</v>
      </c>
      <c r="K1391" s="8">
        <v>0.15007012622720881</v>
      </c>
      <c r="L1391" s="8">
        <v>2.628285356695859E-2</v>
      </c>
      <c r="M1391" s="18">
        <v>0.17759186039407129</v>
      </c>
    </row>
    <row r="1392" spans="1:13" x14ac:dyDescent="0.45">
      <c r="A1392" t="s">
        <v>1235</v>
      </c>
      <c r="B1392" s="18">
        <v>11.96</v>
      </c>
      <c r="C1392" s="18">
        <v>12.61</v>
      </c>
      <c r="D1392" s="18">
        <v>11.47</v>
      </c>
      <c r="E1392" s="18">
        <v>10.4</v>
      </c>
      <c r="F1392" s="18"/>
      <c r="G1392" s="18">
        <v>12.0718</v>
      </c>
      <c r="H1392" s="18">
        <v>11.443199999999999</v>
      </c>
      <c r="I1392" s="8">
        <v>-5.1546391752577247E-2</v>
      </c>
      <c r="J1392" s="8">
        <v>4.2720139494333058E-2</v>
      </c>
      <c r="K1392" s="8">
        <v>0.15000000000000011</v>
      </c>
      <c r="L1392" s="8"/>
      <c r="M1392" s="18">
        <v>0.14117374774175601</v>
      </c>
    </row>
    <row r="1393" spans="1:13" x14ac:dyDescent="0.45">
      <c r="A1393" t="s">
        <v>1938</v>
      </c>
      <c r="B1393" s="18">
        <v>21.78</v>
      </c>
      <c r="C1393" s="18">
        <v>21.45</v>
      </c>
      <c r="D1393" s="18">
        <v>22.06</v>
      </c>
      <c r="E1393" s="18">
        <v>18.940000000000001</v>
      </c>
      <c r="F1393" s="18">
        <v>23.387</v>
      </c>
      <c r="G1393" s="18">
        <v>21.448</v>
      </c>
      <c r="H1393" s="18">
        <v>21.513305500000001</v>
      </c>
      <c r="I1393" s="8">
        <v>1.538461538461555E-2</v>
      </c>
      <c r="J1393" s="8">
        <v>-1.269265639165895E-2</v>
      </c>
      <c r="K1393" s="8">
        <v>0.14994720168954601</v>
      </c>
      <c r="L1393" s="8">
        <v>-6.8713387779535617E-2</v>
      </c>
      <c r="M1393" s="18">
        <v>8.3925772902966989E-2</v>
      </c>
    </row>
    <row r="1394" spans="1:13" x14ac:dyDescent="0.45">
      <c r="A1394" t="s">
        <v>2069</v>
      </c>
      <c r="B1394" s="18">
        <v>11.98</v>
      </c>
      <c r="C1394" s="18">
        <v>12.49</v>
      </c>
      <c r="D1394" s="18">
        <v>12.31</v>
      </c>
      <c r="E1394" s="18">
        <v>10.42</v>
      </c>
      <c r="F1394" s="18">
        <v>12.88</v>
      </c>
      <c r="G1394" s="18">
        <v>12.237228</v>
      </c>
      <c r="H1394" s="18">
        <v>12.000852999999999</v>
      </c>
      <c r="I1394" s="8">
        <v>-4.0832666132906259E-2</v>
      </c>
      <c r="J1394" s="8">
        <v>-2.6807473598700279E-2</v>
      </c>
      <c r="K1394" s="8">
        <v>0.14971209213051839</v>
      </c>
      <c r="L1394" s="8">
        <v>-6.9875776397515521E-2</v>
      </c>
      <c r="M1394" s="18">
        <v>1.2196176001396331E-2</v>
      </c>
    </row>
    <row r="1395" spans="1:13" x14ac:dyDescent="0.45">
      <c r="A1395" t="s">
        <v>1913</v>
      </c>
      <c r="B1395" s="18">
        <v>16.52</v>
      </c>
      <c r="C1395" s="18">
        <v>16.276</v>
      </c>
      <c r="D1395" s="18">
        <v>15.16</v>
      </c>
      <c r="E1395" s="18">
        <v>14.37</v>
      </c>
      <c r="F1395" s="18">
        <v>17.03</v>
      </c>
      <c r="G1395" s="18">
        <v>15.988498</v>
      </c>
      <c r="H1395" s="18">
        <v>15.606514499999999</v>
      </c>
      <c r="I1395" s="8">
        <v>1.4991398377979911E-2</v>
      </c>
      <c r="J1395" s="8">
        <v>8.9709762532981463E-2</v>
      </c>
      <c r="K1395" s="8">
        <v>0.1496172581767572</v>
      </c>
      <c r="L1395" s="8">
        <v>-2.9947152084556779E-2</v>
      </c>
      <c r="M1395" s="18">
        <v>0.22437126700316179</v>
      </c>
    </row>
    <row r="1396" spans="1:13" x14ac:dyDescent="0.45">
      <c r="A1396" t="s">
        <v>444</v>
      </c>
      <c r="B1396" s="18">
        <v>72.430000000000007</v>
      </c>
      <c r="C1396" s="18">
        <v>72.900000000000006</v>
      </c>
      <c r="D1396" s="18">
        <v>75.88</v>
      </c>
      <c r="E1396" s="18">
        <v>63.01</v>
      </c>
      <c r="F1396" s="18">
        <v>67.739999999999995</v>
      </c>
      <c r="G1396" s="18">
        <v>72.761200000000002</v>
      </c>
      <c r="H1396" s="18">
        <v>72.613700000000009</v>
      </c>
      <c r="I1396" s="8">
        <v>-6.4471879286693854E-3</v>
      </c>
      <c r="J1396" s="8">
        <v>-4.5466526093832171E-2</v>
      </c>
      <c r="K1396" s="8">
        <v>0.14950007935248391</v>
      </c>
      <c r="L1396" s="8">
        <v>6.9235311485090323E-2</v>
      </c>
      <c r="M1396" s="18">
        <v>0.16682167681507271</v>
      </c>
    </row>
    <row r="1397" spans="1:13" x14ac:dyDescent="0.45">
      <c r="A1397" t="s">
        <v>74</v>
      </c>
      <c r="B1397" s="18">
        <v>100.76</v>
      </c>
      <c r="C1397" s="18">
        <v>106.92</v>
      </c>
      <c r="D1397" s="18">
        <v>92.38</v>
      </c>
      <c r="E1397" s="18">
        <v>87.68</v>
      </c>
      <c r="F1397" s="18">
        <v>76.993300000000005</v>
      </c>
      <c r="G1397" s="18">
        <v>103.7277</v>
      </c>
      <c r="H1397" s="18">
        <v>92.84819499999999</v>
      </c>
      <c r="I1397" s="8">
        <v>-5.7613168724279802E-2</v>
      </c>
      <c r="J1397" s="8">
        <v>9.0712275384282393E-2</v>
      </c>
      <c r="K1397" s="8">
        <v>0.1491788321167884</v>
      </c>
      <c r="L1397" s="8">
        <v>0.30868530118854492</v>
      </c>
      <c r="M1397" s="18">
        <v>0.49096323996533592</v>
      </c>
    </row>
    <row r="1398" spans="1:13" x14ac:dyDescent="0.45">
      <c r="A1398" t="s">
        <v>1597</v>
      </c>
      <c r="B1398" s="18">
        <v>235.74</v>
      </c>
      <c r="C1398" s="18">
        <v>234.41</v>
      </c>
      <c r="D1398" s="18">
        <v>234.23</v>
      </c>
      <c r="E1398" s="18">
        <v>205.16</v>
      </c>
      <c r="F1398" s="18">
        <v>188.44</v>
      </c>
      <c r="G1398" s="18">
        <v>235.50460000000001</v>
      </c>
      <c r="H1398" s="18">
        <v>229.97810000000001</v>
      </c>
      <c r="I1398" s="8">
        <v>5.6738193763066214E-3</v>
      </c>
      <c r="J1398" s="8">
        <v>6.4466549972250764E-3</v>
      </c>
      <c r="K1398" s="8">
        <v>0.149054396568532</v>
      </c>
      <c r="L1398" s="8">
        <v>0.25100827849713442</v>
      </c>
      <c r="M1398" s="18">
        <v>0.41218314943919809</v>
      </c>
    </row>
    <row r="1399" spans="1:13" x14ac:dyDescent="0.45">
      <c r="A1399" t="s">
        <v>733</v>
      </c>
      <c r="B1399" s="18">
        <v>25.44</v>
      </c>
      <c r="C1399" s="18">
        <v>25.16</v>
      </c>
      <c r="D1399" s="18">
        <v>24.39</v>
      </c>
      <c r="E1399" s="18">
        <v>22.14</v>
      </c>
      <c r="F1399" s="18">
        <v>25.68</v>
      </c>
      <c r="G1399" s="18">
        <v>25.111654000000001</v>
      </c>
      <c r="H1399" s="18">
        <v>24.328197500000002</v>
      </c>
      <c r="I1399" s="8">
        <v>1.112877583465832E-2</v>
      </c>
      <c r="J1399" s="8">
        <v>4.3050430504305133E-2</v>
      </c>
      <c r="K1399" s="8">
        <v>0.14905149051490521</v>
      </c>
      <c r="L1399" s="8">
        <v>-9.3457943925232545E-3</v>
      </c>
      <c r="M1399" s="18">
        <v>0.1938849024613454</v>
      </c>
    </row>
    <row r="1400" spans="1:13" x14ac:dyDescent="0.45">
      <c r="A1400" t="s">
        <v>1417</v>
      </c>
      <c r="B1400" s="18">
        <v>15.65</v>
      </c>
      <c r="C1400" s="18">
        <v>15.12</v>
      </c>
      <c r="D1400" s="18">
        <v>14.37</v>
      </c>
      <c r="E1400" s="18">
        <v>13.62</v>
      </c>
      <c r="F1400" s="18">
        <v>17.21</v>
      </c>
      <c r="G1400" s="18">
        <v>14.983476</v>
      </c>
      <c r="H1400" s="18">
        <v>14.708524000000001</v>
      </c>
      <c r="I1400" s="8">
        <v>3.5052910052910217E-2</v>
      </c>
      <c r="J1400" s="8">
        <v>8.9074460681976442E-2</v>
      </c>
      <c r="K1400" s="8">
        <v>0.14904552129221749</v>
      </c>
      <c r="L1400" s="8">
        <v>-9.0644973852411437E-2</v>
      </c>
      <c r="M1400" s="18">
        <v>0.18252791817469269</v>
      </c>
    </row>
    <row r="1401" spans="1:13" x14ac:dyDescent="0.45">
      <c r="A1401" t="s">
        <v>1454</v>
      </c>
      <c r="B1401" s="18">
        <v>5.86</v>
      </c>
      <c r="C1401" s="18">
        <v>5.91</v>
      </c>
      <c r="D1401" s="18">
        <v>5.81</v>
      </c>
      <c r="E1401" s="18">
        <v>5.0999999999999996</v>
      </c>
      <c r="F1401" s="18">
        <v>5.52</v>
      </c>
      <c r="G1401" s="18">
        <v>5.8890000000000011</v>
      </c>
      <c r="H1401" s="18">
        <v>5.6605249999999998</v>
      </c>
      <c r="I1401" s="8">
        <v>-8.4602368866327771E-3</v>
      </c>
      <c r="J1401" s="8">
        <v>8.6058519793461574E-3</v>
      </c>
      <c r="K1401" s="8">
        <v>0.14901960784313739</v>
      </c>
      <c r="L1401" s="8">
        <v>6.1594202898550783E-2</v>
      </c>
      <c r="M1401" s="18">
        <v>0.21075942583440149</v>
      </c>
    </row>
    <row r="1402" spans="1:13" x14ac:dyDescent="0.45">
      <c r="A1402" t="s">
        <v>1287</v>
      </c>
      <c r="B1402" s="18">
        <v>45.52</v>
      </c>
      <c r="C1402" s="18">
        <v>45.92</v>
      </c>
      <c r="D1402" s="18">
        <v>55.46</v>
      </c>
      <c r="E1402" s="18">
        <v>39.630000000000003</v>
      </c>
      <c r="F1402" s="18">
        <v>49.94</v>
      </c>
      <c r="G1402" s="18">
        <v>46.033999999999999</v>
      </c>
      <c r="H1402" s="18">
        <v>50.908799999999999</v>
      </c>
      <c r="I1402" s="8">
        <v>-8.7108013937281514E-3</v>
      </c>
      <c r="J1402" s="8">
        <v>-0.17922827262892169</v>
      </c>
      <c r="K1402" s="8">
        <v>0.14862477920767089</v>
      </c>
      <c r="L1402" s="8">
        <v>-8.8506207448938667E-2</v>
      </c>
      <c r="M1402" s="18">
        <v>-0.12782050226391761</v>
      </c>
    </row>
    <row r="1403" spans="1:13" x14ac:dyDescent="0.45">
      <c r="A1403" t="s">
        <v>2272</v>
      </c>
      <c r="B1403" s="18">
        <v>11.23</v>
      </c>
      <c r="C1403" s="18">
        <v>10.63</v>
      </c>
      <c r="D1403" s="18">
        <v>10.55</v>
      </c>
      <c r="E1403" s="18">
        <v>9.7799999999999994</v>
      </c>
      <c r="F1403" s="18">
        <v>11.5</v>
      </c>
      <c r="G1403" s="18">
        <v>10.977600000000001</v>
      </c>
      <c r="H1403" s="18">
        <v>11.1189</v>
      </c>
      <c r="I1403" s="8">
        <v>5.6444026340545683E-2</v>
      </c>
      <c r="J1403" s="8">
        <v>6.4454976303317535E-2</v>
      </c>
      <c r="K1403" s="8">
        <v>0.1482617586912067</v>
      </c>
      <c r="L1403" s="8">
        <v>-2.3478260869565171E-2</v>
      </c>
      <c r="M1403" s="18">
        <v>0.2456825004655048</v>
      </c>
    </row>
    <row r="1404" spans="1:13" x14ac:dyDescent="0.45">
      <c r="A1404" t="s">
        <v>790</v>
      </c>
      <c r="B1404" s="18">
        <v>9.5500000000000007</v>
      </c>
      <c r="C1404" s="18">
        <v>8.27</v>
      </c>
      <c r="D1404" s="18">
        <v>11.5</v>
      </c>
      <c r="E1404" s="18">
        <v>8.32</v>
      </c>
      <c r="F1404" s="18">
        <v>9.26</v>
      </c>
      <c r="G1404" s="18">
        <v>8.8513999999999999</v>
      </c>
      <c r="H1404" s="18">
        <v>10.08615</v>
      </c>
      <c r="I1404" s="8">
        <v>0.15477629987908109</v>
      </c>
      <c r="J1404" s="8">
        <v>-0.16956521739130431</v>
      </c>
      <c r="K1404" s="8">
        <v>0.14783653846153849</v>
      </c>
      <c r="L1404" s="8">
        <v>3.1317494600431983E-2</v>
      </c>
      <c r="M1404" s="18">
        <v>0.16436511554974739</v>
      </c>
    </row>
    <row r="1405" spans="1:13" x14ac:dyDescent="0.45">
      <c r="A1405" t="s">
        <v>48</v>
      </c>
      <c r="B1405" s="18">
        <v>209.85</v>
      </c>
      <c r="C1405" s="18">
        <v>214.2</v>
      </c>
      <c r="D1405" s="18">
        <v>236.77</v>
      </c>
      <c r="E1405" s="18">
        <v>182.86</v>
      </c>
      <c r="F1405" s="18">
        <v>203.78</v>
      </c>
      <c r="G1405" s="18">
        <v>214.86080000000001</v>
      </c>
      <c r="H1405" s="18">
        <v>217.32910000000001</v>
      </c>
      <c r="I1405" s="8">
        <v>-2.0308123249299651E-2</v>
      </c>
      <c r="J1405" s="8">
        <v>-0.1136968365924738</v>
      </c>
      <c r="K1405" s="8">
        <v>0.14759925626162079</v>
      </c>
      <c r="L1405" s="8">
        <v>2.9787025223279921E-2</v>
      </c>
      <c r="M1405" s="18">
        <v>4.3381321643127357E-2</v>
      </c>
    </row>
    <row r="1406" spans="1:13" x14ac:dyDescent="0.45">
      <c r="A1406" t="s">
        <v>2280</v>
      </c>
      <c r="B1406" s="18">
        <v>22.17</v>
      </c>
      <c r="C1406" s="18">
        <v>21.06</v>
      </c>
      <c r="D1406" s="18">
        <v>22.27</v>
      </c>
      <c r="E1406" s="18">
        <v>19.32</v>
      </c>
      <c r="F1406" s="18">
        <v>30.35</v>
      </c>
      <c r="G1406" s="18">
        <v>21.323</v>
      </c>
      <c r="H1406" s="18">
        <v>23.680099999999999</v>
      </c>
      <c r="I1406" s="8">
        <v>5.2706552706552889E-2</v>
      </c>
      <c r="J1406" s="8">
        <v>-4.4903457566232152E-3</v>
      </c>
      <c r="K1406" s="8">
        <v>0.14751552795031059</v>
      </c>
      <c r="L1406" s="8">
        <v>-0.26952224052718288</v>
      </c>
      <c r="M1406" s="18">
        <v>-7.379050562694256E-2</v>
      </c>
    </row>
    <row r="1407" spans="1:13" x14ac:dyDescent="0.45">
      <c r="A1407" t="s">
        <v>429</v>
      </c>
      <c r="B1407" s="18">
        <v>58.12</v>
      </c>
      <c r="C1407" s="18">
        <v>57.32</v>
      </c>
      <c r="D1407" s="18">
        <v>55.62</v>
      </c>
      <c r="E1407" s="18">
        <v>50.65</v>
      </c>
      <c r="F1407" s="18">
        <v>49.82</v>
      </c>
      <c r="G1407" s="18">
        <v>57.329199999999993</v>
      </c>
      <c r="H1407" s="18">
        <v>54.264449999999997</v>
      </c>
      <c r="I1407" s="8">
        <v>1.395673412421483E-2</v>
      </c>
      <c r="J1407" s="8">
        <v>4.4947860481840962E-2</v>
      </c>
      <c r="K1407" s="8">
        <v>0.147482724580454</v>
      </c>
      <c r="L1407" s="8">
        <v>0.16659975913287831</v>
      </c>
      <c r="M1407" s="18">
        <v>0.37298707831938799</v>
      </c>
    </row>
    <row r="1408" spans="1:13" x14ac:dyDescent="0.45">
      <c r="A1408" t="s">
        <v>2234</v>
      </c>
      <c r="B1408" s="18">
        <v>23.13</v>
      </c>
      <c r="C1408" s="18">
        <v>23.55</v>
      </c>
      <c r="D1408" s="18">
        <v>21.76</v>
      </c>
      <c r="E1408" s="18">
        <v>20.16</v>
      </c>
      <c r="F1408" s="18">
        <v>25.01</v>
      </c>
      <c r="G1408" s="18">
        <v>22.985099999999999</v>
      </c>
      <c r="H1408" s="18">
        <v>22.101316000000001</v>
      </c>
      <c r="I1408" s="8">
        <v>-1.7834394904458709E-2</v>
      </c>
      <c r="J1408" s="8">
        <v>6.2959558823529216E-2</v>
      </c>
      <c r="K1408" s="8">
        <v>0.1473214285714286</v>
      </c>
      <c r="L1408" s="8">
        <v>-7.5169932027189246E-2</v>
      </c>
      <c r="M1408" s="18">
        <v>0.1172766604633099</v>
      </c>
    </row>
    <row r="1409" spans="1:13" x14ac:dyDescent="0.45">
      <c r="A1409" t="s">
        <v>887</v>
      </c>
      <c r="B1409" s="18">
        <v>28.35</v>
      </c>
      <c r="C1409" s="18">
        <v>30.44</v>
      </c>
      <c r="D1409" s="18">
        <v>28.2</v>
      </c>
      <c r="E1409" s="18">
        <v>24.71</v>
      </c>
      <c r="F1409" s="18">
        <v>31.05</v>
      </c>
      <c r="G1409" s="18">
        <v>28.997199999999999</v>
      </c>
      <c r="H1409" s="18">
        <v>28.15325</v>
      </c>
      <c r="I1409" s="8">
        <v>-6.865965834428378E-2</v>
      </c>
      <c r="J1409" s="8">
        <v>5.3191489361703592E-3</v>
      </c>
      <c r="K1409" s="8">
        <v>0.14730878186968829</v>
      </c>
      <c r="L1409" s="8">
        <v>-8.6956521739130377E-2</v>
      </c>
      <c r="M1409" s="18">
        <v>-2.988249277555477E-3</v>
      </c>
    </row>
    <row r="1410" spans="1:13" x14ac:dyDescent="0.45">
      <c r="A1410" t="s">
        <v>1362</v>
      </c>
      <c r="B1410" s="18">
        <v>16.05</v>
      </c>
      <c r="C1410" s="18">
        <v>16.22</v>
      </c>
      <c r="D1410" s="18">
        <v>15.54</v>
      </c>
      <c r="E1410" s="18">
        <v>13.99</v>
      </c>
      <c r="F1410" s="18">
        <v>16.399999999999999</v>
      </c>
      <c r="G1410" s="18">
        <v>15.7136</v>
      </c>
      <c r="H1410" s="18">
        <v>15.34909</v>
      </c>
      <c r="I1410" s="8">
        <v>-1.048088779284817E-2</v>
      </c>
      <c r="J1410" s="8">
        <v>3.2818532818532857E-2</v>
      </c>
      <c r="K1410" s="8">
        <v>0.1472480343102216</v>
      </c>
      <c r="L1410" s="8">
        <v>-2.1341463414634051E-2</v>
      </c>
      <c r="M1410" s="18">
        <v>0.14824421592127221</v>
      </c>
    </row>
    <row r="1411" spans="1:13" x14ac:dyDescent="0.45">
      <c r="A1411" t="s">
        <v>840</v>
      </c>
      <c r="B1411" s="18">
        <v>8.65</v>
      </c>
      <c r="C1411" s="18">
        <v>8.77</v>
      </c>
      <c r="D1411" s="18">
        <v>8.51</v>
      </c>
      <c r="E1411" s="18">
        <v>7.54</v>
      </c>
      <c r="F1411" s="18">
        <v>8.8000000000000007</v>
      </c>
      <c r="G1411" s="18">
        <v>8.6623000000000001</v>
      </c>
      <c r="H1411" s="18">
        <v>8.3244199999999999</v>
      </c>
      <c r="I1411" s="8">
        <v>-1.36830102622576E-2</v>
      </c>
      <c r="J1411" s="8">
        <v>1.6451233842538219E-2</v>
      </c>
      <c r="K1411" s="8">
        <v>0.14721485411140581</v>
      </c>
      <c r="L1411" s="8">
        <v>-1.7045454545454589E-2</v>
      </c>
      <c r="M1411" s="18">
        <v>0.13293762314623181</v>
      </c>
    </row>
    <row r="1412" spans="1:13" x14ac:dyDescent="0.45">
      <c r="A1412" t="s">
        <v>547</v>
      </c>
      <c r="B1412" s="18">
        <v>8.65</v>
      </c>
      <c r="C1412" s="18">
        <v>8.6</v>
      </c>
      <c r="D1412" s="18">
        <v>8.5500000000000007</v>
      </c>
      <c r="E1412" s="18">
        <v>7.54</v>
      </c>
      <c r="F1412" s="18">
        <v>7.18</v>
      </c>
      <c r="G1412" s="18">
        <v>8.6422000000000008</v>
      </c>
      <c r="H1412" s="18">
        <v>8.0830000000000002</v>
      </c>
      <c r="I1412" s="8">
        <v>5.8139534883721034E-3</v>
      </c>
      <c r="J1412" s="8">
        <v>1.169590643274843E-2</v>
      </c>
      <c r="K1412" s="8">
        <v>0.14721485411140581</v>
      </c>
      <c r="L1412" s="8">
        <v>0.20473537604456829</v>
      </c>
      <c r="M1412" s="18">
        <v>0.36946009007709463</v>
      </c>
    </row>
    <row r="1413" spans="1:13" x14ac:dyDescent="0.45">
      <c r="A1413" t="s">
        <v>1931</v>
      </c>
      <c r="B1413" s="18">
        <v>14.19</v>
      </c>
      <c r="C1413" s="18">
        <v>14.06</v>
      </c>
      <c r="D1413" s="18">
        <v>13.54</v>
      </c>
      <c r="E1413" s="18">
        <v>12.37</v>
      </c>
      <c r="F1413" s="18">
        <v>14.35</v>
      </c>
      <c r="G1413" s="18">
        <v>13.8682</v>
      </c>
      <c r="H1413" s="18">
        <v>13.622631999999999</v>
      </c>
      <c r="I1413" s="8">
        <v>9.2460881934566252E-3</v>
      </c>
      <c r="J1413" s="8">
        <v>4.8005908419497922E-2</v>
      </c>
      <c r="K1413" s="8">
        <v>0.14713015359741319</v>
      </c>
      <c r="L1413" s="8">
        <v>-1.1149825783972171E-2</v>
      </c>
      <c r="M1413" s="18">
        <v>0.1932323244263956</v>
      </c>
    </row>
    <row r="1414" spans="1:13" x14ac:dyDescent="0.45">
      <c r="A1414" t="s">
        <v>1173</v>
      </c>
      <c r="B1414" s="18">
        <v>119.78</v>
      </c>
      <c r="C1414" s="18">
        <v>113.96</v>
      </c>
      <c r="D1414" s="18">
        <v>128.22</v>
      </c>
      <c r="E1414" s="18">
        <v>104.48</v>
      </c>
      <c r="F1414" s="18">
        <v>103.15</v>
      </c>
      <c r="G1414" s="18">
        <v>114.93340000000001</v>
      </c>
      <c r="H1414" s="18">
        <v>120.41289999999999</v>
      </c>
      <c r="I1414" s="8">
        <v>5.107055107055114E-2</v>
      </c>
      <c r="J1414" s="8">
        <v>-6.5824364373732625E-2</v>
      </c>
      <c r="K1414" s="8">
        <v>0.14643950995405811</v>
      </c>
      <c r="L1414" s="8">
        <v>0.1612215220552593</v>
      </c>
      <c r="M1414" s="18">
        <v>0.2929072187061359</v>
      </c>
    </row>
    <row r="1415" spans="1:13" x14ac:dyDescent="0.45">
      <c r="A1415" t="s">
        <v>2187</v>
      </c>
      <c r="B1415" s="18">
        <v>35.79</v>
      </c>
      <c r="C1415" s="18">
        <v>37.659999999999997</v>
      </c>
      <c r="D1415" s="18">
        <v>35.71</v>
      </c>
      <c r="E1415" s="18">
        <v>31.22</v>
      </c>
      <c r="F1415" s="18"/>
      <c r="G1415" s="18">
        <v>36.335799999999999</v>
      </c>
      <c r="H1415" s="18"/>
      <c r="I1415" s="8">
        <v>-4.9654806160382307E-2</v>
      </c>
      <c r="J1415" s="8">
        <v>2.2402688322598059E-3</v>
      </c>
      <c r="K1415" s="8">
        <v>0.14638052530429221</v>
      </c>
      <c r="L1415" s="8"/>
      <c r="M1415" s="18">
        <v>9.8965987976169734E-2</v>
      </c>
    </row>
    <row r="1416" spans="1:13" x14ac:dyDescent="0.45">
      <c r="A1416" t="s">
        <v>929</v>
      </c>
      <c r="B1416" s="18">
        <v>9.01</v>
      </c>
      <c r="C1416" s="18">
        <v>9.8699999999999992</v>
      </c>
      <c r="D1416" s="18">
        <v>9.5299999999999994</v>
      </c>
      <c r="E1416" s="18">
        <v>7.86</v>
      </c>
      <c r="F1416" s="18">
        <v>17.25</v>
      </c>
      <c r="G1416" s="18">
        <v>9.0906000000000002</v>
      </c>
      <c r="H1416" s="18">
        <v>9.4661000000000008</v>
      </c>
      <c r="I1416" s="8">
        <v>-8.7132725430597691E-2</v>
      </c>
      <c r="J1416" s="8">
        <v>-5.4564533053515163E-2</v>
      </c>
      <c r="K1416" s="8">
        <v>0.14631043256997439</v>
      </c>
      <c r="L1416" s="8">
        <v>-0.47768115942028988</v>
      </c>
      <c r="M1416" s="18">
        <v>-0.47306798533442829</v>
      </c>
    </row>
    <row r="1417" spans="1:13" x14ac:dyDescent="0.45">
      <c r="A1417" t="s">
        <v>807</v>
      </c>
      <c r="B1417" s="18">
        <v>73.8</v>
      </c>
      <c r="C1417" s="18">
        <v>78.53</v>
      </c>
      <c r="D1417" s="18">
        <v>69.5</v>
      </c>
      <c r="E1417" s="18">
        <v>64.400000000000006</v>
      </c>
      <c r="F1417" s="18">
        <v>74.709999999999994</v>
      </c>
      <c r="G1417" s="18">
        <v>76.078999999999994</v>
      </c>
      <c r="H1417" s="18">
        <v>72.309799999999996</v>
      </c>
      <c r="I1417" s="8">
        <v>-6.0231758563606297E-2</v>
      </c>
      <c r="J1417" s="8">
        <v>6.1870503597122317E-2</v>
      </c>
      <c r="K1417" s="8">
        <v>0.14596273291925449</v>
      </c>
      <c r="L1417" s="8">
        <v>-1.21804309998661E-2</v>
      </c>
      <c r="M1417" s="18">
        <v>0.13542104695290449</v>
      </c>
    </row>
    <row r="1418" spans="1:13" x14ac:dyDescent="0.45">
      <c r="A1418" t="s">
        <v>45</v>
      </c>
      <c r="B1418" s="18">
        <v>118.25</v>
      </c>
      <c r="C1418" s="18">
        <v>115.76</v>
      </c>
      <c r="D1418" s="18">
        <v>114.54</v>
      </c>
      <c r="E1418" s="18">
        <v>103.19</v>
      </c>
      <c r="F1418" s="18">
        <v>84.59</v>
      </c>
      <c r="G1418" s="18">
        <v>114.5124</v>
      </c>
      <c r="H1418" s="18">
        <v>107.4543</v>
      </c>
      <c r="I1418" s="8">
        <v>2.1510020732550039E-2</v>
      </c>
      <c r="J1418" s="8">
        <v>3.2390431290378878E-2</v>
      </c>
      <c r="K1418" s="8">
        <v>0.1459443744548892</v>
      </c>
      <c r="L1418" s="8">
        <v>0.39791937581274373</v>
      </c>
      <c r="M1418" s="18">
        <v>0.59776420229056182</v>
      </c>
    </row>
    <row r="1419" spans="1:13" x14ac:dyDescent="0.45">
      <c r="A1419" t="s">
        <v>2113</v>
      </c>
      <c r="B1419" s="18">
        <v>9.14</v>
      </c>
      <c r="C1419" s="18">
        <v>9.23</v>
      </c>
      <c r="D1419" s="18">
        <v>9.1999999999999993</v>
      </c>
      <c r="E1419" s="18">
        <v>7.98</v>
      </c>
      <c r="F1419" s="18">
        <v>8.59</v>
      </c>
      <c r="G1419" s="18">
        <v>9.2152999999999992</v>
      </c>
      <c r="H1419" s="18">
        <v>8.9665614999999992</v>
      </c>
      <c r="I1419" s="8">
        <v>-9.750812567713929E-3</v>
      </c>
      <c r="J1419" s="8">
        <v>-6.5217391304346339E-3</v>
      </c>
      <c r="K1419" s="8">
        <v>0.14536340852130339</v>
      </c>
      <c r="L1419" s="8">
        <v>6.4027939464493588E-2</v>
      </c>
      <c r="M1419" s="18">
        <v>0.19311879628764839</v>
      </c>
    </row>
    <row r="1420" spans="1:13" x14ac:dyDescent="0.45">
      <c r="A1420" t="s">
        <v>902</v>
      </c>
      <c r="B1420" s="18">
        <v>43.44</v>
      </c>
      <c r="C1420" s="18">
        <v>44.4</v>
      </c>
      <c r="D1420" s="18">
        <v>44.27</v>
      </c>
      <c r="E1420" s="18">
        <v>37.94</v>
      </c>
      <c r="F1420" s="18">
        <v>38.840000000000003</v>
      </c>
      <c r="G1420" s="18">
        <v>44.296400000000013</v>
      </c>
      <c r="H1420" s="18">
        <v>41.826549999999997</v>
      </c>
      <c r="I1420" s="8">
        <v>-2.1621621621621619E-2</v>
      </c>
      <c r="J1420" s="8">
        <v>-1.8748588208719389E-2</v>
      </c>
      <c r="K1420" s="8">
        <v>0.1449657353716394</v>
      </c>
      <c r="L1420" s="8">
        <v>0.11843460350154469</v>
      </c>
      <c r="M1420" s="18">
        <v>0.223030129042843</v>
      </c>
    </row>
    <row r="1421" spans="1:13" x14ac:dyDescent="0.45">
      <c r="A1421" t="s">
        <v>293</v>
      </c>
      <c r="B1421" s="18">
        <v>383.79</v>
      </c>
      <c r="C1421" s="18">
        <v>415.34</v>
      </c>
      <c r="D1421" s="18">
        <v>373.3</v>
      </c>
      <c r="E1421" s="18">
        <v>335.24</v>
      </c>
      <c r="F1421" s="18">
        <v>408.36</v>
      </c>
      <c r="G1421" s="18">
        <v>402.53160000000003</v>
      </c>
      <c r="H1421" s="18">
        <v>382.31824999999998</v>
      </c>
      <c r="I1421" s="8">
        <v>-7.5961862570424143E-2</v>
      </c>
      <c r="J1421" s="8">
        <v>2.8100723278864152E-2</v>
      </c>
      <c r="K1421" s="8">
        <v>0.14482162033170279</v>
      </c>
      <c r="L1421" s="8">
        <v>-6.016749926535403E-2</v>
      </c>
      <c r="M1421" s="18">
        <v>3.6792981774788742E-2</v>
      </c>
    </row>
    <row r="1422" spans="1:13" x14ac:dyDescent="0.45">
      <c r="A1422" t="s">
        <v>2343</v>
      </c>
      <c r="B1422" s="18">
        <v>79.25</v>
      </c>
      <c r="C1422" s="18">
        <v>93.71</v>
      </c>
      <c r="D1422" s="18">
        <v>94.98</v>
      </c>
      <c r="E1422" s="18">
        <v>69.260000000000005</v>
      </c>
      <c r="F1422" s="18">
        <v>104.7</v>
      </c>
      <c r="G1422" s="18">
        <v>88.112200000000016</v>
      </c>
      <c r="H1422" s="18">
        <v>88.392250000000004</v>
      </c>
      <c r="I1422" s="8">
        <v>-0.15430583715718699</v>
      </c>
      <c r="J1422" s="8">
        <v>-0.16561381343440729</v>
      </c>
      <c r="K1422" s="8">
        <v>0.144239099047069</v>
      </c>
      <c r="L1422" s="8">
        <v>-0.2430754536771729</v>
      </c>
      <c r="M1422" s="18">
        <v>-0.4187560052216982</v>
      </c>
    </row>
    <row r="1423" spans="1:13" x14ac:dyDescent="0.45">
      <c r="A1423" t="s">
        <v>1167</v>
      </c>
      <c r="B1423" s="18">
        <v>50.29</v>
      </c>
      <c r="C1423" s="18">
        <v>52.69</v>
      </c>
      <c r="D1423" s="18">
        <v>53.76</v>
      </c>
      <c r="E1423" s="18">
        <v>43.98</v>
      </c>
      <c r="F1423" s="18">
        <v>42.89</v>
      </c>
      <c r="G1423" s="18">
        <v>52.551399999999987</v>
      </c>
      <c r="H1423" s="18">
        <v>51.992299999999993</v>
      </c>
      <c r="I1423" s="8">
        <v>-4.5549440121465112E-2</v>
      </c>
      <c r="J1423" s="8">
        <v>-6.4546130952380931E-2</v>
      </c>
      <c r="K1423" s="8">
        <v>0.14347430650295601</v>
      </c>
      <c r="L1423" s="8">
        <v>0.17253439030076939</v>
      </c>
      <c r="M1423" s="18">
        <v>0.20591312572987941</v>
      </c>
    </row>
    <row r="1424" spans="1:13" x14ac:dyDescent="0.45">
      <c r="A1424" t="s">
        <v>2283</v>
      </c>
      <c r="B1424" s="18">
        <v>39.380000000000003</v>
      </c>
      <c r="C1424" s="18">
        <v>38.56</v>
      </c>
      <c r="D1424" s="18">
        <v>39.47</v>
      </c>
      <c r="E1424" s="18">
        <v>34.47</v>
      </c>
      <c r="F1424" s="18">
        <v>23.3</v>
      </c>
      <c r="G1424" s="18">
        <v>38.762999999999998</v>
      </c>
      <c r="H1424" s="18">
        <v>36.545499999999997</v>
      </c>
      <c r="I1424" s="8">
        <v>2.1265560165975032E-2</v>
      </c>
      <c r="J1424" s="8">
        <v>-2.280212819863126E-3</v>
      </c>
      <c r="K1424" s="8">
        <v>0.14244270380040641</v>
      </c>
      <c r="L1424" s="8">
        <v>0.690128755364807</v>
      </c>
      <c r="M1424" s="18">
        <v>0.85155680651132526</v>
      </c>
    </row>
    <row r="1425" spans="1:13" x14ac:dyDescent="0.45">
      <c r="A1425" t="s">
        <v>2095</v>
      </c>
      <c r="B1425" s="18">
        <v>4.66</v>
      </c>
      <c r="C1425" s="18">
        <v>4.7699999999999996</v>
      </c>
      <c r="D1425" s="18">
        <v>5.18</v>
      </c>
      <c r="E1425" s="18">
        <v>4.08</v>
      </c>
      <c r="F1425" s="18">
        <v>4.53</v>
      </c>
      <c r="G1425" s="18">
        <v>4.7572000000000001</v>
      </c>
      <c r="H1425" s="18">
        <v>4.8983499999999998</v>
      </c>
      <c r="I1425" s="8">
        <v>-2.3060796645702149E-2</v>
      </c>
      <c r="J1425" s="8">
        <v>-0.1003861003861003</v>
      </c>
      <c r="K1425" s="8">
        <v>0.14215686274509801</v>
      </c>
      <c r="L1425" s="8">
        <v>2.8697571743929281E-2</v>
      </c>
      <c r="M1425" s="18">
        <v>4.7407537457224813E-2</v>
      </c>
    </row>
    <row r="1426" spans="1:13" x14ac:dyDescent="0.45">
      <c r="A1426" t="s">
        <v>908</v>
      </c>
      <c r="B1426" s="18">
        <v>1.77</v>
      </c>
      <c r="C1426" s="18">
        <v>1.7699</v>
      </c>
      <c r="D1426" s="18">
        <v>1.7549999999999999</v>
      </c>
      <c r="E1426" s="18">
        <v>1.55</v>
      </c>
      <c r="F1426" s="18">
        <v>1.7849999999999999</v>
      </c>
      <c r="G1426" s="18">
        <v>1.7612920000000001</v>
      </c>
      <c r="H1426" s="18">
        <v>1.7246710000000001</v>
      </c>
      <c r="I1426" s="8">
        <v>5.6500367252354522E-5</v>
      </c>
      <c r="J1426" s="8">
        <v>8.5470085470085166E-3</v>
      </c>
      <c r="K1426" s="8">
        <v>0.14193548387096769</v>
      </c>
      <c r="L1426" s="8">
        <v>-8.4033613445377853E-3</v>
      </c>
      <c r="M1426" s="18">
        <v>0.14213563144069069</v>
      </c>
    </row>
    <row r="1427" spans="1:13" x14ac:dyDescent="0.45">
      <c r="A1427" t="s">
        <v>2288</v>
      </c>
      <c r="B1427" s="18">
        <v>4.99</v>
      </c>
      <c r="C1427" s="18">
        <v>5.37</v>
      </c>
      <c r="D1427" s="18">
        <v>5.2</v>
      </c>
      <c r="E1427" s="18">
        <v>4.37</v>
      </c>
      <c r="F1427" s="18">
        <v>4.75</v>
      </c>
      <c r="G1427" s="18">
        <v>5.2964000000000002</v>
      </c>
      <c r="H1427" s="18">
        <v>4.8564499999999997</v>
      </c>
      <c r="I1427" s="8">
        <v>-7.0763500931098622E-2</v>
      </c>
      <c r="J1427" s="8">
        <v>-4.0384615384615352E-2</v>
      </c>
      <c r="K1427" s="8">
        <v>0.14187643020594959</v>
      </c>
      <c r="L1427" s="8">
        <v>5.0526315789473752E-2</v>
      </c>
      <c r="M1427" s="18">
        <v>8.1254629679709423E-2</v>
      </c>
    </row>
    <row r="1428" spans="1:13" x14ac:dyDescent="0.45">
      <c r="A1428" t="s">
        <v>1558</v>
      </c>
      <c r="B1428" s="18">
        <v>22.3</v>
      </c>
      <c r="C1428" s="18">
        <v>22.74</v>
      </c>
      <c r="D1428" s="18">
        <v>22.49</v>
      </c>
      <c r="E1428" s="18">
        <v>19.53</v>
      </c>
      <c r="F1428" s="18">
        <v>25.93</v>
      </c>
      <c r="G1428" s="18">
        <v>22.169</v>
      </c>
      <c r="H1428" s="18">
        <v>22.494</v>
      </c>
      <c r="I1428" s="8">
        <v>-1.934916446789792E-2</v>
      </c>
      <c r="J1428" s="8">
        <v>-8.4481991996442352E-3</v>
      </c>
      <c r="K1428" s="8">
        <v>0.1418330773169483</v>
      </c>
      <c r="L1428" s="8">
        <v>-0.13999228692634011</v>
      </c>
      <c r="M1428" s="18">
        <v>-2.5956573276934011E-2</v>
      </c>
    </row>
    <row r="1429" spans="1:13" x14ac:dyDescent="0.45">
      <c r="A1429" t="s">
        <v>2002</v>
      </c>
      <c r="B1429" s="18">
        <v>20.87</v>
      </c>
      <c r="C1429" s="18">
        <v>20.462</v>
      </c>
      <c r="D1429" s="18">
        <v>20.329999999999998</v>
      </c>
      <c r="E1429" s="18">
        <v>18.28</v>
      </c>
      <c r="F1429" s="18">
        <v>21.37</v>
      </c>
      <c r="G1429" s="18">
        <v>20.632193999999998</v>
      </c>
      <c r="H1429" s="18">
        <v>20.024588000000001</v>
      </c>
      <c r="I1429" s="8">
        <v>1.9939399863160959E-2</v>
      </c>
      <c r="J1429" s="8">
        <v>2.6561731431382411E-2</v>
      </c>
      <c r="K1429" s="8">
        <v>0.14168490153172869</v>
      </c>
      <c r="L1429" s="8">
        <v>-2.3397285914833921E-2</v>
      </c>
      <c r="M1429" s="18">
        <v>0.16478874691143819</v>
      </c>
    </row>
    <row r="1430" spans="1:13" x14ac:dyDescent="0.45">
      <c r="A1430" t="s">
        <v>879</v>
      </c>
      <c r="B1430" s="18">
        <v>5.48</v>
      </c>
      <c r="C1430" s="18">
        <v>5.47</v>
      </c>
      <c r="D1430" s="18">
        <v>5.6044</v>
      </c>
      <c r="E1430" s="18">
        <v>4.8</v>
      </c>
      <c r="F1430" s="18">
        <v>6.52</v>
      </c>
      <c r="G1430" s="18">
        <v>5.523282</v>
      </c>
      <c r="H1430" s="18">
        <v>5.3957480650000003</v>
      </c>
      <c r="I1430" s="8">
        <v>1.8281535648996261E-3</v>
      </c>
      <c r="J1430" s="8">
        <v>-2.2196845335807461E-2</v>
      </c>
      <c r="K1430" s="8">
        <v>0.1416666666666668</v>
      </c>
      <c r="L1430" s="8">
        <v>-0.15950920245398759</v>
      </c>
      <c r="M1430" s="18">
        <v>-3.8211227558228589E-2</v>
      </c>
    </row>
    <row r="1431" spans="1:13" x14ac:dyDescent="0.45">
      <c r="A1431" t="s">
        <v>1027</v>
      </c>
      <c r="B1431" s="18">
        <v>31.54</v>
      </c>
      <c r="C1431" s="18">
        <v>31.64</v>
      </c>
      <c r="D1431" s="18">
        <v>38.28</v>
      </c>
      <c r="E1431" s="18">
        <v>27.63</v>
      </c>
      <c r="F1431" s="18">
        <v>36.94</v>
      </c>
      <c r="G1431" s="18">
        <v>31.893599999999999</v>
      </c>
      <c r="H1431" s="18">
        <v>33.659550000000003</v>
      </c>
      <c r="I1431" s="8">
        <v>-3.160556257901459E-3</v>
      </c>
      <c r="J1431" s="8">
        <v>-0.17607105538140019</v>
      </c>
      <c r="K1431" s="8">
        <v>0.1415128483532393</v>
      </c>
      <c r="L1431" s="8">
        <v>-0.14618299945858149</v>
      </c>
      <c r="M1431" s="18">
        <v>-0.1839017627446439</v>
      </c>
    </row>
    <row r="1432" spans="1:13" x14ac:dyDescent="0.45">
      <c r="A1432" t="s">
        <v>1094</v>
      </c>
      <c r="B1432" s="18">
        <v>5.18</v>
      </c>
      <c r="C1432" s="18">
        <v>5.64</v>
      </c>
      <c r="D1432" s="18">
        <v>5.92</v>
      </c>
      <c r="E1432" s="18">
        <v>4.54</v>
      </c>
      <c r="F1432" s="18">
        <v>6.77</v>
      </c>
      <c r="G1432" s="18">
        <v>5.6493999999999991</v>
      </c>
      <c r="H1432" s="18">
        <v>5.8684500000000002</v>
      </c>
      <c r="I1432" s="8">
        <v>-8.1560283687943214E-2</v>
      </c>
      <c r="J1432" s="8">
        <v>-0.125</v>
      </c>
      <c r="K1432" s="8">
        <v>0.1409691629955947</v>
      </c>
      <c r="L1432" s="8">
        <v>-0.23485967503692759</v>
      </c>
      <c r="M1432" s="18">
        <v>-0.30045079572927608</v>
      </c>
    </row>
    <row r="1433" spans="1:13" x14ac:dyDescent="0.45">
      <c r="A1433" t="s">
        <v>2153</v>
      </c>
      <c r="B1433" s="18">
        <v>21.98</v>
      </c>
      <c r="C1433" s="18">
        <v>21.87</v>
      </c>
      <c r="D1433" s="18">
        <v>21.2</v>
      </c>
      <c r="E1433" s="18">
        <v>19.27</v>
      </c>
      <c r="F1433" s="18">
        <v>23.34</v>
      </c>
      <c r="G1433" s="18">
        <v>21.447697999999999</v>
      </c>
      <c r="H1433" s="18">
        <v>21.040104320000001</v>
      </c>
      <c r="I1433" s="8">
        <v>5.0297210791037106E-3</v>
      </c>
      <c r="J1433" s="8">
        <v>3.6792452830188838E-2</v>
      </c>
      <c r="K1433" s="8">
        <v>0.14063310845874419</v>
      </c>
      <c r="L1433" s="8">
        <v>-5.8269065981148227E-2</v>
      </c>
      <c r="M1433" s="18">
        <v>0.1241862163868885</v>
      </c>
    </row>
    <row r="1434" spans="1:13" x14ac:dyDescent="0.45">
      <c r="A1434" t="s">
        <v>1293</v>
      </c>
      <c r="B1434" s="18">
        <v>12.03</v>
      </c>
      <c r="C1434" s="18">
        <v>11.92</v>
      </c>
      <c r="D1434" s="18">
        <v>11.75</v>
      </c>
      <c r="E1434" s="18">
        <v>10.55</v>
      </c>
      <c r="F1434" s="18">
        <v>12.6</v>
      </c>
      <c r="G1434" s="18">
        <v>11.94449</v>
      </c>
      <c r="H1434" s="18">
        <v>11.5329175</v>
      </c>
      <c r="I1434" s="8">
        <v>9.2281879194631156E-3</v>
      </c>
      <c r="J1434" s="8">
        <v>2.3829787234042499E-2</v>
      </c>
      <c r="K1434" s="8">
        <v>0.14028436018957341</v>
      </c>
      <c r="L1434" s="8">
        <v>-4.5238095238095299E-2</v>
      </c>
      <c r="M1434" s="18">
        <v>0.1281042401049837</v>
      </c>
    </row>
    <row r="1435" spans="1:13" x14ac:dyDescent="0.45">
      <c r="A1435" t="s">
        <v>2025</v>
      </c>
      <c r="B1435" s="18">
        <v>10.11</v>
      </c>
      <c r="C1435" s="18">
        <v>10.31</v>
      </c>
      <c r="D1435" s="18">
        <v>9.6616999999999997</v>
      </c>
      <c r="E1435" s="18">
        <v>8.8699999999999992</v>
      </c>
      <c r="F1435" s="18">
        <v>13.4649</v>
      </c>
      <c r="G1435" s="18">
        <v>10.277176000000001</v>
      </c>
      <c r="H1435" s="18">
        <v>10.295037000000001</v>
      </c>
      <c r="I1435" s="8">
        <v>-1.939864209505349E-2</v>
      </c>
      <c r="J1435" s="8">
        <v>4.6399701915811997E-2</v>
      </c>
      <c r="K1435" s="8">
        <v>0.13979706877113871</v>
      </c>
      <c r="L1435" s="8">
        <v>-0.2491589243143284</v>
      </c>
      <c r="M1435" s="18">
        <v>-8.2360795722431157E-2</v>
      </c>
    </row>
    <row r="1436" spans="1:13" x14ac:dyDescent="0.45">
      <c r="A1436" t="s">
        <v>492</v>
      </c>
      <c r="B1436" s="18">
        <v>351.36</v>
      </c>
      <c r="C1436" s="18">
        <v>343.99</v>
      </c>
      <c r="D1436" s="18">
        <v>355.88</v>
      </c>
      <c r="E1436" s="18">
        <v>308.27</v>
      </c>
      <c r="F1436" s="18">
        <v>277.93</v>
      </c>
      <c r="G1436" s="18">
        <v>343.67439999999988</v>
      </c>
      <c r="H1436" s="18">
        <v>343.50810000000001</v>
      </c>
      <c r="I1436" s="8">
        <v>2.1425041425622959E-2</v>
      </c>
      <c r="J1436" s="8">
        <v>-1.2700910419242369E-2</v>
      </c>
      <c r="K1436" s="8">
        <v>0.1397800629318455</v>
      </c>
      <c r="L1436" s="8">
        <v>0.26420321663728269</v>
      </c>
      <c r="M1436" s="18">
        <v>0.41270741057550892</v>
      </c>
    </row>
    <row r="1437" spans="1:13" x14ac:dyDescent="0.45">
      <c r="A1437" t="s">
        <v>918</v>
      </c>
      <c r="B1437" s="18">
        <v>12.08</v>
      </c>
      <c r="C1437" s="18">
        <v>12.81</v>
      </c>
      <c r="D1437" s="18">
        <v>12.94</v>
      </c>
      <c r="E1437" s="18">
        <v>10.6</v>
      </c>
      <c r="F1437" s="18">
        <v>19.82</v>
      </c>
      <c r="G1437" s="18">
        <v>11.588800000000001</v>
      </c>
      <c r="H1437" s="18">
        <v>13.498200000000001</v>
      </c>
      <c r="I1437" s="8">
        <v>-5.6986729117876722E-2</v>
      </c>
      <c r="J1437" s="8">
        <v>-6.6460587326120479E-2</v>
      </c>
      <c r="K1437" s="8">
        <v>0.1396226415094339</v>
      </c>
      <c r="L1437" s="8">
        <v>-0.39051463168516648</v>
      </c>
      <c r="M1437" s="18">
        <v>-0.37433930661972981</v>
      </c>
    </row>
    <row r="1438" spans="1:13" x14ac:dyDescent="0.45">
      <c r="A1438" t="s">
        <v>2089</v>
      </c>
      <c r="B1438" s="18">
        <v>12.33</v>
      </c>
      <c r="C1438" s="18">
        <v>12.5</v>
      </c>
      <c r="D1438" s="18">
        <v>12.44</v>
      </c>
      <c r="E1438" s="18">
        <v>10.82</v>
      </c>
      <c r="F1438" s="18">
        <v>13.77</v>
      </c>
      <c r="G1438" s="18">
        <v>12.4026</v>
      </c>
      <c r="H1438" s="18">
        <v>12.416550000000001</v>
      </c>
      <c r="I1438" s="8">
        <v>-1.3599999999999951E-2</v>
      </c>
      <c r="J1438" s="8">
        <v>-8.8424437299035041E-3</v>
      </c>
      <c r="K1438" s="8">
        <v>0.13955637707948229</v>
      </c>
      <c r="L1438" s="8">
        <v>-0.1045751633986928</v>
      </c>
      <c r="M1438" s="18">
        <v>1.2538769950886101E-2</v>
      </c>
    </row>
    <row r="1439" spans="1:13" x14ac:dyDescent="0.45">
      <c r="A1439" t="s">
        <v>1947</v>
      </c>
      <c r="B1439" s="18">
        <v>9.7200000000000006</v>
      </c>
      <c r="C1439" s="18">
        <v>9.5</v>
      </c>
      <c r="D1439" s="18">
        <v>9.27</v>
      </c>
      <c r="E1439" s="18">
        <v>8.5299999999999994</v>
      </c>
      <c r="F1439" s="18">
        <v>9.41</v>
      </c>
      <c r="G1439" s="18">
        <v>9.4865019999999998</v>
      </c>
      <c r="H1439" s="18">
        <v>9.1720120000000005</v>
      </c>
      <c r="I1439" s="8">
        <v>2.315789473684227E-2</v>
      </c>
      <c r="J1439" s="8">
        <v>4.854368932038855E-2</v>
      </c>
      <c r="K1439" s="8">
        <v>0.13950762016412679</v>
      </c>
      <c r="L1439" s="8">
        <v>3.2943676939426243E-2</v>
      </c>
      <c r="M1439" s="18">
        <v>0.24415288116078379</v>
      </c>
    </row>
    <row r="1440" spans="1:13" x14ac:dyDescent="0.45">
      <c r="A1440" t="s">
        <v>1453</v>
      </c>
      <c r="B1440" s="18">
        <v>9.9700000000000006</v>
      </c>
      <c r="C1440" s="18">
        <v>9.8800000000000008</v>
      </c>
      <c r="D1440" s="18">
        <v>9.84</v>
      </c>
      <c r="E1440" s="18">
        <v>8.75</v>
      </c>
      <c r="F1440" s="18">
        <v>9.3019999999999996</v>
      </c>
      <c r="G1440" s="18">
        <v>9.8500999999999994</v>
      </c>
      <c r="H1440" s="18">
        <v>9.709006500000001</v>
      </c>
      <c r="I1440" s="8">
        <v>9.109311740890691E-3</v>
      </c>
      <c r="J1440" s="8">
        <v>1.3211382113821109E-2</v>
      </c>
      <c r="K1440" s="8">
        <v>0.13942857142857151</v>
      </c>
      <c r="L1440" s="8">
        <v>7.1812513437970349E-2</v>
      </c>
      <c r="M1440" s="18">
        <v>0.23356177872125361</v>
      </c>
    </row>
    <row r="1441" spans="1:13" x14ac:dyDescent="0.45">
      <c r="A1441" t="s">
        <v>868</v>
      </c>
      <c r="B1441" s="18">
        <v>16.690000000000001</v>
      </c>
      <c r="C1441" s="18">
        <v>17.03</v>
      </c>
      <c r="D1441" s="18">
        <v>17.739999999999998</v>
      </c>
      <c r="E1441" s="18">
        <v>14.65</v>
      </c>
      <c r="F1441" s="18">
        <v>15.01</v>
      </c>
      <c r="G1441" s="18">
        <v>16.925000000000001</v>
      </c>
      <c r="H1441" s="18">
        <v>16.3386</v>
      </c>
      <c r="I1441" s="8">
        <v>-1.9964768056371152E-2</v>
      </c>
      <c r="J1441" s="8">
        <v>-5.9188275084554487E-2</v>
      </c>
      <c r="K1441" s="8">
        <v>0.1392491467576793</v>
      </c>
      <c r="L1441" s="8">
        <v>0.1119253830779481</v>
      </c>
      <c r="M1441" s="18">
        <v>0.17202148669470169</v>
      </c>
    </row>
    <row r="1442" spans="1:13" x14ac:dyDescent="0.45">
      <c r="A1442" t="s">
        <v>813</v>
      </c>
      <c r="B1442" s="18">
        <v>5.17</v>
      </c>
      <c r="C1442" s="18">
        <v>5.88</v>
      </c>
      <c r="D1442" s="18">
        <v>5.0999999999999996</v>
      </c>
      <c r="E1442" s="18">
        <v>4.54</v>
      </c>
      <c r="F1442" s="18">
        <v>5.51</v>
      </c>
      <c r="G1442" s="18">
        <v>5.5836000000000006</v>
      </c>
      <c r="H1442" s="18">
        <v>5.4524999999999997</v>
      </c>
      <c r="I1442" s="8">
        <v>-0.1207482993197279</v>
      </c>
      <c r="J1442" s="8">
        <v>1.3725490196078379E-2</v>
      </c>
      <c r="K1442" s="8">
        <v>0.1387665198237886</v>
      </c>
      <c r="L1442" s="8">
        <v>-6.1705989110707793E-2</v>
      </c>
      <c r="M1442" s="18">
        <v>-2.996227841056864E-2</v>
      </c>
    </row>
    <row r="1443" spans="1:13" x14ac:dyDescent="0.45">
      <c r="A1443" t="s">
        <v>560</v>
      </c>
      <c r="B1443" s="18">
        <v>19.0244</v>
      </c>
      <c r="C1443" s="18">
        <v>18.350000000000001</v>
      </c>
      <c r="D1443" s="18">
        <v>17.440000000000001</v>
      </c>
      <c r="E1443" s="18">
        <v>16.71</v>
      </c>
      <c r="F1443" s="18">
        <v>20.27</v>
      </c>
      <c r="G1443" s="18">
        <v>18.1110878</v>
      </c>
      <c r="H1443" s="18">
        <v>17.508909450000001</v>
      </c>
      <c r="I1443" s="8">
        <v>3.6752043596730122E-2</v>
      </c>
      <c r="J1443" s="8">
        <v>9.0848623853210908E-2</v>
      </c>
      <c r="K1443" s="8">
        <v>0.13850388988629561</v>
      </c>
      <c r="L1443" s="8">
        <v>-6.1450419338924478E-2</v>
      </c>
      <c r="M1443" s="18">
        <v>0.20465413799731211</v>
      </c>
    </row>
    <row r="1444" spans="1:13" x14ac:dyDescent="0.45">
      <c r="A1444" t="s">
        <v>328</v>
      </c>
      <c r="B1444" s="18">
        <v>21.29</v>
      </c>
      <c r="C1444" s="18">
        <v>22.36</v>
      </c>
      <c r="D1444" s="18">
        <v>21.37</v>
      </c>
      <c r="E1444" s="18">
        <v>18.7</v>
      </c>
      <c r="F1444" s="18">
        <v>22.94</v>
      </c>
      <c r="G1444" s="18">
        <v>21.767600000000002</v>
      </c>
      <c r="H1444" s="18">
        <v>21.510149999999999</v>
      </c>
      <c r="I1444" s="8">
        <v>-4.7853309481216473E-2</v>
      </c>
      <c r="J1444" s="8">
        <v>-3.7435657463734669E-3</v>
      </c>
      <c r="K1444" s="8">
        <v>0.1385026737967914</v>
      </c>
      <c r="L1444" s="8">
        <v>-7.1926765475152643E-2</v>
      </c>
      <c r="M1444" s="18">
        <v>1.4979033094048799E-2</v>
      </c>
    </row>
    <row r="1445" spans="1:13" x14ac:dyDescent="0.45">
      <c r="A1445" t="s">
        <v>741</v>
      </c>
      <c r="B1445" s="18">
        <v>15.3</v>
      </c>
      <c r="C1445" s="18">
        <v>16.55</v>
      </c>
      <c r="D1445" s="18">
        <v>15.84</v>
      </c>
      <c r="E1445" s="18">
        <v>13.44</v>
      </c>
      <c r="F1445" s="18">
        <v>15.16</v>
      </c>
      <c r="G1445" s="18">
        <v>16.094000000000001</v>
      </c>
      <c r="H1445" s="18">
        <v>15.439524499999999</v>
      </c>
      <c r="I1445" s="8">
        <v>-7.5528700906344448E-2</v>
      </c>
      <c r="J1445" s="8">
        <v>-3.4090909090909061E-2</v>
      </c>
      <c r="K1445" s="8">
        <v>0.13839285714285721</v>
      </c>
      <c r="L1445" s="8">
        <v>9.23482849604218E-3</v>
      </c>
      <c r="M1445" s="18">
        <v>3.8008075641645878E-2</v>
      </c>
    </row>
    <row r="1446" spans="1:13" x14ac:dyDescent="0.45">
      <c r="A1446" t="s">
        <v>1220</v>
      </c>
      <c r="B1446" s="18">
        <v>16.7</v>
      </c>
      <c r="C1446" s="18">
        <v>16.45</v>
      </c>
      <c r="D1446" s="18">
        <v>16.53</v>
      </c>
      <c r="E1446" s="18">
        <v>14.67</v>
      </c>
      <c r="F1446" s="18">
        <v>16.27</v>
      </c>
      <c r="G1446" s="18">
        <v>16.4908</v>
      </c>
      <c r="H1446" s="18">
        <v>15.9941</v>
      </c>
      <c r="I1446" s="8">
        <v>1.519756838905773E-2</v>
      </c>
      <c r="J1446" s="8">
        <v>1.02843315184511E-2</v>
      </c>
      <c r="K1446" s="8">
        <v>0.1383776414451261</v>
      </c>
      <c r="L1446" s="8">
        <v>2.6429010448678621E-2</v>
      </c>
      <c r="M1446" s="18">
        <v>0.19028855180131349</v>
      </c>
    </row>
    <row r="1447" spans="1:13" x14ac:dyDescent="0.45">
      <c r="A1447" t="s">
        <v>2339</v>
      </c>
      <c r="B1447" s="18">
        <v>58.26</v>
      </c>
      <c r="C1447" s="18">
        <v>57.7</v>
      </c>
      <c r="D1447" s="18">
        <v>57.65</v>
      </c>
      <c r="E1447" s="18">
        <v>51.18</v>
      </c>
      <c r="F1447" s="18">
        <v>65.75</v>
      </c>
      <c r="G1447" s="18">
        <v>56.7896</v>
      </c>
      <c r="H1447" s="18">
        <v>59.450299999999999</v>
      </c>
      <c r="I1447" s="8">
        <v>9.7053726169842314E-3</v>
      </c>
      <c r="J1447" s="8">
        <v>1.0581092801387641E-2</v>
      </c>
      <c r="K1447" s="8">
        <v>0.13833528722157079</v>
      </c>
      <c r="L1447" s="8">
        <v>-0.11391634980988601</v>
      </c>
      <c r="M1447" s="18">
        <v>4.4705402830056751E-2</v>
      </c>
    </row>
    <row r="1448" spans="1:13" x14ac:dyDescent="0.45">
      <c r="A1448" t="s">
        <v>1042</v>
      </c>
      <c r="B1448" s="18">
        <v>14.9</v>
      </c>
      <c r="C1448" s="18">
        <v>16.100000000000001</v>
      </c>
      <c r="D1448" s="18">
        <v>16.059999999999999</v>
      </c>
      <c r="E1448" s="18">
        <v>13.09</v>
      </c>
      <c r="F1448" s="18">
        <v>17.940000000000001</v>
      </c>
      <c r="G1448" s="18">
        <v>15.5692</v>
      </c>
      <c r="H1448" s="18">
        <v>15.77075</v>
      </c>
      <c r="I1448" s="8">
        <v>-7.4534161490683259E-2</v>
      </c>
      <c r="J1448" s="8">
        <v>-7.2229140722291363E-2</v>
      </c>
      <c r="K1448" s="8">
        <v>0.1382734912146677</v>
      </c>
      <c r="L1448" s="8">
        <v>-0.16945373467112601</v>
      </c>
      <c r="M1448" s="18">
        <v>-0.17794354566943291</v>
      </c>
    </row>
    <row r="1449" spans="1:13" x14ac:dyDescent="0.45">
      <c r="A1449" t="s">
        <v>1138</v>
      </c>
      <c r="B1449" s="18">
        <v>16.72</v>
      </c>
      <c r="C1449" s="18">
        <v>17.18</v>
      </c>
      <c r="D1449" s="18">
        <v>16.29</v>
      </c>
      <c r="E1449" s="18">
        <v>14.69</v>
      </c>
      <c r="F1449" s="18">
        <v>17.18</v>
      </c>
      <c r="G1449" s="18">
        <v>16.727399999999999</v>
      </c>
      <c r="H1449" s="18">
        <v>16.160049999999998</v>
      </c>
      <c r="I1449" s="8">
        <v>-2.6775320139697412E-2</v>
      </c>
      <c r="J1449" s="8">
        <v>2.6396562308164562E-2</v>
      </c>
      <c r="K1449" s="8">
        <v>0.13818924438393451</v>
      </c>
      <c r="L1449" s="8">
        <v>-2.6775320139697412E-2</v>
      </c>
      <c r="M1449" s="18">
        <v>0.11103516641270431</v>
      </c>
    </row>
    <row r="1450" spans="1:13" x14ac:dyDescent="0.45">
      <c r="A1450" t="s">
        <v>872</v>
      </c>
      <c r="B1450" s="18">
        <v>57.91</v>
      </c>
      <c r="C1450" s="18">
        <v>59.13</v>
      </c>
      <c r="D1450" s="18">
        <v>59.5</v>
      </c>
      <c r="E1450" s="18">
        <v>50.88</v>
      </c>
      <c r="F1450" s="18">
        <v>58.17</v>
      </c>
      <c r="G1450" s="18">
        <v>58.138599999999997</v>
      </c>
      <c r="H1450" s="18">
        <v>58.561300000000003</v>
      </c>
      <c r="I1450" s="8">
        <v>-2.0632504650769601E-2</v>
      </c>
      <c r="J1450" s="8">
        <v>-2.672268907563036E-2</v>
      </c>
      <c r="K1450" s="8">
        <v>0.1381682389937107</v>
      </c>
      <c r="L1450" s="8">
        <v>-4.4696578992609037E-3</v>
      </c>
      <c r="M1450" s="18">
        <v>8.6343387368049807E-2</v>
      </c>
    </row>
    <row r="1451" spans="1:13" x14ac:dyDescent="0.45">
      <c r="A1451" t="s">
        <v>511</v>
      </c>
      <c r="B1451" s="18">
        <v>343.76</v>
      </c>
      <c r="C1451" s="18">
        <v>329.48</v>
      </c>
      <c r="D1451" s="18">
        <v>309.82</v>
      </c>
      <c r="E1451" s="18">
        <v>302.06</v>
      </c>
      <c r="F1451" s="18">
        <v>290.69</v>
      </c>
      <c r="G1451" s="18">
        <v>333.2165</v>
      </c>
      <c r="H1451" s="18">
        <v>320.54275000000001</v>
      </c>
      <c r="I1451" s="8">
        <v>4.3341022216826453E-2</v>
      </c>
      <c r="J1451" s="8">
        <v>0.1095474791814601</v>
      </c>
      <c r="K1451" s="8">
        <v>0.13805204264053489</v>
      </c>
      <c r="L1451" s="8">
        <v>0.18256561973236091</v>
      </c>
      <c r="M1451" s="18">
        <v>0.47350616377118238</v>
      </c>
    </row>
    <row r="1452" spans="1:13" x14ac:dyDescent="0.45">
      <c r="A1452" t="s">
        <v>159</v>
      </c>
      <c r="B1452" s="18">
        <v>129.54</v>
      </c>
      <c r="C1452" s="18">
        <v>140.44999999999999</v>
      </c>
      <c r="D1452" s="18">
        <v>135.12</v>
      </c>
      <c r="E1452" s="18">
        <v>113.83</v>
      </c>
      <c r="F1452" s="18">
        <v>192.28</v>
      </c>
      <c r="G1452" s="18">
        <v>133.25980000000001</v>
      </c>
      <c r="H1452" s="18">
        <v>131.57565</v>
      </c>
      <c r="I1452" s="8">
        <v>-7.7678889284442887E-2</v>
      </c>
      <c r="J1452" s="8">
        <v>-4.129662522202493E-2</v>
      </c>
      <c r="K1452" s="8">
        <v>0.13801282614425009</v>
      </c>
      <c r="L1452" s="8">
        <v>-0.32629498647805288</v>
      </c>
      <c r="M1452" s="18">
        <v>-0.30725767484027061</v>
      </c>
    </row>
    <row r="1453" spans="1:13" x14ac:dyDescent="0.45">
      <c r="A1453" t="s">
        <v>1447</v>
      </c>
      <c r="B1453" s="18">
        <v>6.44</v>
      </c>
      <c r="C1453" s="18">
        <v>6.1</v>
      </c>
      <c r="D1453" s="18">
        <v>7.08</v>
      </c>
      <c r="E1453" s="18">
        <v>5.66</v>
      </c>
      <c r="F1453" s="18">
        <v>4.16</v>
      </c>
      <c r="G1453" s="18">
        <v>6.1974</v>
      </c>
      <c r="H1453" s="18">
        <v>6.2287999999999997</v>
      </c>
      <c r="I1453" s="8">
        <v>5.5737704918032982E-2</v>
      </c>
      <c r="J1453" s="8">
        <v>-9.0395480225988645E-2</v>
      </c>
      <c r="K1453" s="8">
        <v>0.13780918727915201</v>
      </c>
      <c r="L1453" s="8">
        <v>0.54807692307692313</v>
      </c>
      <c r="M1453" s="18">
        <v>0.6512283350481195</v>
      </c>
    </row>
    <row r="1454" spans="1:13" x14ac:dyDescent="0.45">
      <c r="A1454" t="s">
        <v>616</v>
      </c>
      <c r="B1454" s="18">
        <v>76.150000000000006</v>
      </c>
      <c r="C1454" s="18">
        <v>95.12</v>
      </c>
      <c r="D1454" s="18">
        <v>88.24</v>
      </c>
      <c r="E1454" s="18">
        <v>66.94</v>
      </c>
      <c r="F1454" s="18">
        <v>146.32</v>
      </c>
      <c r="G1454" s="18">
        <v>92.401399999999995</v>
      </c>
      <c r="H1454" s="18">
        <v>94.228450000000009</v>
      </c>
      <c r="I1454" s="8">
        <v>-0.19943229604709831</v>
      </c>
      <c r="J1454" s="8">
        <v>-0.1370126926563916</v>
      </c>
      <c r="K1454" s="8">
        <v>0.1375858978189424</v>
      </c>
      <c r="L1454" s="8">
        <v>-0.47956533624931652</v>
      </c>
      <c r="M1454" s="18">
        <v>-0.67842442713386408</v>
      </c>
    </row>
    <row r="1455" spans="1:13" x14ac:dyDescent="0.45">
      <c r="A1455" t="s">
        <v>488</v>
      </c>
      <c r="B1455" s="18">
        <v>267.88</v>
      </c>
      <c r="C1455" s="18">
        <v>285.70999999999998</v>
      </c>
      <c r="D1455" s="18">
        <v>285.29000000000002</v>
      </c>
      <c r="E1455" s="18">
        <v>235.49</v>
      </c>
      <c r="F1455" s="18">
        <v>186.9</v>
      </c>
      <c r="G1455" s="18">
        <v>275.54919999999998</v>
      </c>
      <c r="H1455" s="18">
        <v>257.78627499999999</v>
      </c>
      <c r="I1455" s="8">
        <v>-6.2405936089041332E-2</v>
      </c>
      <c r="J1455" s="8">
        <v>-6.1025623050229627E-2</v>
      </c>
      <c r="K1455" s="8">
        <v>0.1375429954562826</v>
      </c>
      <c r="L1455" s="8">
        <v>0.43327982878544669</v>
      </c>
      <c r="M1455" s="18">
        <v>0.4473912651024583</v>
      </c>
    </row>
    <row r="1456" spans="1:13" x14ac:dyDescent="0.45">
      <c r="A1456" t="s">
        <v>205</v>
      </c>
      <c r="B1456" s="18">
        <v>76.930000000000007</v>
      </c>
      <c r="C1456" s="18">
        <v>71.75</v>
      </c>
      <c r="D1456" s="18">
        <v>65.62</v>
      </c>
      <c r="E1456" s="18">
        <v>67.63</v>
      </c>
      <c r="F1456" s="18">
        <v>64.59</v>
      </c>
      <c r="G1456" s="18">
        <v>71.470199999999991</v>
      </c>
      <c r="H1456" s="18">
        <v>64.298500000000004</v>
      </c>
      <c r="I1456" s="8">
        <v>7.2195121951219576E-2</v>
      </c>
      <c r="J1456" s="8">
        <v>0.1723559890277355</v>
      </c>
      <c r="K1456" s="8">
        <v>0.13751293804524639</v>
      </c>
      <c r="L1456" s="8">
        <v>0.19105124632296031</v>
      </c>
      <c r="M1456" s="18">
        <v>0.57311529534716188</v>
      </c>
    </row>
    <row r="1457" spans="1:13" x14ac:dyDescent="0.45">
      <c r="A1457" t="s">
        <v>763</v>
      </c>
      <c r="B1457" s="18">
        <v>25.03</v>
      </c>
      <c r="C1457" s="18">
        <v>25.24</v>
      </c>
      <c r="D1457" s="18">
        <v>23.5</v>
      </c>
      <c r="E1457" s="18">
        <v>22.008700000000001</v>
      </c>
      <c r="F1457" s="18">
        <v>25.5</v>
      </c>
      <c r="G1457" s="18">
        <v>25.01585</v>
      </c>
      <c r="H1457" s="18">
        <v>24.072199999999999</v>
      </c>
      <c r="I1457" s="8">
        <v>-8.3201267828841852E-3</v>
      </c>
      <c r="J1457" s="8">
        <v>6.5106382978723509E-2</v>
      </c>
      <c r="K1457" s="8">
        <v>0.1372775311581329</v>
      </c>
      <c r="L1457" s="8">
        <v>-1.8431372549019609E-2</v>
      </c>
      <c r="M1457" s="18">
        <v>0.17563241480495259</v>
      </c>
    </row>
    <row r="1458" spans="1:13" x14ac:dyDescent="0.45">
      <c r="A1458" t="s">
        <v>889</v>
      </c>
      <c r="B1458" s="18">
        <v>42.63</v>
      </c>
      <c r="C1458" s="18">
        <v>44.68</v>
      </c>
      <c r="D1458" s="18">
        <v>62.39</v>
      </c>
      <c r="E1458" s="18">
        <v>37.49</v>
      </c>
      <c r="F1458" s="18">
        <v>136.66999999999999</v>
      </c>
      <c r="G1458" s="18">
        <v>45.379199999999997</v>
      </c>
      <c r="H1458" s="18">
        <v>54.166449999999998</v>
      </c>
      <c r="I1458" s="8">
        <v>-4.5881826320501307E-2</v>
      </c>
      <c r="J1458" s="8">
        <v>-0.31671742266388841</v>
      </c>
      <c r="K1458" s="8">
        <v>0.13710322752734069</v>
      </c>
      <c r="L1458" s="8">
        <v>-0.68808077851759708</v>
      </c>
      <c r="M1458" s="18">
        <v>-0.91357679997464603</v>
      </c>
    </row>
    <row r="1459" spans="1:13" x14ac:dyDescent="0.45">
      <c r="A1459" t="s">
        <v>1934</v>
      </c>
      <c r="B1459" s="18">
        <v>13.37</v>
      </c>
      <c r="C1459" s="18">
        <v>13.42</v>
      </c>
      <c r="D1459" s="18">
        <v>13.3</v>
      </c>
      <c r="E1459" s="18">
        <v>11.76</v>
      </c>
      <c r="F1459" s="18">
        <v>13.37</v>
      </c>
      <c r="G1459" s="18">
        <v>13.3712</v>
      </c>
      <c r="H1459" s="18">
        <v>12.95865</v>
      </c>
      <c r="I1459" s="8">
        <v>-3.725782414307099E-3</v>
      </c>
      <c r="J1459" s="8">
        <v>5.2631578947366364E-3</v>
      </c>
      <c r="K1459" s="8">
        <v>0.13690476190476189</v>
      </c>
      <c r="L1459" s="8">
        <v>0</v>
      </c>
      <c r="M1459" s="18">
        <v>0.1384421373851914</v>
      </c>
    </row>
    <row r="1460" spans="1:13" x14ac:dyDescent="0.45">
      <c r="A1460" t="s">
        <v>201</v>
      </c>
      <c r="B1460" s="18">
        <v>63.11</v>
      </c>
      <c r="C1460" s="18">
        <v>72.5</v>
      </c>
      <c r="D1460" s="18">
        <v>74.83</v>
      </c>
      <c r="E1460" s="18">
        <v>55.52</v>
      </c>
      <c r="F1460" s="18">
        <v>58.33</v>
      </c>
      <c r="G1460" s="18">
        <v>70.716200000000001</v>
      </c>
      <c r="H1460" s="18">
        <v>66.576550000000012</v>
      </c>
      <c r="I1460" s="8">
        <v>-0.12951724137931031</v>
      </c>
      <c r="J1460" s="8">
        <v>-0.1566216757984765</v>
      </c>
      <c r="K1460" s="8">
        <v>0.1367074927953891</v>
      </c>
      <c r="L1460" s="8">
        <v>8.1947539859420493E-2</v>
      </c>
      <c r="M1460" s="18">
        <v>-6.7483884522977267E-2</v>
      </c>
    </row>
    <row r="1461" spans="1:13" x14ac:dyDescent="0.45">
      <c r="A1461" t="s">
        <v>2</v>
      </c>
      <c r="B1461" s="18">
        <v>119.99</v>
      </c>
      <c r="C1461" s="18">
        <v>123.81</v>
      </c>
      <c r="D1461" s="18">
        <v>137</v>
      </c>
      <c r="E1461" s="18">
        <v>105.69</v>
      </c>
      <c r="F1461" s="18">
        <v>129.85</v>
      </c>
      <c r="G1461" s="18">
        <v>124.8682</v>
      </c>
      <c r="H1461" s="18">
        <v>129.80097499999999</v>
      </c>
      <c r="I1461" s="8">
        <v>-3.0853727485663621E-2</v>
      </c>
      <c r="J1461" s="8">
        <v>-0.1241605839416059</v>
      </c>
      <c r="K1461" s="8">
        <v>0.13530135301353011</v>
      </c>
      <c r="L1461" s="8">
        <v>-7.5933769734308765E-2</v>
      </c>
      <c r="M1461" s="18">
        <v>-9.5646728148048199E-2</v>
      </c>
    </row>
    <row r="1462" spans="1:13" x14ac:dyDescent="0.45">
      <c r="A1462" t="s">
        <v>1724</v>
      </c>
      <c r="B1462" s="18">
        <v>60.84</v>
      </c>
      <c r="C1462" s="18">
        <v>63</v>
      </c>
      <c r="D1462" s="18">
        <v>59.66</v>
      </c>
      <c r="E1462" s="18">
        <v>53.6</v>
      </c>
      <c r="F1462" s="18">
        <v>76.03</v>
      </c>
      <c r="G1462" s="18">
        <v>61.829799999999999</v>
      </c>
      <c r="H1462" s="18">
        <v>63.303699999999999</v>
      </c>
      <c r="I1462" s="8">
        <v>-3.4285714285714253E-2</v>
      </c>
      <c r="J1462" s="8">
        <v>1.9778746228628959E-2</v>
      </c>
      <c r="K1462" s="8">
        <v>0.1350746268656717</v>
      </c>
      <c r="L1462" s="8">
        <v>-0.19978955675391291</v>
      </c>
      <c r="M1462" s="18">
        <v>-7.9221897945326414E-2</v>
      </c>
    </row>
    <row r="1463" spans="1:13" x14ac:dyDescent="0.45">
      <c r="A1463" t="s">
        <v>195</v>
      </c>
      <c r="B1463" s="18">
        <v>93.75</v>
      </c>
      <c r="C1463" s="18">
        <v>91.86</v>
      </c>
      <c r="D1463" s="18">
        <v>95.37</v>
      </c>
      <c r="E1463" s="18">
        <v>82.66</v>
      </c>
      <c r="F1463" s="18">
        <v>114.54</v>
      </c>
      <c r="G1463" s="18">
        <v>94.73</v>
      </c>
      <c r="H1463" s="18">
        <v>94.767949999999999</v>
      </c>
      <c r="I1463" s="8">
        <v>2.057478772044408E-2</v>
      </c>
      <c r="J1463" s="8">
        <v>-1.698647373387863E-2</v>
      </c>
      <c r="K1463" s="8">
        <v>0.13416404548753949</v>
      </c>
      <c r="L1463" s="8">
        <v>-0.1815086432687272</v>
      </c>
      <c r="M1463" s="18">
        <v>-4.3756283794622257E-2</v>
      </c>
    </row>
    <row r="1464" spans="1:13" x14ac:dyDescent="0.45">
      <c r="A1464" t="s">
        <v>1178</v>
      </c>
      <c r="B1464" s="18">
        <v>83.2</v>
      </c>
      <c r="C1464" s="18">
        <v>91.19</v>
      </c>
      <c r="D1464" s="18">
        <v>84.7</v>
      </c>
      <c r="E1464" s="18">
        <v>73.36</v>
      </c>
      <c r="F1464" s="18">
        <v>79.010000000000005</v>
      </c>
      <c r="G1464" s="18">
        <v>83.361800000000002</v>
      </c>
      <c r="H1464" s="18">
        <v>90.913600000000002</v>
      </c>
      <c r="I1464" s="8">
        <v>-8.7619256497422859E-2</v>
      </c>
      <c r="J1464" s="8">
        <v>-1.7709563164108651E-2</v>
      </c>
      <c r="K1464" s="8">
        <v>0.13413304252998909</v>
      </c>
      <c r="L1464" s="8">
        <v>5.3031261865586599E-2</v>
      </c>
      <c r="M1464" s="18">
        <v>8.1835484734044228E-2</v>
      </c>
    </row>
    <row r="1465" spans="1:13" x14ac:dyDescent="0.45">
      <c r="A1465" t="s">
        <v>442</v>
      </c>
      <c r="B1465" s="18">
        <v>43.3</v>
      </c>
      <c r="C1465" s="18">
        <v>45.36</v>
      </c>
      <c r="D1465" s="18">
        <v>48.02</v>
      </c>
      <c r="E1465" s="18">
        <v>38.19</v>
      </c>
      <c r="F1465" s="18">
        <v>46.76</v>
      </c>
      <c r="G1465" s="18">
        <v>44.177199999999999</v>
      </c>
      <c r="H1465" s="18">
        <v>46.358999999999988</v>
      </c>
      <c r="I1465" s="8">
        <v>-4.5414462081128759E-2</v>
      </c>
      <c r="J1465" s="8">
        <v>-9.8292378175760198E-2</v>
      </c>
      <c r="K1465" s="8">
        <v>0.13380466090599641</v>
      </c>
      <c r="L1465" s="8">
        <v>-7.3994867408041065E-2</v>
      </c>
      <c r="M1465" s="18">
        <v>-8.3897046758933613E-2</v>
      </c>
    </row>
    <row r="1466" spans="1:13" x14ac:dyDescent="0.45">
      <c r="A1466" t="s">
        <v>1087</v>
      </c>
      <c r="B1466" s="18">
        <v>13.07</v>
      </c>
      <c r="C1466" s="18">
        <v>12.9</v>
      </c>
      <c r="D1466" s="18">
        <v>12.84</v>
      </c>
      <c r="E1466" s="18">
        <v>11.53</v>
      </c>
      <c r="F1466" s="18">
        <v>12.21</v>
      </c>
      <c r="G1466" s="18">
        <v>12.487</v>
      </c>
      <c r="H1466" s="18">
        <v>12.672000000000001</v>
      </c>
      <c r="I1466" s="8">
        <v>1.317829457364339E-2</v>
      </c>
      <c r="J1466" s="8">
        <v>1.7912772585669812E-2</v>
      </c>
      <c r="K1466" s="8">
        <v>0.1335646140503037</v>
      </c>
      <c r="L1466" s="8">
        <v>7.0434070434070462E-2</v>
      </c>
      <c r="M1466" s="18">
        <v>0.23508975164368739</v>
      </c>
    </row>
    <row r="1467" spans="1:13" x14ac:dyDescent="0.45">
      <c r="A1467" t="s">
        <v>363</v>
      </c>
      <c r="B1467" s="18">
        <v>27.92</v>
      </c>
      <c r="C1467" s="18">
        <v>24.47</v>
      </c>
      <c r="D1467" s="18">
        <v>34.28</v>
      </c>
      <c r="E1467" s="18">
        <v>24.64</v>
      </c>
      <c r="F1467" s="18">
        <v>60.2</v>
      </c>
      <c r="G1467" s="18">
        <v>26.137899999999998</v>
      </c>
      <c r="H1467" s="18">
        <v>30.173974999999999</v>
      </c>
      <c r="I1467" s="8">
        <v>0.1409889660809156</v>
      </c>
      <c r="J1467" s="8">
        <v>-0.1855309218203034</v>
      </c>
      <c r="K1467" s="8">
        <v>0.13311688311688319</v>
      </c>
      <c r="L1467" s="8">
        <v>-0.53621262458471763</v>
      </c>
      <c r="M1467" s="18">
        <v>-0.44763769720722218</v>
      </c>
    </row>
    <row r="1468" spans="1:13" x14ac:dyDescent="0.45">
      <c r="A1468" t="s">
        <v>2108</v>
      </c>
      <c r="B1468" s="18">
        <v>26.66</v>
      </c>
      <c r="C1468" s="18">
        <v>26.19</v>
      </c>
      <c r="D1468" s="18">
        <v>23.53</v>
      </c>
      <c r="E1468" s="18">
        <v>23.53</v>
      </c>
      <c r="F1468" s="18">
        <v>30.240100000000002</v>
      </c>
      <c r="G1468" s="18">
        <v>26.003599999999999</v>
      </c>
      <c r="H1468" s="18">
        <v>25.289750000000002</v>
      </c>
      <c r="I1468" s="8">
        <v>1.7945780832378629E-2</v>
      </c>
      <c r="J1468" s="8">
        <v>0.13302167445813851</v>
      </c>
      <c r="K1468" s="8">
        <v>0.13302167445813851</v>
      </c>
      <c r="L1468" s="8">
        <v>-0.1183891587660094</v>
      </c>
      <c r="M1468" s="18">
        <v>0.1655999709826462</v>
      </c>
    </row>
    <row r="1469" spans="1:13" x14ac:dyDescent="0.45">
      <c r="A1469" t="s">
        <v>1753</v>
      </c>
      <c r="B1469" s="18">
        <v>38.450000000000003</v>
      </c>
      <c r="C1469" s="18">
        <v>38.69</v>
      </c>
      <c r="D1469" s="18">
        <v>40.18</v>
      </c>
      <c r="E1469" s="18">
        <v>33.94</v>
      </c>
      <c r="F1469" s="18">
        <v>41.13</v>
      </c>
      <c r="G1469" s="18">
        <v>38.405999999999999</v>
      </c>
      <c r="H1469" s="18">
        <v>39.070799999999998</v>
      </c>
      <c r="I1469" s="8">
        <v>-6.203153269578543E-3</v>
      </c>
      <c r="J1469" s="8">
        <v>-4.305624688899945E-2</v>
      </c>
      <c r="K1469" s="8">
        <v>0.1328815556865057</v>
      </c>
      <c r="L1469" s="8">
        <v>-6.5159251154874753E-2</v>
      </c>
      <c r="M1469" s="18">
        <v>1.846290437305298E-2</v>
      </c>
    </row>
    <row r="1470" spans="1:13" x14ac:dyDescent="0.45">
      <c r="A1470" t="s">
        <v>1464</v>
      </c>
      <c r="B1470" s="18">
        <v>54.41</v>
      </c>
      <c r="C1470" s="18">
        <v>56.8</v>
      </c>
      <c r="D1470" s="18">
        <v>56.03</v>
      </c>
      <c r="E1470" s="18">
        <v>48.03</v>
      </c>
      <c r="F1470" s="18">
        <v>131.47</v>
      </c>
      <c r="G1470" s="18">
        <v>54.372400000000013</v>
      </c>
      <c r="H1470" s="18">
        <v>59.725900000000003</v>
      </c>
      <c r="I1470" s="8">
        <v>-4.2077464788732422E-2</v>
      </c>
      <c r="J1470" s="8">
        <v>-2.8913082277351451E-2</v>
      </c>
      <c r="K1470" s="8">
        <v>0.13283364563814271</v>
      </c>
      <c r="L1470" s="8">
        <v>-0.58614132501711413</v>
      </c>
      <c r="M1470" s="18">
        <v>-0.5242982264450553</v>
      </c>
    </row>
    <row r="1471" spans="1:13" x14ac:dyDescent="0.45">
      <c r="A1471" t="s">
        <v>1213</v>
      </c>
      <c r="B1471" s="18">
        <v>33.54</v>
      </c>
      <c r="C1471" s="18">
        <v>35.159999999999997</v>
      </c>
      <c r="D1471" s="18">
        <v>33.53</v>
      </c>
      <c r="E1471" s="18">
        <v>29.61</v>
      </c>
      <c r="F1471" s="18">
        <v>28.96</v>
      </c>
      <c r="G1471" s="18">
        <v>35.818600000000004</v>
      </c>
      <c r="H1471" s="18">
        <v>33.105499999999999</v>
      </c>
      <c r="I1471" s="8">
        <v>-4.607508532423199E-2</v>
      </c>
      <c r="J1471" s="8">
        <v>2.982403817475276E-4</v>
      </c>
      <c r="K1471" s="8">
        <v>0.132725430597771</v>
      </c>
      <c r="L1471" s="8">
        <v>0.15814917127071809</v>
      </c>
      <c r="M1471" s="18">
        <v>0.24509775692600469</v>
      </c>
    </row>
    <row r="1472" spans="1:13" x14ac:dyDescent="0.45">
      <c r="A1472" t="s">
        <v>1941</v>
      </c>
      <c r="B1472" s="18">
        <v>11.89</v>
      </c>
      <c r="C1472" s="18">
        <v>11.74</v>
      </c>
      <c r="D1472" s="18">
        <v>11.44</v>
      </c>
      <c r="E1472" s="18">
        <v>10.5</v>
      </c>
      <c r="F1472" s="18">
        <v>11.82</v>
      </c>
      <c r="G1472" s="18">
        <v>11.68422</v>
      </c>
      <c r="H1472" s="18">
        <v>11.292816</v>
      </c>
      <c r="I1472" s="8">
        <v>1.2776831345826301E-2</v>
      </c>
      <c r="J1472" s="8">
        <v>3.9335664335664378E-2</v>
      </c>
      <c r="K1472" s="8">
        <v>0.13238095238095249</v>
      </c>
      <c r="L1472" s="8">
        <v>5.9221658206429773E-3</v>
      </c>
      <c r="M1472" s="18">
        <v>0.19041561388308609</v>
      </c>
    </row>
    <row r="1473" spans="1:13" x14ac:dyDescent="0.45">
      <c r="A1473" t="s">
        <v>1272</v>
      </c>
      <c r="B1473" s="18">
        <v>50.39</v>
      </c>
      <c r="C1473" s="18">
        <v>48.98</v>
      </c>
      <c r="D1473" s="18">
        <v>47.17</v>
      </c>
      <c r="E1473" s="18">
        <v>44.5</v>
      </c>
      <c r="F1473" s="18">
        <v>44.47</v>
      </c>
      <c r="G1473" s="18">
        <v>49.908799999999999</v>
      </c>
      <c r="H1473" s="18">
        <v>46.728850000000001</v>
      </c>
      <c r="I1473" s="8">
        <v>2.8787260106165839E-2</v>
      </c>
      <c r="J1473" s="8">
        <v>6.8263726945092085E-2</v>
      </c>
      <c r="K1473" s="8">
        <v>0.1323595505617978</v>
      </c>
      <c r="L1473" s="8">
        <v>0.1331234540139421</v>
      </c>
      <c r="M1473" s="18">
        <v>0.36253399162699779</v>
      </c>
    </row>
    <row r="1474" spans="1:13" x14ac:dyDescent="0.45">
      <c r="A1474" t="s">
        <v>2097</v>
      </c>
      <c r="B1474" s="18">
        <v>21.59</v>
      </c>
      <c r="C1474" s="18">
        <v>23.56</v>
      </c>
      <c r="D1474" s="18">
        <v>21.79</v>
      </c>
      <c r="E1474" s="18">
        <v>19.07</v>
      </c>
      <c r="F1474" s="18">
        <v>24.42</v>
      </c>
      <c r="G1474" s="18">
        <v>21.977</v>
      </c>
      <c r="H1474" s="18">
        <v>23.58445</v>
      </c>
      <c r="I1474" s="8">
        <v>-8.3616298811544976E-2</v>
      </c>
      <c r="J1474" s="8">
        <v>-9.1785222579164882E-3</v>
      </c>
      <c r="K1474" s="8">
        <v>0.13214472994231771</v>
      </c>
      <c r="L1474" s="8">
        <v>-0.115888615888616</v>
      </c>
      <c r="M1474" s="18">
        <v>-7.653870701575971E-2</v>
      </c>
    </row>
    <row r="1475" spans="1:13" x14ac:dyDescent="0.45">
      <c r="A1475" t="s">
        <v>316</v>
      </c>
      <c r="B1475" s="18">
        <v>146.55000000000001</v>
      </c>
      <c r="C1475" s="18">
        <v>141</v>
      </c>
      <c r="D1475" s="18">
        <v>154.66</v>
      </c>
      <c r="E1475" s="18">
        <v>129.46</v>
      </c>
      <c r="F1475" s="18">
        <v>164.52</v>
      </c>
      <c r="G1475" s="18">
        <v>140.35300000000001</v>
      </c>
      <c r="H1475" s="18">
        <v>149.27359999999999</v>
      </c>
      <c r="I1475" s="8">
        <v>3.9361702127659548E-2</v>
      </c>
      <c r="J1475" s="8">
        <v>-5.2437605069183928E-2</v>
      </c>
      <c r="K1475" s="8">
        <v>0.1320098872238529</v>
      </c>
      <c r="L1475" s="8">
        <v>-0.1092268417213712</v>
      </c>
      <c r="M1475" s="18">
        <v>9.7071425609572826E-3</v>
      </c>
    </row>
    <row r="1476" spans="1:13" x14ac:dyDescent="0.45">
      <c r="A1476" t="s">
        <v>99</v>
      </c>
      <c r="B1476" s="18">
        <v>238.25</v>
      </c>
      <c r="C1476" s="18">
        <v>230.73</v>
      </c>
      <c r="D1476" s="18">
        <v>229.3</v>
      </c>
      <c r="E1476" s="18">
        <v>210.47</v>
      </c>
      <c r="F1476" s="18">
        <v>242.35</v>
      </c>
      <c r="G1476" s="18">
        <v>230.08860000000001</v>
      </c>
      <c r="H1476" s="18">
        <v>243.77012500000001</v>
      </c>
      <c r="I1476" s="8">
        <v>3.2592207341914918E-2</v>
      </c>
      <c r="J1476" s="8">
        <v>3.9031836022677568E-2</v>
      </c>
      <c r="K1476" s="8">
        <v>0.1319903074072315</v>
      </c>
      <c r="L1476" s="8">
        <v>-1.6917681039818389E-2</v>
      </c>
      <c r="M1476" s="18">
        <v>0.1866966697320056</v>
      </c>
    </row>
    <row r="1477" spans="1:13" x14ac:dyDescent="0.45">
      <c r="A1477" t="s">
        <v>418</v>
      </c>
      <c r="B1477" s="18">
        <v>180.89</v>
      </c>
      <c r="C1477" s="18">
        <v>182.68</v>
      </c>
      <c r="D1477" s="18">
        <v>171.45</v>
      </c>
      <c r="E1477" s="18">
        <v>159.80000000000001</v>
      </c>
      <c r="F1477" s="18">
        <v>150.79</v>
      </c>
      <c r="G1477" s="18">
        <v>180.40620000000001</v>
      </c>
      <c r="H1477" s="18">
        <v>171.42519999999999</v>
      </c>
      <c r="I1477" s="8">
        <v>-9.7985548500110209E-3</v>
      </c>
      <c r="J1477" s="8">
        <v>5.5059784193642443E-2</v>
      </c>
      <c r="K1477" s="8">
        <v>0.13197747183979969</v>
      </c>
      <c r="L1477" s="8">
        <v>0.19961535910869421</v>
      </c>
      <c r="M1477" s="18">
        <v>0.37685406029212531</v>
      </c>
    </row>
    <row r="1478" spans="1:13" x14ac:dyDescent="0.45">
      <c r="A1478" t="s">
        <v>56</v>
      </c>
      <c r="B1478" s="18">
        <v>467.83</v>
      </c>
      <c r="C1478" s="18">
        <v>473.44</v>
      </c>
      <c r="D1478" s="18">
        <v>470.34</v>
      </c>
      <c r="E1478" s="18">
        <v>413.33</v>
      </c>
      <c r="F1478" s="18">
        <v>468.18</v>
      </c>
      <c r="G1478" s="18">
        <v>474.36180000000002</v>
      </c>
      <c r="H1478" s="18">
        <v>458.98180000000002</v>
      </c>
      <c r="I1478" s="8">
        <v>-1.184944237918217E-2</v>
      </c>
      <c r="J1478" s="8">
        <v>-5.3365650380575724E-3</v>
      </c>
      <c r="K1478" s="8">
        <v>0.13185590206372619</v>
      </c>
      <c r="L1478" s="8">
        <v>-7.4757571874073392E-4</v>
      </c>
      <c r="M1478" s="18">
        <v>0.11392231892774569</v>
      </c>
    </row>
    <row r="1479" spans="1:13" x14ac:dyDescent="0.45">
      <c r="A1479" t="s">
        <v>390</v>
      </c>
      <c r="B1479" s="18">
        <v>79.63</v>
      </c>
      <c r="C1479" s="18">
        <v>77.73</v>
      </c>
      <c r="D1479" s="18">
        <v>73.430000000000007</v>
      </c>
      <c r="E1479" s="18">
        <v>70.37</v>
      </c>
      <c r="F1479" s="18">
        <v>101.55</v>
      </c>
      <c r="G1479" s="18">
        <v>76.538799999999995</v>
      </c>
      <c r="H1479" s="18">
        <v>77.945899999999995</v>
      </c>
      <c r="I1479" s="8">
        <v>2.4443586774733021E-2</v>
      </c>
      <c r="J1479" s="8">
        <v>8.4434154977529374E-2</v>
      </c>
      <c r="K1479" s="8">
        <v>0.13159016626403289</v>
      </c>
      <c r="L1479" s="8">
        <v>-0.2158542589857213</v>
      </c>
      <c r="M1479" s="18">
        <v>2.4613649030573951E-2</v>
      </c>
    </row>
    <row r="1480" spans="1:13" x14ac:dyDescent="0.45">
      <c r="A1480" t="s">
        <v>1234</v>
      </c>
      <c r="B1480" s="18">
        <v>17.809999999999999</v>
      </c>
      <c r="C1480" s="18">
        <v>17.45</v>
      </c>
      <c r="D1480" s="18">
        <v>17.059999999999999</v>
      </c>
      <c r="E1480" s="18">
        <v>15.74</v>
      </c>
      <c r="F1480" s="18">
        <v>17.28</v>
      </c>
      <c r="G1480" s="18">
        <v>17.440359999999998</v>
      </c>
      <c r="H1480" s="18">
        <v>16.910001999999999</v>
      </c>
      <c r="I1480" s="8">
        <v>2.063037249283672E-2</v>
      </c>
      <c r="J1480" s="8">
        <v>4.3962485345838243E-2</v>
      </c>
      <c r="K1480" s="8">
        <v>0.1315120711562896</v>
      </c>
      <c r="L1480" s="8">
        <v>3.0671296296296061E-2</v>
      </c>
      <c r="M1480" s="18">
        <v>0.2267762252912606</v>
      </c>
    </row>
    <row r="1481" spans="1:13" x14ac:dyDescent="0.45">
      <c r="A1481" t="s">
        <v>1553</v>
      </c>
      <c r="B1481" s="18">
        <v>26.59</v>
      </c>
      <c r="C1481" s="18">
        <v>28.69</v>
      </c>
      <c r="D1481" s="18">
        <v>34.590000000000003</v>
      </c>
      <c r="E1481" s="18">
        <v>23.5</v>
      </c>
      <c r="F1481" s="18">
        <v>36.590000000000003</v>
      </c>
      <c r="G1481" s="18">
        <v>29.2334</v>
      </c>
      <c r="H1481" s="18">
        <v>29.857600000000001</v>
      </c>
      <c r="I1481" s="8">
        <v>-7.3196235622168038E-2</v>
      </c>
      <c r="J1481" s="8">
        <v>-0.23128071697022271</v>
      </c>
      <c r="K1481" s="8">
        <v>0.13148936170212749</v>
      </c>
      <c r="L1481" s="8">
        <v>-0.27329871549603718</v>
      </c>
      <c r="M1481" s="18">
        <v>-0.4462863063863004</v>
      </c>
    </row>
    <row r="1482" spans="1:13" x14ac:dyDescent="0.45">
      <c r="A1482" t="s">
        <v>252</v>
      </c>
      <c r="B1482" s="18">
        <v>114.02</v>
      </c>
      <c r="C1482" s="18">
        <v>110.65</v>
      </c>
      <c r="D1482" s="18">
        <v>114.93</v>
      </c>
      <c r="E1482" s="18">
        <v>100.77</v>
      </c>
      <c r="F1482" s="18">
        <v>124.83</v>
      </c>
      <c r="G1482" s="18">
        <v>111.2242</v>
      </c>
      <c r="H1482" s="18">
        <v>109.536</v>
      </c>
      <c r="I1482" s="8">
        <v>3.0456394035246252E-2</v>
      </c>
      <c r="J1482" s="8">
        <v>-7.9178630470722045E-3</v>
      </c>
      <c r="K1482" s="8">
        <v>0.13148754589659631</v>
      </c>
      <c r="L1482" s="8">
        <v>-8.6597772971240938E-2</v>
      </c>
      <c r="M1482" s="18">
        <v>6.7428303913529386E-2</v>
      </c>
    </row>
    <row r="1483" spans="1:13" x14ac:dyDescent="0.45">
      <c r="A1483" t="s">
        <v>732</v>
      </c>
      <c r="B1483" s="18">
        <v>16.72</v>
      </c>
      <c r="C1483" s="18">
        <v>17.235900000000001</v>
      </c>
      <c r="D1483" s="18">
        <v>16.510000000000002</v>
      </c>
      <c r="E1483" s="18">
        <v>14.78</v>
      </c>
      <c r="F1483" s="18">
        <v>18.96</v>
      </c>
      <c r="G1483" s="18">
        <v>16.915521999999999</v>
      </c>
      <c r="H1483" s="18">
        <v>16.215208499999999</v>
      </c>
      <c r="I1483" s="8">
        <v>-2.9931712298168489E-2</v>
      </c>
      <c r="J1483" s="8">
        <v>1.271956390066609E-2</v>
      </c>
      <c r="K1483" s="8">
        <v>0.1312584573748308</v>
      </c>
      <c r="L1483" s="8">
        <v>-0.1181434599156119</v>
      </c>
      <c r="M1483" s="18">
        <v>-4.0971509382835558E-3</v>
      </c>
    </row>
    <row r="1484" spans="1:13" x14ac:dyDescent="0.45">
      <c r="A1484" t="s">
        <v>174</v>
      </c>
      <c r="B1484" s="18">
        <v>310.61</v>
      </c>
      <c r="C1484" s="18">
        <v>298.67</v>
      </c>
      <c r="D1484" s="18">
        <v>297.32</v>
      </c>
      <c r="E1484" s="18">
        <v>274.73</v>
      </c>
      <c r="F1484" s="18">
        <v>219.94</v>
      </c>
      <c r="G1484" s="18">
        <v>295.82279999999997</v>
      </c>
      <c r="H1484" s="18">
        <v>277.12905000000001</v>
      </c>
      <c r="I1484" s="8">
        <v>3.9977232396959828E-2</v>
      </c>
      <c r="J1484" s="8">
        <v>4.4699313870577129E-2</v>
      </c>
      <c r="K1484" s="8">
        <v>0.130600953663597</v>
      </c>
      <c r="L1484" s="8">
        <v>0.41224879512594348</v>
      </c>
      <c r="M1484" s="18">
        <v>0.62752629505707747</v>
      </c>
    </row>
    <row r="1485" spans="1:13" x14ac:dyDescent="0.45">
      <c r="A1485" t="s">
        <v>130</v>
      </c>
      <c r="B1485" s="18">
        <v>124.8</v>
      </c>
      <c r="C1485" s="18">
        <v>134.41999999999999</v>
      </c>
      <c r="D1485" s="18">
        <v>148.21</v>
      </c>
      <c r="E1485" s="18">
        <v>110.41</v>
      </c>
      <c r="F1485" s="18">
        <v>135.33000000000001</v>
      </c>
      <c r="G1485" s="18">
        <v>137.1874</v>
      </c>
      <c r="H1485" s="18">
        <v>143.16399999999999</v>
      </c>
      <c r="I1485" s="8">
        <v>-7.1566731141199158E-2</v>
      </c>
      <c r="J1485" s="8">
        <v>-0.1579515552256934</v>
      </c>
      <c r="K1485" s="8">
        <v>0.13033239742776931</v>
      </c>
      <c r="L1485" s="8">
        <v>-7.7809798270893515E-2</v>
      </c>
      <c r="M1485" s="18">
        <v>-0.17699568721001679</v>
      </c>
    </row>
    <row r="1486" spans="1:13" x14ac:dyDescent="0.45">
      <c r="A1486" t="s">
        <v>533</v>
      </c>
      <c r="B1486" s="18">
        <v>3.99</v>
      </c>
      <c r="C1486" s="18">
        <v>4</v>
      </c>
      <c r="D1486" s="18">
        <v>3.89</v>
      </c>
      <c r="E1486" s="18">
        <v>3.53</v>
      </c>
      <c r="F1486" s="18">
        <v>5.25</v>
      </c>
      <c r="G1486" s="18">
        <v>3.9278</v>
      </c>
      <c r="H1486" s="18">
        <v>4.1983000000000006</v>
      </c>
      <c r="I1486" s="8">
        <v>-2.4999999999999471E-3</v>
      </c>
      <c r="J1486" s="8">
        <v>2.5706940874036022E-2</v>
      </c>
      <c r="K1486" s="8">
        <v>0.13031161473087829</v>
      </c>
      <c r="L1486" s="8">
        <v>-0.24</v>
      </c>
      <c r="M1486" s="18">
        <v>-8.6481444395085649E-2</v>
      </c>
    </row>
    <row r="1487" spans="1:13" x14ac:dyDescent="0.45">
      <c r="A1487" t="s">
        <v>2107</v>
      </c>
      <c r="B1487" s="18">
        <v>23.51</v>
      </c>
      <c r="C1487" s="18">
        <v>22.02</v>
      </c>
      <c r="D1487" s="18">
        <v>23.95</v>
      </c>
      <c r="E1487" s="18">
        <v>20.8</v>
      </c>
      <c r="F1487" s="18">
        <v>20.03</v>
      </c>
      <c r="G1487" s="18">
        <v>22.400200000000002</v>
      </c>
      <c r="H1487" s="18">
        <v>22.070900000000002</v>
      </c>
      <c r="I1487" s="8">
        <v>6.766575840145328E-2</v>
      </c>
      <c r="J1487" s="8">
        <v>-1.837160751565747E-2</v>
      </c>
      <c r="K1487" s="8">
        <v>0.1302884615384616</v>
      </c>
      <c r="L1487" s="8">
        <v>0.17373939091362961</v>
      </c>
      <c r="M1487" s="18">
        <v>0.35332200333788699</v>
      </c>
    </row>
    <row r="1488" spans="1:13" x14ac:dyDescent="0.45">
      <c r="A1488" t="s">
        <v>2010</v>
      </c>
      <c r="B1488" s="18">
        <v>14.53</v>
      </c>
      <c r="C1488" s="18">
        <v>14.43</v>
      </c>
      <c r="D1488" s="18">
        <v>13.92</v>
      </c>
      <c r="E1488" s="18">
        <v>12.86</v>
      </c>
      <c r="F1488" s="18">
        <v>14.4</v>
      </c>
      <c r="G1488" s="18">
        <v>14.2142</v>
      </c>
      <c r="H1488" s="18">
        <v>14.103249999999999</v>
      </c>
      <c r="I1488" s="8">
        <v>6.9300069300068934E-3</v>
      </c>
      <c r="J1488" s="8">
        <v>4.3821839080459668E-2</v>
      </c>
      <c r="K1488" s="8">
        <v>0.12986003110419911</v>
      </c>
      <c r="L1488" s="8">
        <v>9.0277777777776347E-3</v>
      </c>
      <c r="M1488" s="18">
        <v>0.1896396548924433</v>
      </c>
    </row>
    <row r="1489" spans="1:13" x14ac:dyDescent="0.45">
      <c r="A1489" t="s">
        <v>2233</v>
      </c>
      <c r="B1489" s="18">
        <v>83.53</v>
      </c>
      <c r="C1489" s="18">
        <v>75.8</v>
      </c>
      <c r="D1489" s="18">
        <v>74.56</v>
      </c>
      <c r="E1489" s="18">
        <v>73.959999999999994</v>
      </c>
      <c r="F1489" s="18">
        <v>65.12</v>
      </c>
      <c r="G1489" s="18">
        <v>77.178200000000004</v>
      </c>
      <c r="H1489" s="18">
        <v>74.638599999999997</v>
      </c>
      <c r="I1489" s="8">
        <v>0.10197889182058061</v>
      </c>
      <c r="J1489" s="8">
        <v>0.1203057939914163</v>
      </c>
      <c r="K1489" s="8">
        <v>0.12939426717144409</v>
      </c>
      <c r="L1489" s="8">
        <v>0.28270884520884509</v>
      </c>
      <c r="M1489" s="18">
        <v>0.63438779819228608</v>
      </c>
    </row>
    <row r="1490" spans="1:13" x14ac:dyDescent="0.45">
      <c r="A1490" t="s">
        <v>923</v>
      </c>
      <c r="B1490" s="18">
        <v>3.93</v>
      </c>
      <c r="C1490" s="18">
        <v>4.45</v>
      </c>
      <c r="D1490" s="18">
        <v>3.68</v>
      </c>
      <c r="E1490" s="18">
        <v>3.48</v>
      </c>
      <c r="F1490" s="18">
        <v>5.8</v>
      </c>
      <c r="G1490" s="18">
        <v>4.0419999999999998</v>
      </c>
      <c r="H1490" s="18">
        <v>4.0413500000000004</v>
      </c>
      <c r="I1490" s="8">
        <v>-0.1168539325842697</v>
      </c>
      <c r="J1490" s="8">
        <v>6.7934782608695565E-2</v>
      </c>
      <c r="K1490" s="8">
        <v>0.1293103448275863</v>
      </c>
      <c r="L1490" s="8">
        <v>-0.3224137931034482</v>
      </c>
      <c r="M1490" s="18">
        <v>-0.24202259825143599</v>
      </c>
    </row>
    <row r="1491" spans="1:13" x14ac:dyDescent="0.45">
      <c r="A1491" t="s">
        <v>231</v>
      </c>
      <c r="B1491" s="18">
        <v>75.739999999999995</v>
      </c>
      <c r="C1491" s="18">
        <v>79.8</v>
      </c>
      <c r="D1491" s="18">
        <v>78.8</v>
      </c>
      <c r="E1491" s="18">
        <v>67.069999999999993</v>
      </c>
      <c r="F1491" s="18">
        <v>65.489999999999995</v>
      </c>
      <c r="G1491" s="18">
        <v>78.260199999999998</v>
      </c>
      <c r="H1491" s="18">
        <v>74.883650000000003</v>
      </c>
      <c r="I1491" s="8">
        <v>-5.0877192982456187E-2</v>
      </c>
      <c r="J1491" s="8">
        <v>-3.8832487309644732E-2</v>
      </c>
      <c r="K1491" s="8">
        <v>0.12926792902937231</v>
      </c>
      <c r="L1491" s="8">
        <v>0.1565124446480379</v>
      </c>
      <c r="M1491" s="18">
        <v>0.19607069338530941</v>
      </c>
    </row>
    <row r="1492" spans="1:13" x14ac:dyDescent="0.45">
      <c r="A1492" t="s">
        <v>1408</v>
      </c>
      <c r="B1492" s="18">
        <v>45.46</v>
      </c>
      <c r="C1492" s="18">
        <v>45.61</v>
      </c>
      <c r="D1492" s="18">
        <v>52.42</v>
      </c>
      <c r="E1492" s="18">
        <v>40.26</v>
      </c>
      <c r="F1492" s="18">
        <v>53.27</v>
      </c>
      <c r="G1492" s="18">
        <v>45.539800000000007</v>
      </c>
      <c r="H1492" s="18">
        <v>46.81165</v>
      </c>
      <c r="I1492" s="8">
        <v>-3.288752466564349E-3</v>
      </c>
      <c r="J1492" s="8">
        <v>-0.1327737504769172</v>
      </c>
      <c r="K1492" s="8">
        <v>0.1291604570293097</v>
      </c>
      <c r="L1492" s="8">
        <v>-0.14661160127651579</v>
      </c>
      <c r="M1492" s="18">
        <v>-0.15351364719068769</v>
      </c>
    </row>
    <row r="1493" spans="1:13" x14ac:dyDescent="0.45">
      <c r="A1493" t="s">
        <v>1414</v>
      </c>
      <c r="B1493" s="18">
        <v>17.059999999999999</v>
      </c>
      <c r="C1493" s="18">
        <v>16.600000000000001</v>
      </c>
      <c r="D1493" s="18">
        <v>16.079999999999998</v>
      </c>
      <c r="E1493" s="18">
        <v>15.11</v>
      </c>
      <c r="F1493" s="18">
        <v>18.75</v>
      </c>
      <c r="G1493" s="18">
        <v>16.441759999999999</v>
      </c>
      <c r="H1493" s="18">
        <v>16.291335499999999</v>
      </c>
      <c r="I1493" s="8">
        <v>2.7710843373493829E-2</v>
      </c>
      <c r="J1493" s="8">
        <v>6.0945273631840768E-2</v>
      </c>
      <c r="K1493" s="8">
        <v>0.12905360688285891</v>
      </c>
      <c r="L1493" s="8">
        <v>-9.0133333333333399E-2</v>
      </c>
      <c r="M1493" s="18">
        <v>0.12757639055486009</v>
      </c>
    </row>
    <row r="1494" spans="1:13" x14ac:dyDescent="0.45">
      <c r="A1494" t="s">
        <v>422</v>
      </c>
      <c r="B1494" s="18">
        <v>59.01</v>
      </c>
      <c r="C1494" s="18">
        <v>59.49</v>
      </c>
      <c r="D1494" s="18">
        <v>56.93</v>
      </c>
      <c r="E1494" s="18">
        <v>52.27</v>
      </c>
      <c r="F1494" s="18">
        <v>62.01</v>
      </c>
      <c r="G1494" s="18">
        <v>58.828999999999994</v>
      </c>
      <c r="H1494" s="18">
        <v>56.688249999999996</v>
      </c>
      <c r="I1494" s="8">
        <v>-8.0685829551185861E-3</v>
      </c>
      <c r="J1494" s="8">
        <v>3.653609696118032E-2</v>
      </c>
      <c r="K1494" s="8">
        <v>0.12894585804476749</v>
      </c>
      <c r="L1494" s="8">
        <v>-4.8379293662312528E-2</v>
      </c>
      <c r="M1494" s="18">
        <v>0.10903407838851679</v>
      </c>
    </row>
    <row r="1495" spans="1:13" x14ac:dyDescent="0.45">
      <c r="A1495" t="s">
        <v>1308</v>
      </c>
      <c r="B1495" s="18">
        <v>83.54</v>
      </c>
      <c r="C1495" s="18">
        <v>84.77</v>
      </c>
      <c r="D1495" s="18">
        <v>88.81</v>
      </c>
      <c r="E1495" s="18">
        <v>74.02</v>
      </c>
      <c r="F1495" s="18">
        <v>85.79</v>
      </c>
      <c r="G1495" s="18">
        <v>84.855000000000004</v>
      </c>
      <c r="H1495" s="18">
        <v>84.367599999999996</v>
      </c>
      <c r="I1495" s="8">
        <v>-1.4509850182847559E-2</v>
      </c>
      <c r="J1495" s="8">
        <v>-5.9340164395901278E-2</v>
      </c>
      <c r="K1495" s="8">
        <v>0.12861388813834121</v>
      </c>
      <c r="L1495" s="8">
        <v>-2.6226832964214911E-2</v>
      </c>
      <c r="M1495" s="18">
        <v>2.8537040595377431E-2</v>
      </c>
    </row>
    <row r="1496" spans="1:13" x14ac:dyDescent="0.45">
      <c r="A1496" t="s">
        <v>1810</v>
      </c>
      <c r="B1496" s="18">
        <v>19.89</v>
      </c>
      <c r="C1496" s="18">
        <v>19.64</v>
      </c>
      <c r="D1496" s="18">
        <v>19.48</v>
      </c>
      <c r="E1496" s="18">
        <v>17.63</v>
      </c>
      <c r="F1496" s="18">
        <v>19.12</v>
      </c>
      <c r="G1496" s="18">
        <v>19.624614000000001</v>
      </c>
      <c r="H1496" s="18">
        <v>19.015409999999999</v>
      </c>
      <c r="I1496" s="8">
        <v>1.2729124236252609E-2</v>
      </c>
      <c r="J1496" s="8">
        <v>2.1047227926078049E-2</v>
      </c>
      <c r="K1496" s="8">
        <v>0.12819058423142371</v>
      </c>
      <c r="L1496" s="8">
        <v>4.0271966527196668E-2</v>
      </c>
      <c r="M1496" s="18">
        <v>0.20223890292095101</v>
      </c>
    </row>
    <row r="1497" spans="1:13" x14ac:dyDescent="0.45">
      <c r="A1497" t="s">
        <v>1342</v>
      </c>
      <c r="B1497" s="18">
        <v>425.3</v>
      </c>
      <c r="C1497" s="18">
        <v>474.78</v>
      </c>
      <c r="D1497" s="18">
        <v>480.13</v>
      </c>
      <c r="E1497" s="18">
        <v>377.01</v>
      </c>
      <c r="F1497" s="18">
        <v>368.71</v>
      </c>
      <c r="G1497" s="18">
        <v>449.43060000000003</v>
      </c>
      <c r="H1497" s="18">
        <v>435.11739999999998</v>
      </c>
      <c r="I1497" s="8">
        <v>-0.1042166898352921</v>
      </c>
      <c r="J1497" s="8">
        <v>-0.1141982379772145</v>
      </c>
      <c r="K1497" s="8">
        <v>0.12808678814885541</v>
      </c>
      <c r="L1497" s="8">
        <v>0.15348105557212999</v>
      </c>
      <c r="M1497" s="18">
        <v>6.3152915908478824E-2</v>
      </c>
    </row>
    <row r="1498" spans="1:13" x14ac:dyDescent="0.45">
      <c r="A1498" t="s">
        <v>1737</v>
      </c>
      <c r="B1498" s="18">
        <v>25.74</v>
      </c>
      <c r="C1498" s="18">
        <v>24.65</v>
      </c>
      <c r="D1498" s="18">
        <v>25.29</v>
      </c>
      <c r="E1498" s="18">
        <v>22.82</v>
      </c>
      <c r="F1498" s="18">
        <v>22.06</v>
      </c>
      <c r="G1498" s="18">
        <v>25.803000000000001</v>
      </c>
      <c r="H1498" s="18">
        <v>25.038399999999999</v>
      </c>
      <c r="I1498" s="8">
        <v>4.4219066937119633E-2</v>
      </c>
      <c r="J1498" s="8">
        <v>1.7793594306049879E-2</v>
      </c>
      <c r="K1498" s="8">
        <v>0.1279579316389132</v>
      </c>
      <c r="L1498" s="8">
        <v>0.16681776971894829</v>
      </c>
      <c r="M1498" s="18">
        <v>0.35678836260103108</v>
      </c>
    </row>
    <row r="1499" spans="1:13" x14ac:dyDescent="0.45">
      <c r="A1499" t="s">
        <v>2046</v>
      </c>
      <c r="B1499" s="18">
        <v>34.380000000000003</v>
      </c>
      <c r="C1499" s="18">
        <v>34.83</v>
      </c>
      <c r="D1499" s="18">
        <v>34.24</v>
      </c>
      <c r="E1499" s="18">
        <v>30.48</v>
      </c>
      <c r="F1499" s="18">
        <v>34.81</v>
      </c>
      <c r="G1499" s="18">
        <v>34.936199999999999</v>
      </c>
      <c r="H1499" s="18">
        <v>33.595999999999997</v>
      </c>
      <c r="I1499" s="8">
        <v>-1.291989664082671E-2</v>
      </c>
      <c r="J1499" s="8">
        <v>4.0887850467290487E-3</v>
      </c>
      <c r="K1499" s="8">
        <v>0.12795275590551181</v>
      </c>
      <c r="L1499" s="8">
        <v>-1.2352772191898899E-2</v>
      </c>
      <c r="M1499" s="18">
        <v>0.1067688721195152</v>
      </c>
    </row>
    <row r="1500" spans="1:13" x14ac:dyDescent="0.45">
      <c r="A1500" t="s">
        <v>831</v>
      </c>
      <c r="B1500" s="18">
        <v>11.12</v>
      </c>
      <c r="C1500" s="18">
        <v>11.1</v>
      </c>
      <c r="D1500" s="18">
        <v>10.98</v>
      </c>
      <c r="E1500" s="18">
        <v>9.86</v>
      </c>
      <c r="F1500" s="18">
        <v>11.19</v>
      </c>
      <c r="G1500" s="18">
        <v>11.023</v>
      </c>
      <c r="H1500" s="18">
        <v>10.742050000000001</v>
      </c>
      <c r="I1500" s="8">
        <v>1.801801801801783E-3</v>
      </c>
      <c r="J1500" s="8">
        <v>1.275045537340613E-2</v>
      </c>
      <c r="K1500" s="8">
        <v>0.12778904665314389</v>
      </c>
      <c r="L1500" s="8">
        <v>-6.2555853440572351E-3</v>
      </c>
      <c r="M1500" s="18">
        <v>0.1360857184842946</v>
      </c>
    </row>
    <row r="1501" spans="1:13" x14ac:dyDescent="0.45">
      <c r="A1501" t="s">
        <v>1256</v>
      </c>
      <c r="B1501" s="18">
        <v>18.72</v>
      </c>
      <c r="C1501" s="18">
        <v>19.239999999999998</v>
      </c>
      <c r="D1501" s="18">
        <v>18.88</v>
      </c>
      <c r="E1501" s="18">
        <v>16.600000000000001</v>
      </c>
      <c r="F1501" s="18">
        <v>19.38</v>
      </c>
      <c r="G1501" s="18">
        <v>19.133600000000001</v>
      </c>
      <c r="H1501" s="18">
        <v>18.473890000000001</v>
      </c>
      <c r="I1501" s="8">
        <v>-2.702702702702697E-2</v>
      </c>
      <c r="J1501" s="8">
        <v>-8.4745762711864181E-3</v>
      </c>
      <c r="K1501" s="8">
        <v>0.12771084337349389</v>
      </c>
      <c r="L1501" s="8">
        <v>-3.4055727554179627E-2</v>
      </c>
      <c r="M1501" s="18">
        <v>5.8153512521100903E-2</v>
      </c>
    </row>
    <row r="1502" spans="1:13" x14ac:dyDescent="0.45">
      <c r="A1502" t="s">
        <v>376</v>
      </c>
      <c r="B1502" s="18">
        <v>27.02</v>
      </c>
      <c r="C1502" s="18">
        <v>29.42</v>
      </c>
      <c r="D1502" s="18">
        <v>29.66</v>
      </c>
      <c r="E1502" s="18">
        <v>23.97</v>
      </c>
      <c r="F1502" s="18">
        <v>26.14</v>
      </c>
      <c r="G1502" s="18">
        <v>29.476500000000001</v>
      </c>
      <c r="H1502" s="18">
        <v>28.353124999999999</v>
      </c>
      <c r="I1502" s="8">
        <v>-8.1577158395649274E-2</v>
      </c>
      <c r="J1502" s="8">
        <v>-8.9008766014834761E-2</v>
      </c>
      <c r="K1502" s="8">
        <v>0.12724238631622861</v>
      </c>
      <c r="L1502" s="8">
        <v>3.3664881407803993E-2</v>
      </c>
      <c r="M1502" s="18">
        <v>-9.6786566864514034E-3</v>
      </c>
    </row>
    <row r="1503" spans="1:13" x14ac:dyDescent="0.45">
      <c r="A1503" t="s">
        <v>2308</v>
      </c>
      <c r="B1503" s="18">
        <v>26.6</v>
      </c>
      <c r="C1503" s="18">
        <v>24.7</v>
      </c>
      <c r="D1503" s="18">
        <v>28.46</v>
      </c>
      <c r="E1503" s="18">
        <v>23.6</v>
      </c>
      <c r="F1503" s="18">
        <v>28.56</v>
      </c>
      <c r="G1503" s="18">
        <v>26.385000000000002</v>
      </c>
      <c r="H1503" s="18">
        <v>27.638400000000001</v>
      </c>
      <c r="I1503" s="8">
        <v>7.6923076923077094E-2</v>
      </c>
      <c r="J1503" s="8">
        <v>-6.5354884047786332E-2</v>
      </c>
      <c r="K1503" s="8">
        <v>0.12711864406779649</v>
      </c>
      <c r="L1503" s="8">
        <v>-6.8627450980392024E-2</v>
      </c>
      <c r="M1503" s="18">
        <v>7.0059385962695231E-2</v>
      </c>
    </row>
    <row r="1504" spans="1:13" x14ac:dyDescent="0.45">
      <c r="A1504" t="s">
        <v>1176</v>
      </c>
      <c r="B1504" s="18">
        <v>59.61</v>
      </c>
      <c r="C1504" s="18">
        <v>63.05</v>
      </c>
      <c r="D1504" s="18">
        <v>56.77</v>
      </c>
      <c r="E1504" s="18">
        <v>52.91</v>
      </c>
      <c r="F1504" s="18">
        <v>64.180000000000007</v>
      </c>
      <c r="G1504" s="18">
        <v>62.061999999999998</v>
      </c>
      <c r="H1504" s="18">
        <v>58.297199999999997</v>
      </c>
      <c r="I1504" s="8">
        <v>-5.4559873116574058E-2</v>
      </c>
      <c r="J1504" s="8">
        <v>5.0026422406200373E-2</v>
      </c>
      <c r="K1504" s="8">
        <v>0.1266301266301266</v>
      </c>
      <c r="L1504" s="8">
        <v>-7.1205983172327958E-2</v>
      </c>
      <c r="M1504" s="18">
        <v>5.089069274742497E-2</v>
      </c>
    </row>
    <row r="1505" spans="1:13" x14ac:dyDescent="0.45">
      <c r="A1505" t="s">
        <v>1395</v>
      </c>
      <c r="B1505" s="18">
        <v>4.3600000000000003</v>
      </c>
      <c r="C1505" s="18">
        <v>4.34</v>
      </c>
      <c r="D1505" s="18">
        <v>4.3099999999999996</v>
      </c>
      <c r="E1505" s="18">
        <v>3.87</v>
      </c>
      <c r="F1505" s="18">
        <v>4.47</v>
      </c>
      <c r="G1505" s="18">
        <v>4.3212000000000002</v>
      </c>
      <c r="H1505" s="18">
        <v>4.2509750000000004</v>
      </c>
      <c r="I1505" s="8">
        <v>4.6082949308756671E-3</v>
      </c>
      <c r="J1505" s="8">
        <v>1.160092807424618E-2</v>
      </c>
      <c r="K1505" s="8">
        <v>0.12661498708010341</v>
      </c>
      <c r="L1505" s="8">
        <v>-2.460850111856816E-2</v>
      </c>
      <c r="M1505" s="18">
        <v>0.1182157089666571</v>
      </c>
    </row>
    <row r="1506" spans="1:13" x14ac:dyDescent="0.45">
      <c r="A1506" t="s">
        <v>715</v>
      </c>
      <c r="B1506" s="18">
        <v>14.91</v>
      </c>
      <c r="C1506" s="18">
        <v>15.21</v>
      </c>
      <c r="D1506" s="18">
        <v>15.22</v>
      </c>
      <c r="E1506" s="18">
        <v>13.24</v>
      </c>
      <c r="F1506" s="18">
        <v>16.46</v>
      </c>
      <c r="G1506" s="18">
        <v>14.917999999999999</v>
      </c>
      <c r="H1506" s="18">
        <v>14.957599999999999</v>
      </c>
      <c r="I1506" s="8">
        <v>-1.9723865877712129E-2</v>
      </c>
      <c r="J1506" s="8">
        <v>-2.036793692509864E-2</v>
      </c>
      <c r="K1506" s="8">
        <v>0.1261329305135952</v>
      </c>
      <c r="L1506" s="8">
        <v>-9.4167679222357248E-2</v>
      </c>
      <c r="M1506" s="18">
        <v>-8.1265515115728215E-3</v>
      </c>
    </row>
    <row r="1507" spans="1:13" x14ac:dyDescent="0.45">
      <c r="A1507" t="s">
        <v>1066</v>
      </c>
      <c r="B1507" s="18">
        <v>10.01</v>
      </c>
      <c r="C1507" s="18">
        <v>9.9499999999999993</v>
      </c>
      <c r="D1507" s="18">
        <v>9.6999999999999993</v>
      </c>
      <c r="E1507" s="18">
        <v>8.89</v>
      </c>
      <c r="F1507" s="18">
        <v>9.65</v>
      </c>
      <c r="G1507" s="18">
        <v>9.8945999999999987</v>
      </c>
      <c r="H1507" s="18">
        <v>9.6166999999999998</v>
      </c>
      <c r="I1507" s="8">
        <v>6.0301507537690044E-3</v>
      </c>
      <c r="J1507" s="8">
        <v>3.1958762886598047E-2</v>
      </c>
      <c r="K1507" s="8">
        <v>0.12598425196850391</v>
      </c>
      <c r="L1507" s="8">
        <v>3.730569948186524E-2</v>
      </c>
      <c r="M1507" s="18">
        <v>0.2012788650907362</v>
      </c>
    </row>
    <row r="1508" spans="1:13" x14ac:dyDescent="0.45">
      <c r="A1508" t="s">
        <v>583</v>
      </c>
      <c r="B1508" s="18">
        <v>19.690000000000001</v>
      </c>
      <c r="C1508" s="18">
        <v>19.399999999999999</v>
      </c>
      <c r="D1508" s="18">
        <v>18.43</v>
      </c>
      <c r="E1508" s="18">
        <v>17.489999999999998</v>
      </c>
      <c r="F1508" s="18">
        <v>23</v>
      </c>
      <c r="G1508" s="18">
        <v>19.628599999999999</v>
      </c>
      <c r="H1508" s="18">
        <v>20.524100000000001</v>
      </c>
      <c r="I1508" s="8">
        <v>1.494845360824759E-2</v>
      </c>
      <c r="J1508" s="8">
        <v>6.8366793271839477E-2</v>
      </c>
      <c r="K1508" s="8">
        <v>0.1257861635220128</v>
      </c>
      <c r="L1508" s="8">
        <v>-0.14391304347826081</v>
      </c>
      <c r="M1508" s="18">
        <v>6.5188366923839003E-2</v>
      </c>
    </row>
    <row r="1509" spans="1:13" x14ac:dyDescent="0.45">
      <c r="A1509" t="s">
        <v>2347</v>
      </c>
      <c r="B1509" s="18">
        <v>21.57</v>
      </c>
      <c r="C1509" s="18">
        <v>24.49</v>
      </c>
      <c r="D1509" s="18">
        <v>24.29</v>
      </c>
      <c r="E1509" s="18">
        <v>19.16</v>
      </c>
      <c r="F1509" s="18">
        <v>20.52</v>
      </c>
      <c r="G1509" s="18">
        <v>23.706399999999999</v>
      </c>
      <c r="H1509" s="18">
        <v>22.681999999999999</v>
      </c>
      <c r="I1509" s="8">
        <v>-0.11923233973050219</v>
      </c>
      <c r="J1509" s="8">
        <v>-0.1119802387813915</v>
      </c>
      <c r="K1509" s="8">
        <v>0.12578288100208779</v>
      </c>
      <c r="L1509" s="8">
        <v>5.1169590643274983E-2</v>
      </c>
      <c r="M1509" s="18">
        <v>-5.4260106866530933E-2</v>
      </c>
    </row>
    <row r="1510" spans="1:13" x14ac:dyDescent="0.45">
      <c r="A1510" t="s">
        <v>1867</v>
      </c>
      <c r="B1510" s="18">
        <v>81</v>
      </c>
      <c r="C1510" s="18">
        <v>74.709999999999994</v>
      </c>
      <c r="D1510" s="18">
        <v>73.680000000000007</v>
      </c>
      <c r="E1510" s="18">
        <v>71.95</v>
      </c>
      <c r="F1510" s="18">
        <v>73.430000000000007</v>
      </c>
      <c r="G1510" s="18">
        <v>76.220399999999998</v>
      </c>
      <c r="H1510" s="18">
        <v>74.051949999999991</v>
      </c>
      <c r="I1510" s="8">
        <v>8.4192209878195756E-2</v>
      </c>
      <c r="J1510" s="8">
        <v>9.9348534201954219E-2</v>
      </c>
      <c r="K1510" s="8">
        <v>0.12578179291174421</v>
      </c>
      <c r="L1510" s="8">
        <v>0.1030913795451449</v>
      </c>
      <c r="M1510" s="18">
        <v>0.41241391653703913</v>
      </c>
    </row>
    <row r="1511" spans="1:13" x14ac:dyDescent="0.45">
      <c r="A1511" t="s">
        <v>2048</v>
      </c>
      <c r="B1511" s="18">
        <v>13.99</v>
      </c>
      <c r="C1511" s="18">
        <v>14.58</v>
      </c>
      <c r="D1511" s="18">
        <v>14.67</v>
      </c>
      <c r="E1511" s="18">
        <v>12.43</v>
      </c>
      <c r="F1511" s="18">
        <v>15.654</v>
      </c>
      <c r="G1511" s="18">
        <v>14.2302</v>
      </c>
      <c r="H1511" s="18">
        <v>14.21635</v>
      </c>
      <c r="I1511" s="8">
        <v>-4.0466392318244122E-2</v>
      </c>
      <c r="J1511" s="8">
        <v>-4.6353101567825461E-2</v>
      </c>
      <c r="K1511" s="8">
        <v>0.12550281576830249</v>
      </c>
      <c r="L1511" s="8">
        <v>-0.1062987095949917</v>
      </c>
      <c r="M1511" s="18">
        <v>-6.7615387712758768E-2</v>
      </c>
    </row>
    <row r="1512" spans="1:13" x14ac:dyDescent="0.45">
      <c r="A1512" t="s">
        <v>611</v>
      </c>
      <c r="B1512" s="18">
        <v>1.1254999999999999</v>
      </c>
      <c r="C1512" s="18">
        <v>1.1301000000000001</v>
      </c>
      <c r="D1512" s="18">
        <v>1.01</v>
      </c>
      <c r="E1512" s="18">
        <v>1</v>
      </c>
      <c r="F1512" s="18">
        <v>1.53</v>
      </c>
      <c r="G1512" s="18">
        <v>1.0994079999999999</v>
      </c>
      <c r="H1512" s="18">
        <v>1.05860975</v>
      </c>
      <c r="I1512" s="8">
        <v>-4.0704362445802564E-3</v>
      </c>
      <c r="J1512" s="8">
        <v>0.11435643564356419</v>
      </c>
      <c r="K1512" s="8">
        <v>0.12549999999999989</v>
      </c>
      <c r="L1512" s="8">
        <v>-0.26437908496732032</v>
      </c>
      <c r="M1512" s="18">
        <v>-2.8593085568336399E-2</v>
      </c>
    </row>
    <row r="1513" spans="1:13" x14ac:dyDescent="0.45">
      <c r="A1513" t="s">
        <v>1194</v>
      </c>
      <c r="B1513" s="18">
        <v>11.07</v>
      </c>
      <c r="C1513" s="18">
        <v>10.89</v>
      </c>
      <c r="D1513" s="18">
        <v>10.45</v>
      </c>
      <c r="E1513" s="18">
        <v>9.84</v>
      </c>
      <c r="F1513" s="18">
        <v>10.97</v>
      </c>
      <c r="G1513" s="18">
        <v>10.732799999999999</v>
      </c>
      <c r="H1513" s="18">
        <v>10.413449999999999</v>
      </c>
      <c r="I1513" s="8">
        <v>1.6528925619834659E-2</v>
      </c>
      <c r="J1513" s="8">
        <v>5.93301435406699E-2</v>
      </c>
      <c r="K1513" s="8">
        <v>0.125</v>
      </c>
      <c r="L1513" s="8">
        <v>9.1157702825888087E-3</v>
      </c>
      <c r="M1513" s="18">
        <v>0.20997483944309339</v>
      </c>
    </row>
    <row r="1514" spans="1:13" x14ac:dyDescent="0.45">
      <c r="A1514" t="s">
        <v>251</v>
      </c>
      <c r="B1514" s="18">
        <v>142.41</v>
      </c>
      <c r="C1514" s="18">
        <v>144.88</v>
      </c>
      <c r="D1514" s="18">
        <v>148.82</v>
      </c>
      <c r="E1514" s="18">
        <v>126.61</v>
      </c>
      <c r="F1514" s="18">
        <v>169.48</v>
      </c>
      <c r="G1514" s="18">
        <v>140.95779999999999</v>
      </c>
      <c r="H1514" s="18">
        <v>146.72845000000001</v>
      </c>
      <c r="I1514" s="8">
        <v>-1.704859193815567E-2</v>
      </c>
      <c r="J1514" s="8">
        <v>-4.3072167719392478E-2</v>
      </c>
      <c r="K1514" s="8">
        <v>0.1247926704051812</v>
      </c>
      <c r="L1514" s="8">
        <v>-0.1597238612225631</v>
      </c>
      <c r="M1514" s="18">
        <v>-9.5051950474930091E-2</v>
      </c>
    </row>
    <row r="1515" spans="1:13" x14ac:dyDescent="0.45">
      <c r="A1515" t="s">
        <v>111</v>
      </c>
      <c r="B1515" s="18">
        <v>76.72</v>
      </c>
      <c r="C1515" s="18">
        <v>78.16</v>
      </c>
      <c r="D1515" s="18">
        <v>79.44</v>
      </c>
      <c r="E1515" s="18">
        <v>68.209999999999994</v>
      </c>
      <c r="F1515" s="18">
        <v>101.48</v>
      </c>
      <c r="G1515" s="18">
        <v>76.247200000000007</v>
      </c>
      <c r="H1515" s="18">
        <v>81.832699999999988</v>
      </c>
      <c r="I1515" s="8">
        <v>-1.842374616171949E-2</v>
      </c>
      <c r="J1515" s="8">
        <v>-3.423967774420944E-2</v>
      </c>
      <c r="K1515" s="8">
        <v>0.12476176513707669</v>
      </c>
      <c r="L1515" s="8">
        <v>-0.24398896334253059</v>
      </c>
      <c r="M1515" s="18">
        <v>-0.17189062211138281</v>
      </c>
    </row>
    <row r="1516" spans="1:13" x14ac:dyDescent="0.45">
      <c r="A1516" t="s">
        <v>2065</v>
      </c>
      <c r="B1516" s="18">
        <v>88.64</v>
      </c>
      <c r="C1516" s="18">
        <v>98.87</v>
      </c>
      <c r="D1516" s="18">
        <v>104.45</v>
      </c>
      <c r="E1516" s="18">
        <v>78.849999999999994</v>
      </c>
      <c r="F1516" s="18">
        <v>112.56</v>
      </c>
      <c r="G1516" s="18">
        <v>95.418400000000005</v>
      </c>
      <c r="H1516" s="18">
        <v>97.291250000000005</v>
      </c>
      <c r="I1516" s="8">
        <v>-0.1034692019824012</v>
      </c>
      <c r="J1516" s="8">
        <v>-0.15136428913355671</v>
      </c>
      <c r="K1516" s="8">
        <v>0.12415979708306921</v>
      </c>
      <c r="L1516" s="8">
        <v>-0.21250888415067529</v>
      </c>
      <c r="M1516" s="18">
        <v>-0.3431825781835639</v>
      </c>
    </row>
    <row r="1517" spans="1:13" x14ac:dyDescent="0.45">
      <c r="A1517" t="s">
        <v>1868</v>
      </c>
      <c r="B1517" s="18">
        <v>40.68</v>
      </c>
      <c r="C1517" s="18">
        <v>42.83</v>
      </c>
      <c r="D1517" s="18">
        <v>36.65</v>
      </c>
      <c r="E1517" s="18">
        <v>36.21</v>
      </c>
      <c r="F1517" s="18">
        <v>39.35</v>
      </c>
      <c r="G1517" s="18">
        <v>41.485199999999992</v>
      </c>
      <c r="H1517" s="18">
        <v>38.329099999999997</v>
      </c>
      <c r="I1517" s="8">
        <v>-5.0198459024048507E-2</v>
      </c>
      <c r="J1517" s="8">
        <v>0.1099590723055934</v>
      </c>
      <c r="K1517" s="8">
        <v>0.1234465617232807</v>
      </c>
      <c r="L1517" s="8">
        <v>3.3799237611181747E-2</v>
      </c>
      <c r="M1517" s="18">
        <v>0.21700641261600739</v>
      </c>
    </row>
    <row r="1518" spans="1:13" x14ac:dyDescent="0.45">
      <c r="A1518" t="s">
        <v>467</v>
      </c>
      <c r="B1518" s="18">
        <v>53.92</v>
      </c>
      <c r="C1518" s="18">
        <v>59.08</v>
      </c>
      <c r="D1518" s="18">
        <v>57.44</v>
      </c>
      <c r="E1518" s="18">
        <v>48.02</v>
      </c>
      <c r="F1518" s="18">
        <v>58.994</v>
      </c>
      <c r="G1518" s="18">
        <v>59.122400000000013</v>
      </c>
      <c r="H1518" s="18">
        <v>54.928879999999999</v>
      </c>
      <c r="I1518" s="8">
        <v>-8.7339201083276863E-2</v>
      </c>
      <c r="J1518" s="8">
        <v>-6.1281337047353723E-2</v>
      </c>
      <c r="K1518" s="8">
        <v>0.12286547271970009</v>
      </c>
      <c r="L1518" s="8">
        <v>-8.6008746652201928E-2</v>
      </c>
      <c r="M1518" s="18">
        <v>-0.1117638120631325</v>
      </c>
    </row>
    <row r="1519" spans="1:13" x14ac:dyDescent="0.45">
      <c r="A1519" t="s">
        <v>1440</v>
      </c>
      <c r="B1519" s="18">
        <v>9.51</v>
      </c>
      <c r="C1519" s="18">
        <v>9.5500000000000007</v>
      </c>
      <c r="D1519" s="18">
        <v>9.83</v>
      </c>
      <c r="E1519" s="18">
        <v>8.4700000000000006</v>
      </c>
      <c r="F1519" s="18">
        <v>9.9499999999999993</v>
      </c>
      <c r="G1519" s="18">
        <v>9.5792000000000002</v>
      </c>
      <c r="H1519" s="18">
        <v>9.6394500000000001</v>
      </c>
      <c r="I1519" s="8">
        <v>-4.1884816753927634E-3</v>
      </c>
      <c r="J1519" s="8">
        <v>-3.2553407934893253E-2</v>
      </c>
      <c r="K1519" s="8">
        <v>0.1227863046044864</v>
      </c>
      <c r="L1519" s="8">
        <v>-4.4221105527638138E-2</v>
      </c>
      <c r="M1519" s="18">
        <v>4.1823309466562208E-2</v>
      </c>
    </row>
    <row r="1520" spans="1:13" x14ac:dyDescent="0.45">
      <c r="A1520" t="s">
        <v>180</v>
      </c>
      <c r="B1520" s="18">
        <v>153.74</v>
      </c>
      <c r="C1520" s="18">
        <v>154.85</v>
      </c>
      <c r="D1520" s="18">
        <v>154.16999999999999</v>
      </c>
      <c r="E1520" s="18">
        <v>136.93</v>
      </c>
      <c r="F1520" s="18">
        <v>150.74</v>
      </c>
      <c r="G1520" s="18">
        <v>156.00819999999999</v>
      </c>
      <c r="H1520" s="18">
        <v>150.57804999999999</v>
      </c>
      <c r="I1520" s="8">
        <v>-7.1682273167580357E-3</v>
      </c>
      <c r="J1520" s="8">
        <v>-2.7891288836996431E-3</v>
      </c>
      <c r="K1520" s="8">
        <v>0.1227634557803257</v>
      </c>
      <c r="L1520" s="8">
        <v>1.9901817699349959E-2</v>
      </c>
      <c r="M1520" s="18">
        <v>0.13270791727921791</v>
      </c>
    </row>
    <row r="1521" spans="1:13" x14ac:dyDescent="0.45">
      <c r="A1521" t="s">
        <v>344</v>
      </c>
      <c r="B1521" s="18">
        <v>237.59</v>
      </c>
      <c r="C1521" s="18">
        <v>269.02999999999997</v>
      </c>
      <c r="D1521" s="18">
        <v>227.91</v>
      </c>
      <c r="E1521" s="18">
        <v>211.69</v>
      </c>
      <c r="F1521" s="18">
        <v>267.76</v>
      </c>
      <c r="G1521" s="18">
        <v>253.87639999999999</v>
      </c>
      <c r="H1521" s="18">
        <v>238.82655</v>
      </c>
      <c r="I1521" s="8">
        <v>-0.11686429022785549</v>
      </c>
      <c r="J1521" s="8">
        <v>4.2472905971655539E-2</v>
      </c>
      <c r="K1521" s="8">
        <v>0.12234871746421661</v>
      </c>
      <c r="L1521" s="8">
        <v>-0.1126755303256647</v>
      </c>
      <c r="M1521" s="18">
        <v>-6.4718197117648035E-2</v>
      </c>
    </row>
    <row r="1522" spans="1:13" x14ac:dyDescent="0.45">
      <c r="A1522" t="s">
        <v>1405</v>
      </c>
      <c r="B1522" s="18">
        <v>44.5</v>
      </c>
      <c r="C1522" s="18">
        <v>46.45</v>
      </c>
      <c r="D1522" s="18">
        <v>40.58</v>
      </c>
      <c r="E1522" s="18">
        <v>39.65</v>
      </c>
      <c r="F1522" s="18">
        <v>35.880000000000003</v>
      </c>
      <c r="G1522" s="18">
        <v>45.04</v>
      </c>
      <c r="H1522" s="18">
        <v>42.091099999999997</v>
      </c>
      <c r="I1522" s="8">
        <v>-4.1980624327233602E-2</v>
      </c>
      <c r="J1522" s="8">
        <v>9.6599310004928496E-2</v>
      </c>
      <c r="K1522" s="8">
        <v>0.12232030264817161</v>
      </c>
      <c r="L1522" s="8">
        <v>0.24024526198439219</v>
      </c>
      <c r="M1522" s="18">
        <v>0.41718425031025869</v>
      </c>
    </row>
    <row r="1523" spans="1:13" x14ac:dyDescent="0.45">
      <c r="A1523" t="s">
        <v>1503</v>
      </c>
      <c r="B1523" s="18">
        <v>14.04</v>
      </c>
      <c r="C1523" s="18">
        <v>14.35</v>
      </c>
      <c r="D1523" s="18">
        <v>13.92</v>
      </c>
      <c r="E1523" s="18">
        <v>12.51</v>
      </c>
      <c r="F1523" s="18">
        <v>14.1</v>
      </c>
      <c r="G1523" s="18">
        <v>14.121335999999999</v>
      </c>
      <c r="H1523" s="18">
        <v>13.763736</v>
      </c>
      <c r="I1523" s="8">
        <v>-2.160278745644606E-2</v>
      </c>
      <c r="J1523" s="8">
        <v>8.6206896551723755E-3</v>
      </c>
      <c r="K1523" s="8">
        <v>0.1223021582733812</v>
      </c>
      <c r="L1523" s="8">
        <v>-4.2553191489361764E-3</v>
      </c>
      <c r="M1523" s="18">
        <v>0.1050647413231713</v>
      </c>
    </row>
    <row r="1524" spans="1:13" x14ac:dyDescent="0.45">
      <c r="A1524" t="s">
        <v>1537</v>
      </c>
      <c r="B1524" s="18">
        <v>12.5</v>
      </c>
      <c r="C1524" s="18">
        <v>12.58</v>
      </c>
      <c r="D1524" s="18">
        <v>12.61</v>
      </c>
      <c r="E1524" s="18">
        <v>11.14</v>
      </c>
      <c r="F1524" s="18">
        <v>14.77</v>
      </c>
      <c r="G1524" s="18">
        <v>12.5884</v>
      </c>
      <c r="H1524" s="18">
        <v>12.456175</v>
      </c>
      <c r="I1524" s="8">
        <v>-6.3593004769475492E-3</v>
      </c>
      <c r="J1524" s="8">
        <v>-8.7232355273592077E-3</v>
      </c>
      <c r="K1524" s="8">
        <v>0.12208258527827651</v>
      </c>
      <c r="L1524" s="8">
        <v>-0.15368991198375079</v>
      </c>
      <c r="M1524" s="18">
        <v>-4.6689862709781038E-2</v>
      </c>
    </row>
    <row r="1525" spans="1:13" x14ac:dyDescent="0.45">
      <c r="A1525" t="s">
        <v>108</v>
      </c>
      <c r="B1525" s="18">
        <v>111.9</v>
      </c>
      <c r="C1525" s="18">
        <v>106.28</v>
      </c>
      <c r="D1525" s="18">
        <v>102.28</v>
      </c>
      <c r="E1525" s="18">
        <v>99.77</v>
      </c>
      <c r="F1525" s="18">
        <v>115.26</v>
      </c>
      <c r="G1525" s="18">
        <v>106.9212</v>
      </c>
      <c r="H1525" s="18">
        <v>105.47924999999999</v>
      </c>
      <c r="I1525" s="8">
        <v>5.2879187053067378E-2</v>
      </c>
      <c r="J1525" s="8">
        <v>9.4055533828705462E-2</v>
      </c>
      <c r="K1525" s="8">
        <v>0.1215796331562595</v>
      </c>
      <c r="L1525" s="8">
        <v>-2.915148360229047E-2</v>
      </c>
      <c r="M1525" s="18">
        <v>0.23936287043574189</v>
      </c>
    </row>
    <row r="1526" spans="1:13" x14ac:dyDescent="0.45">
      <c r="A1526" t="s">
        <v>1116</v>
      </c>
      <c r="B1526" s="18">
        <v>27.7</v>
      </c>
      <c r="C1526" s="18">
        <v>23.02</v>
      </c>
      <c r="D1526" s="18">
        <v>27.29</v>
      </c>
      <c r="E1526" s="18">
        <v>24.7</v>
      </c>
      <c r="F1526" s="18">
        <v>23.13</v>
      </c>
      <c r="G1526" s="18">
        <v>24.527799999999999</v>
      </c>
      <c r="H1526" s="18">
        <v>27.646049999999999</v>
      </c>
      <c r="I1526" s="8">
        <v>0.20330147697654219</v>
      </c>
      <c r="J1526" s="8">
        <v>1.502381824844257E-2</v>
      </c>
      <c r="K1526" s="8">
        <v>0.1214574898785425</v>
      </c>
      <c r="L1526" s="8">
        <v>0.19757890185905749</v>
      </c>
      <c r="M1526" s="18">
        <v>0.53736168696258479</v>
      </c>
    </row>
    <row r="1527" spans="1:13" x14ac:dyDescent="0.45">
      <c r="A1527" t="s">
        <v>682</v>
      </c>
      <c r="B1527" s="18">
        <v>11.09</v>
      </c>
      <c r="C1527" s="18">
        <v>11.24</v>
      </c>
      <c r="D1527" s="18">
        <v>11.06</v>
      </c>
      <c r="E1527" s="18">
        <v>9.89</v>
      </c>
      <c r="F1527" s="18">
        <v>11.19</v>
      </c>
      <c r="G1527" s="18">
        <v>11.217599999999999</v>
      </c>
      <c r="H1527" s="18">
        <v>10.87115</v>
      </c>
      <c r="I1527" s="8">
        <v>-1.334519572953741E-2</v>
      </c>
      <c r="J1527" s="8">
        <v>2.7124773960216508E-3</v>
      </c>
      <c r="K1527" s="8">
        <v>0.12133468149646109</v>
      </c>
      <c r="L1527" s="8">
        <v>-8.936550491510209E-3</v>
      </c>
      <c r="M1527" s="18">
        <v>0.1017654126714351</v>
      </c>
    </row>
    <row r="1528" spans="1:13" x14ac:dyDescent="0.45">
      <c r="A1528" t="s">
        <v>2021</v>
      </c>
      <c r="B1528" s="18">
        <v>67.3</v>
      </c>
      <c r="C1528" s="18">
        <v>61.86</v>
      </c>
      <c r="D1528" s="18">
        <v>67.75</v>
      </c>
      <c r="E1528" s="18">
        <v>60.03</v>
      </c>
      <c r="F1528" s="18">
        <v>71.760000000000005</v>
      </c>
      <c r="G1528" s="18">
        <v>64.855000000000004</v>
      </c>
      <c r="H1528" s="18">
        <v>65.760000000000005</v>
      </c>
      <c r="I1528" s="8">
        <v>8.7940510830908369E-2</v>
      </c>
      <c r="J1528" s="8">
        <v>-6.6420664206642277E-3</v>
      </c>
      <c r="K1528" s="8">
        <v>0.1211061136098617</v>
      </c>
      <c r="L1528" s="8">
        <v>-6.2151616499442668E-2</v>
      </c>
      <c r="M1528" s="18">
        <v>0.14025294152066309</v>
      </c>
    </row>
    <row r="1529" spans="1:13" x14ac:dyDescent="0.45">
      <c r="A1529" t="s">
        <v>1881</v>
      </c>
      <c r="B1529" s="18">
        <v>43.62</v>
      </c>
      <c r="C1529" s="18">
        <v>44.39</v>
      </c>
      <c r="D1529" s="18">
        <v>53.31</v>
      </c>
      <c r="E1529" s="18">
        <v>38.909999999999997</v>
      </c>
      <c r="F1529" s="18">
        <v>51.71</v>
      </c>
      <c r="G1529" s="18">
        <v>44.931600000000003</v>
      </c>
      <c r="H1529" s="18">
        <v>50.298900000000003</v>
      </c>
      <c r="I1529" s="8">
        <v>-1.734624915521521E-2</v>
      </c>
      <c r="J1529" s="8">
        <v>-0.18176702307259429</v>
      </c>
      <c r="K1529" s="8">
        <v>0.1210485736314573</v>
      </c>
      <c r="L1529" s="8">
        <v>-0.15644942951073301</v>
      </c>
      <c r="M1529" s="18">
        <v>-0.2345141281070853</v>
      </c>
    </row>
    <row r="1530" spans="1:13" x14ac:dyDescent="0.45">
      <c r="A1530" t="s">
        <v>1260</v>
      </c>
      <c r="B1530" s="18">
        <v>12.99</v>
      </c>
      <c r="C1530" s="18">
        <v>13.29</v>
      </c>
      <c r="D1530" s="18">
        <v>13.25</v>
      </c>
      <c r="E1530" s="18">
        <v>11.59</v>
      </c>
      <c r="F1530" s="18">
        <v>13.45</v>
      </c>
      <c r="G1530" s="18">
        <v>13.166</v>
      </c>
      <c r="H1530" s="18">
        <v>12.980133500000001</v>
      </c>
      <c r="I1530" s="8">
        <v>-2.2573363431151131E-2</v>
      </c>
      <c r="J1530" s="8">
        <v>-1.9622641509433939E-2</v>
      </c>
      <c r="K1530" s="8">
        <v>0.1207937877480587</v>
      </c>
      <c r="L1530" s="8">
        <v>-3.4200743494423702E-2</v>
      </c>
      <c r="M1530" s="18">
        <v>4.4397039313049953E-2</v>
      </c>
    </row>
    <row r="1531" spans="1:13" x14ac:dyDescent="0.45">
      <c r="A1531" t="s">
        <v>2469</v>
      </c>
      <c r="B1531" s="18">
        <v>39.21</v>
      </c>
      <c r="C1531" s="18">
        <v>38.08</v>
      </c>
      <c r="D1531" s="18">
        <v>39.24</v>
      </c>
      <c r="E1531" s="18">
        <v>34.99</v>
      </c>
      <c r="F1531" s="18">
        <v>39.1</v>
      </c>
      <c r="G1531" s="18">
        <v>38.682000000000002</v>
      </c>
      <c r="H1531" s="18">
        <v>39.2209</v>
      </c>
      <c r="I1531" s="8">
        <v>2.9674369747899169E-2</v>
      </c>
      <c r="J1531" s="8">
        <v>-7.6452599388376896E-4</v>
      </c>
      <c r="K1531" s="8">
        <v>0.12060588739639889</v>
      </c>
      <c r="L1531" s="8">
        <v>2.813299232736544E-3</v>
      </c>
      <c r="M1531" s="18">
        <v>0.15232903038315079</v>
      </c>
    </row>
    <row r="1532" spans="1:13" x14ac:dyDescent="0.45">
      <c r="A1532" t="s">
        <v>785</v>
      </c>
      <c r="B1532" s="18">
        <v>15</v>
      </c>
      <c r="C1532" s="18">
        <v>14.61</v>
      </c>
      <c r="D1532" s="18">
        <v>14.56</v>
      </c>
      <c r="E1532" s="18">
        <v>13.39</v>
      </c>
      <c r="F1532" s="18">
        <v>15.89</v>
      </c>
      <c r="G1532" s="18">
        <v>14.2631</v>
      </c>
      <c r="H1532" s="18">
        <v>14.69905</v>
      </c>
      <c r="I1532" s="8">
        <v>2.6694045174538109E-2</v>
      </c>
      <c r="J1532" s="8">
        <v>3.0219780219780109E-2</v>
      </c>
      <c r="K1532" s="8">
        <v>0.12023898431665429</v>
      </c>
      <c r="L1532" s="8">
        <v>-5.6010069225928327E-2</v>
      </c>
      <c r="M1532" s="18">
        <v>0.1211427404850441</v>
      </c>
    </row>
    <row r="1533" spans="1:13" x14ac:dyDescent="0.45">
      <c r="A1533" t="s">
        <v>1410</v>
      </c>
      <c r="B1533" s="18">
        <v>28.06</v>
      </c>
      <c r="C1533" s="18">
        <v>29.22</v>
      </c>
      <c r="D1533" s="18">
        <v>29.75</v>
      </c>
      <c r="E1533" s="18">
        <v>25.05</v>
      </c>
      <c r="F1533" s="18">
        <v>26.51</v>
      </c>
      <c r="G1533" s="18">
        <v>28.812799999999999</v>
      </c>
      <c r="H1533" s="18">
        <v>28.666149999999998</v>
      </c>
      <c r="I1533" s="8">
        <v>-3.9698836413415428E-2</v>
      </c>
      <c r="J1533" s="8">
        <v>-5.6806722689075717E-2</v>
      </c>
      <c r="K1533" s="8">
        <v>0.1201596806387224</v>
      </c>
      <c r="L1533" s="8">
        <v>5.8468502451904943E-2</v>
      </c>
      <c r="M1533" s="18">
        <v>8.212262398813619E-2</v>
      </c>
    </row>
    <row r="1534" spans="1:13" x14ac:dyDescent="0.45">
      <c r="A1534" t="s">
        <v>1927</v>
      </c>
      <c r="B1534" s="18">
        <v>16.329999999999998</v>
      </c>
      <c r="C1534" s="18">
        <v>16.64</v>
      </c>
      <c r="D1534" s="18">
        <v>15.82</v>
      </c>
      <c r="E1534" s="18">
        <v>14.58</v>
      </c>
      <c r="F1534" s="18">
        <v>18.05</v>
      </c>
      <c r="G1534" s="18">
        <v>16.145399999999999</v>
      </c>
      <c r="H1534" s="18">
        <v>16.621649999999999</v>
      </c>
      <c r="I1534" s="8">
        <v>-1.862980769230782E-2</v>
      </c>
      <c r="J1534" s="8">
        <v>3.223767383059406E-2</v>
      </c>
      <c r="K1534" s="8">
        <v>0.1200274348422494</v>
      </c>
      <c r="L1534" s="8">
        <v>-9.5290858725761929E-2</v>
      </c>
      <c r="M1534" s="18">
        <v>3.8344442254773743E-2</v>
      </c>
    </row>
    <row r="1535" spans="1:13" x14ac:dyDescent="0.45">
      <c r="A1535" t="s">
        <v>1700</v>
      </c>
      <c r="B1535" s="18">
        <v>8.5</v>
      </c>
      <c r="C1535" s="18">
        <v>9.07</v>
      </c>
      <c r="D1535" s="18">
        <v>9.25</v>
      </c>
      <c r="E1535" s="18">
        <v>7.59</v>
      </c>
      <c r="F1535" s="18">
        <v>9.4700000000000006</v>
      </c>
      <c r="G1535" s="18">
        <v>8.8830000000000009</v>
      </c>
      <c r="H1535" s="18">
        <v>8.7032000000000007</v>
      </c>
      <c r="I1535" s="8">
        <v>-6.2844542447629603E-2</v>
      </c>
      <c r="J1535" s="8">
        <v>-8.108108108108103E-2</v>
      </c>
      <c r="K1535" s="8">
        <v>0.1198945981554678</v>
      </c>
      <c r="L1535" s="8">
        <v>-0.10242872228088711</v>
      </c>
      <c r="M1535" s="18">
        <v>-0.1264597476541299</v>
      </c>
    </row>
    <row r="1536" spans="1:13" x14ac:dyDescent="0.45">
      <c r="A1536" t="s">
        <v>1382</v>
      </c>
      <c r="B1536" s="18">
        <v>10.64</v>
      </c>
      <c r="C1536" s="18">
        <v>10.82</v>
      </c>
      <c r="D1536" s="18">
        <v>10.59</v>
      </c>
      <c r="E1536" s="18">
        <v>9.5050000000000008</v>
      </c>
      <c r="F1536" s="18">
        <v>10.89</v>
      </c>
      <c r="G1536" s="18">
        <v>10.64026</v>
      </c>
      <c r="H1536" s="18">
        <v>10.468641</v>
      </c>
      <c r="I1536" s="8">
        <v>-1.6635859519408491E-2</v>
      </c>
      <c r="J1536" s="8">
        <v>4.7214353163362874E-3</v>
      </c>
      <c r="K1536" s="8">
        <v>0.1194108364018938</v>
      </c>
      <c r="L1536" s="8">
        <v>-2.2956841138659371E-2</v>
      </c>
      <c r="M1536" s="18">
        <v>8.4539571060162189E-2</v>
      </c>
    </row>
    <row r="1537" spans="1:13" x14ac:dyDescent="0.45">
      <c r="A1537" t="s">
        <v>2178</v>
      </c>
      <c r="B1537" s="18">
        <v>63.13</v>
      </c>
      <c r="C1537" s="18">
        <v>62.9</v>
      </c>
      <c r="D1537" s="18">
        <v>62.58</v>
      </c>
      <c r="E1537" s="18">
        <v>56.4</v>
      </c>
      <c r="F1537" s="18">
        <v>66.02</v>
      </c>
      <c r="G1537" s="18">
        <v>63.111400000000003</v>
      </c>
      <c r="H1537" s="18">
        <v>62.506250000000001</v>
      </c>
      <c r="I1537" s="8">
        <v>3.6565977742448741E-3</v>
      </c>
      <c r="J1537" s="8">
        <v>8.7887503994887872E-3</v>
      </c>
      <c r="K1537" s="8">
        <v>0.11932624113475181</v>
      </c>
      <c r="L1537" s="8">
        <v>-4.3774613753407958E-2</v>
      </c>
      <c r="M1537" s="18">
        <v>8.7996975555077461E-2</v>
      </c>
    </row>
    <row r="1538" spans="1:13" x14ac:dyDescent="0.45">
      <c r="A1538" t="s">
        <v>216</v>
      </c>
      <c r="B1538" s="18">
        <v>98.16</v>
      </c>
      <c r="C1538" s="18">
        <v>104.55</v>
      </c>
      <c r="D1538" s="18">
        <v>112.26</v>
      </c>
      <c r="E1538" s="18">
        <v>87.7</v>
      </c>
      <c r="F1538" s="18">
        <v>84.35</v>
      </c>
      <c r="G1538" s="18">
        <v>107.69799999999999</v>
      </c>
      <c r="H1538" s="18">
        <v>94.549849999999992</v>
      </c>
      <c r="I1538" s="8">
        <v>-6.1119081779053119E-2</v>
      </c>
      <c r="J1538" s="8">
        <v>-0.12560128273650459</v>
      </c>
      <c r="K1538" s="8">
        <v>0.11927023945267939</v>
      </c>
      <c r="L1538" s="8">
        <v>0.16372258446947249</v>
      </c>
      <c r="M1538" s="18">
        <v>9.6272459406594235E-2</v>
      </c>
    </row>
    <row r="1539" spans="1:13" x14ac:dyDescent="0.45">
      <c r="A1539" t="s">
        <v>1798</v>
      </c>
      <c r="B1539" s="18">
        <v>42.01</v>
      </c>
      <c r="C1539" s="18">
        <v>42.68</v>
      </c>
      <c r="D1539" s="18">
        <v>43.13</v>
      </c>
      <c r="E1539" s="18">
        <v>37.56</v>
      </c>
      <c r="F1539" s="18">
        <v>47.89</v>
      </c>
      <c r="G1539" s="18">
        <v>42.2258</v>
      </c>
      <c r="H1539" s="18">
        <v>41.599799999999988</v>
      </c>
      <c r="I1539" s="8">
        <v>-1.5698219306466751E-2</v>
      </c>
      <c r="J1539" s="8">
        <v>-2.5968003709714971E-2</v>
      </c>
      <c r="K1539" s="8">
        <v>0.11847710330138431</v>
      </c>
      <c r="L1539" s="8">
        <v>-0.12278137398204229</v>
      </c>
      <c r="M1539" s="18">
        <v>-4.5970493696839698E-2</v>
      </c>
    </row>
    <row r="1540" spans="1:13" x14ac:dyDescent="0.45">
      <c r="A1540" t="s">
        <v>1183</v>
      </c>
      <c r="B1540" s="18">
        <v>8.98</v>
      </c>
      <c r="C1540" s="18">
        <v>9.09</v>
      </c>
      <c r="D1540" s="18">
        <v>9</v>
      </c>
      <c r="E1540" s="18">
        <v>8.0299999999999994</v>
      </c>
      <c r="F1540" s="18">
        <v>9.3000000000000007</v>
      </c>
      <c r="G1540" s="18">
        <v>8.9739000000000004</v>
      </c>
      <c r="H1540" s="18">
        <v>8.8811999999999998</v>
      </c>
      <c r="I1540" s="8">
        <v>-1.2101210121012059E-2</v>
      </c>
      <c r="J1540" s="8">
        <v>-2.2222222222221259E-3</v>
      </c>
      <c r="K1540" s="8">
        <v>0.1183063511830638</v>
      </c>
      <c r="L1540" s="8">
        <v>-3.4408602150537648E-2</v>
      </c>
      <c r="M1540" s="18">
        <v>6.9574316689291926E-2</v>
      </c>
    </row>
    <row r="1541" spans="1:13" x14ac:dyDescent="0.45">
      <c r="A1541" t="s">
        <v>372</v>
      </c>
      <c r="B1541" s="18">
        <v>566.94000000000005</v>
      </c>
      <c r="C1541" s="18">
        <v>569.16</v>
      </c>
      <c r="D1541" s="18">
        <v>580.66</v>
      </c>
      <c r="E1541" s="18">
        <v>506.97</v>
      </c>
      <c r="F1541" s="18">
        <v>589.72</v>
      </c>
      <c r="G1541" s="18">
        <v>564.10559999999998</v>
      </c>
      <c r="H1541" s="18">
        <v>567.92804999999998</v>
      </c>
      <c r="I1541" s="8">
        <v>-3.9004849251527141E-3</v>
      </c>
      <c r="J1541" s="8">
        <v>-2.36282850549373E-2</v>
      </c>
      <c r="K1541" s="8">
        <v>0.1182910231374639</v>
      </c>
      <c r="L1541" s="8">
        <v>-3.8628501661805537E-2</v>
      </c>
      <c r="M1541" s="18">
        <v>5.2133751495568308E-2</v>
      </c>
    </row>
    <row r="1542" spans="1:13" x14ac:dyDescent="0.45">
      <c r="A1542" t="s">
        <v>731</v>
      </c>
      <c r="B1542" s="18">
        <v>15.79</v>
      </c>
      <c r="C1542" s="18">
        <v>16.489999999999998</v>
      </c>
      <c r="D1542" s="18">
        <v>15.82</v>
      </c>
      <c r="E1542" s="18">
        <v>14.12</v>
      </c>
      <c r="F1542" s="18">
        <v>17.920000000000002</v>
      </c>
      <c r="G1542" s="18">
        <v>16.096212000000001</v>
      </c>
      <c r="H1542" s="18">
        <v>15.5081545</v>
      </c>
      <c r="I1542" s="8">
        <v>-4.2449969678593047E-2</v>
      </c>
      <c r="J1542" s="8">
        <v>-1.896333754740853E-3</v>
      </c>
      <c r="K1542" s="8">
        <v>0.118271954674221</v>
      </c>
      <c r="L1542" s="8">
        <v>-0.1188616071428573</v>
      </c>
      <c r="M1542" s="18">
        <v>-4.4935955901970193E-2</v>
      </c>
    </row>
    <row r="1543" spans="1:13" x14ac:dyDescent="0.45">
      <c r="A1543" t="s">
        <v>1168</v>
      </c>
      <c r="B1543" s="18">
        <v>24.63</v>
      </c>
      <c r="C1543" s="18">
        <v>24.23</v>
      </c>
      <c r="D1543" s="18">
        <v>26.68</v>
      </c>
      <c r="E1543" s="18">
        <v>22.04</v>
      </c>
      <c r="F1543" s="18">
        <v>27.12</v>
      </c>
      <c r="G1543" s="18">
        <v>24.6968</v>
      </c>
      <c r="H1543" s="18">
        <v>24.449750000000009</v>
      </c>
      <c r="I1543" s="8">
        <v>1.6508460586050381E-2</v>
      </c>
      <c r="J1543" s="8">
        <v>-7.6836581709145424E-2</v>
      </c>
      <c r="K1543" s="8">
        <v>0.11751361161524509</v>
      </c>
      <c r="L1543" s="8">
        <v>-9.1814159292035513E-2</v>
      </c>
      <c r="M1543" s="18">
        <v>-3.4628668799885458E-2</v>
      </c>
    </row>
    <row r="1544" spans="1:13" x14ac:dyDescent="0.45">
      <c r="A1544" t="s">
        <v>2083</v>
      </c>
      <c r="B1544" s="18">
        <v>21.69</v>
      </c>
      <c r="C1544" s="18">
        <v>22.26</v>
      </c>
      <c r="D1544" s="18">
        <v>22.84</v>
      </c>
      <c r="E1544" s="18">
        <v>19.41</v>
      </c>
      <c r="F1544" s="18">
        <v>23.1</v>
      </c>
      <c r="G1544" s="18">
        <v>22.19</v>
      </c>
      <c r="H1544" s="18">
        <v>21.7681</v>
      </c>
      <c r="I1544" s="8">
        <v>-2.5606469002695479E-2</v>
      </c>
      <c r="J1544" s="8">
        <v>-5.0350262697022703E-2</v>
      </c>
      <c r="K1544" s="8">
        <v>0.1174652241112828</v>
      </c>
      <c r="L1544" s="8">
        <v>-6.1038961038960997E-2</v>
      </c>
      <c r="M1544" s="18">
        <v>-1.953046862739638E-2</v>
      </c>
    </row>
    <row r="1545" spans="1:13" x14ac:dyDescent="0.45">
      <c r="A1545" t="s">
        <v>479</v>
      </c>
      <c r="B1545" s="18">
        <v>232.65</v>
      </c>
      <c r="C1545" s="18">
        <v>216.05</v>
      </c>
      <c r="D1545" s="18">
        <v>237</v>
      </c>
      <c r="E1545" s="18">
        <v>208.27</v>
      </c>
      <c r="F1545" s="18">
        <v>238.86</v>
      </c>
      <c r="G1545" s="18">
        <v>224.20920000000001</v>
      </c>
      <c r="H1545" s="18">
        <v>229.30950000000001</v>
      </c>
      <c r="I1545" s="8">
        <v>7.6834066188382399E-2</v>
      </c>
      <c r="J1545" s="8">
        <v>-1.8354430379746819E-2</v>
      </c>
      <c r="K1545" s="8">
        <v>0.1170595861141788</v>
      </c>
      <c r="L1545" s="8">
        <v>-2.5998492840994761E-2</v>
      </c>
      <c r="M1545" s="18">
        <v>0.14954072908181959</v>
      </c>
    </row>
    <row r="1546" spans="1:13" x14ac:dyDescent="0.45">
      <c r="A1546" t="s">
        <v>1047</v>
      </c>
      <c r="B1546" s="18">
        <v>2.58</v>
      </c>
      <c r="C1546" s="18">
        <v>2.62</v>
      </c>
      <c r="D1546" s="18">
        <v>2.57</v>
      </c>
      <c r="E1546" s="18">
        <v>2.31</v>
      </c>
      <c r="F1546" s="18">
        <v>2.61</v>
      </c>
      <c r="G1546" s="18">
        <v>2.5874000000000001</v>
      </c>
      <c r="H1546" s="18">
        <v>2.5488400000000002</v>
      </c>
      <c r="I1546" s="8">
        <v>-1.5267175572519109E-2</v>
      </c>
      <c r="J1546" s="8">
        <v>3.8910505836575742E-3</v>
      </c>
      <c r="K1546" s="8">
        <v>0.1168831168831168</v>
      </c>
      <c r="L1546" s="8">
        <v>-1.149425287356309E-2</v>
      </c>
      <c r="M1546" s="18">
        <v>9.4012739020692182E-2</v>
      </c>
    </row>
    <row r="1547" spans="1:13" x14ac:dyDescent="0.45">
      <c r="A1547" t="s">
        <v>37</v>
      </c>
      <c r="B1547" s="18">
        <v>67.78</v>
      </c>
      <c r="C1547" s="18">
        <v>78.400000000000006</v>
      </c>
      <c r="D1547" s="18">
        <v>85.46</v>
      </c>
      <c r="E1547" s="18">
        <v>60.69</v>
      </c>
      <c r="F1547" s="18">
        <v>68.11</v>
      </c>
      <c r="G1547" s="18">
        <v>75.230599999999995</v>
      </c>
      <c r="H1547" s="18">
        <v>79.263550000000009</v>
      </c>
      <c r="I1547" s="8">
        <v>-0.1354591836734694</v>
      </c>
      <c r="J1547" s="8">
        <v>-0.20688041188860271</v>
      </c>
      <c r="K1547" s="8">
        <v>0.1168231998681826</v>
      </c>
      <c r="L1547" s="8">
        <v>-4.845103509029447E-3</v>
      </c>
      <c r="M1547" s="18">
        <v>-0.23036149920291901</v>
      </c>
    </row>
    <row r="1548" spans="1:13" x14ac:dyDescent="0.45">
      <c r="A1548" t="s">
        <v>1929</v>
      </c>
      <c r="B1548" s="18">
        <v>19.91</v>
      </c>
      <c r="C1548" s="18">
        <v>20.07</v>
      </c>
      <c r="D1548" s="18">
        <v>19.21</v>
      </c>
      <c r="E1548" s="18">
        <v>17.829999999999998</v>
      </c>
      <c r="F1548" s="18">
        <v>20.58</v>
      </c>
      <c r="G1548" s="18">
        <v>19.589200000000002</v>
      </c>
      <c r="H1548" s="18">
        <v>19.148199999999999</v>
      </c>
      <c r="I1548" s="8">
        <v>-7.9720976581962866E-3</v>
      </c>
      <c r="J1548" s="8">
        <v>3.6439354502862953E-2</v>
      </c>
      <c r="K1548" s="8">
        <v>0.1166573191250702</v>
      </c>
      <c r="L1548" s="8">
        <v>-3.2555879494654882E-2</v>
      </c>
      <c r="M1548" s="18">
        <v>0.1125686964750819</v>
      </c>
    </row>
    <row r="1549" spans="1:13" x14ac:dyDescent="0.45">
      <c r="A1549" t="s">
        <v>2331</v>
      </c>
      <c r="B1549" s="18">
        <v>32.33</v>
      </c>
      <c r="C1549" s="18">
        <v>35.49</v>
      </c>
      <c r="D1549" s="18">
        <v>34.43</v>
      </c>
      <c r="E1549" s="18">
        <v>28.96</v>
      </c>
      <c r="F1549" s="18">
        <v>43.82</v>
      </c>
      <c r="G1549" s="18">
        <v>34.329799999999999</v>
      </c>
      <c r="H1549" s="18">
        <v>33.118549999999999</v>
      </c>
      <c r="I1549" s="8">
        <v>-8.9039165962243039E-2</v>
      </c>
      <c r="J1549" s="8">
        <v>-6.0993319779262367E-2</v>
      </c>
      <c r="K1549" s="8">
        <v>0.1163674033149171</v>
      </c>
      <c r="L1549" s="8">
        <v>-0.26220903696942038</v>
      </c>
      <c r="M1549" s="18">
        <v>-0.29587411939600872</v>
      </c>
    </row>
    <row r="1550" spans="1:13" x14ac:dyDescent="0.45">
      <c r="A1550" t="s">
        <v>329</v>
      </c>
      <c r="B1550" s="18">
        <v>28.14</v>
      </c>
      <c r="C1550" s="18">
        <v>26.64</v>
      </c>
      <c r="D1550" s="18">
        <v>27.79</v>
      </c>
      <c r="E1550" s="18">
        <v>25.21</v>
      </c>
      <c r="F1550" s="18">
        <v>23.62</v>
      </c>
      <c r="G1550" s="18">
        <v>27.307400000000001</v>
      </c>
      <c r="H1550" s="18">
        <v>27.501650000000001</v>
      </c>
      <c r="I1550" s="8">
        <v>5.6306306306306293E-2</v>
      </c>
      <c r="J1550" s="8">
        <v>1.25944584382871E-2</v>
      </c>
      <c r="K1550" s="8">
        <v>0.1162237207457357</v>
      </c>
      <c r="L1550" s="8">
        <v>0.19136325148179509</v>
      </c>
      <c r="M1550" s="18">
        <v>0.37648773697212418</v>
      </c>
    </row>
    <row r="1551" spans="1:13" x14ac:dyDescent="0.45">
      <c r="A1551" t="s">
        <v>2068</v>
      </c>
      <c r="B1551" s="18">
        <v>10.95</v>
      </c>
      <c r="C1551" s="18">
        <v>12.53</v>
      </c>
      <c r="D1551" s="18">
        <v>11.75</v>
      </c>
      <c r="E1551" s="18">
        <v>9.81</v>
      </c>
      <c r="F1551" s="18">
        <v>10.81</v>
      </c>
      <c r="G1551" s="18">
        <v>12.075200000000001</v>
      </c>
      <c r="H1551" s="18">
        <v>11.529400000000001</v>
      </c>
      <c r="I1551" s="8">
        <v>-0.12609736632082999</v>
      </c>
      <c r="J1551" s="8">
        <v>-6.8085106382978822E-2</v>
      </c>
      <c r="K1551" s="8">
        <v>0.1162079510703362</v>
      </c>
      <c r="L1551" s="8">
        <v>1.295097132284906E-2</v>
      </c>
      <c r="M1551" s="18">
        <v>-6.5023550310623568E-2</v>
      </c>
    </row>
    <row r="1552" spans="1:13" x14ac:dyDescent="0.45">
      <c r="A1552" t="s">
        <v>1953</v>
      </c>
      <c r="B1552" s="18">
        <v>9.9600000000000009</v>
      </c>
      <c r="C1552" s="18">
        <v>9.9550000000000001</v>
      </c>
      <c r="D1552" s="18">
        <v>9.89</v>
      </c>
      <c r="E1552" s="18">
        <v>8.9250000000000007</v>
      </c>
      <c r="F1552" s="18">
        <v>9.8698999999999995</v>
      </c>
      <c r="G1552" s="18">
        <v>9.9286019999999997</v>
      </c>
      <c r="H1552" s="18">
        <v>9.6865795000000006</v>
      </c>
      <c r="I1552" s="8">
        <v>5.0226017076848706E-4</v>
      </c>
      <c r="J1552" s="8">
        <v>7.0778564206268602E-3</v>
      </c>
      <c r="K1552" s="8">
        <v>0.11596638655462189</v>
      </c>
      <c r="L1552" s="8">
        <v>9.1287652357168181E-3</v>
      </c>
      <c r="M1552" s="18">
        <v>0.13267526838173399</v>
      </c>
    </row>
    <row r="1553" spans="1:13" x14ac:dyDescent="0.45">
      <c r="A1553" t="s">
        <v>2137</v>
      </c>
      <c r="B1553" s="18">
        <v>82.11</v>
      </c>
      <c r="C1553" s="18">
        <v>79.44</v>
      </c>
      <c r="D1553" s="18">
        <v>80.75</v>
      </c>
      <c r="E1553" s="18">
        <v>73.58</v>
      </c>
      <c r="F1553" s="18">
        <v>76.17</v>
      </c>
      <c r="G1553" s="18">
        <v>80.320800000000006</v>
      </c>
      <c r="H1553" s="18">
        <v>79.065700000000007</v>
      </c>
      <c r="I1553" s="8">
        <v>3.361027190332333E-2</v>
      </c>
      <c r="J1553" s="8">
        <v>1.6842105263157992E-2</v>
      </c>
      <c r="K1553" s="8">
        <v>0.1159282413699374</v>
      </c>
      <c r="L1553" s="8">
        <v>7.7983458054352139E-2</v>
      </c>
      <c r="M1553" s="18">
        <v>0.24436407659077089</v>
      </c>
    </row>
    <row r="1554" spans="1:13" x14ac:dyDescent="0.45">
      <c r="A1554" t="s">
        <v>211</v>
      </c>
      <c r="B1554" s="18">
        <v>460.75</v>
      </c>
      <c r="C1554" s="18">
        <v>475.6</v>
      </c>
      <c r="D1554" s="18">
        <v>519.20000000000005</v>
      </c>
      <c r="E1554" s="18">
        <v>412.99</v>
      </c>
      <c r="F1554" s="18">
        <v>407.99</v>
      </c>
      <c r="G1554" s="18">
        <v>482.19060000000007</v>
      </c>
      <c r="H1554" s="18">
        <v>480.83744999999988</v>
      </c>
      <c r="I1554" s="8">
        <v>-3.1223717409587959E-2</v>
      </c>
      <c r="J1554" s="8">
        <v>-0.1125770416024654</v>
      </c>
      <c r="K1554" s="8">
        <v>0.1156444465967699</v>
      </c>
      <c r="L1554" s="8">
        <v>0.1293168950219368</v>
      </c>
      <c r="M1554" s="18">
        <v>0.1011605826066533</v>
      </c>
    </row>
    <row r="1555" spans="1:13" x14ac:dyDescent="0.45">
      <c r="A1555" t="s">
        <v>2389</v>
      </c>
      <c r="B1555" s="18">
        <v>78.62</v>
      </c>
      <c r="C1555" s="18">
        <v>73.27</v>
      </c>
      <c r="D1555" s="18">
        <v>80.47</v>
      </c>
      <c r="E1555" s="18">
        <v>70.48</v>
      </c>
      <c r="F1555" s="18">
        <v>61.55</v>
      </c>
      <c r="G1555" s="18">
        <v>73.081999999999994</v>
      </c>
      <c r="H1555" s="18">
        <v>76.861000000000004</v>
      </c>
      <c r="I1555" s="8">
        <v>7.3017606114371691E-2</v>
      </c>
      <c r="J1555" s="8">
        <v>-2.2989934136945389E-2</v>
      </c>
      <c r="K1555" s="8">
        <v>0.1154937570942112</v>
      </c>
      <c r="L1555" s="8">
        <v>0.2773354995938262</v>
      </c>
      <c r="M1555" s="18">
        <v>0.44285692866546372</v>
      </c>
    </row>
    <row r="1556" spans="1:13" x14ac:dyDescent="0.45">
      <c r="A1556" t="s">
        <v>1644</v>
      </c>
      <c r="B1556" s="18">
        <v>14.02</v>
      </c>
      <c r="C1556" s="18">
        <v>13.8</v>
      </c>
      <c r="D1556" s="18">
        <v>14.68</v>
      </c>
      <c r="E1556" s="18">
        <v>12.57</v>
      </c>
      <c r="F1556" s="18">
        <v>18.440000000000001</v>
      </c>
      <c r="G1556" s="18">
        <v>13.767799999999999</v>
      </c>
      <c r="H1556" s="18">
        <v>14.15775</v>
      </c>
      <c r="I1556" s="8">
        <v>1.5942028985507228E-2</v>
      </c>
      <c r="J1556" s="8">
        <v>-4.4959128065395149E-2</v>
      </c>
      <c r="K1556" s="8">
        <v>0.1153540175019887</v>
      </c>
      <c r="L1556" s="8">
        <v>-0.23969631236442521</v>
      </c>
      <c r="M1556" s="18">
        <v>-0.15335939394232451</v>
      </c>
    </row>
    <row r="1557" spans="1:13" x14ac:dyDescent="0.45">
      <c r="A1557" t="s">
        <v>1542</v>
      </c>
      <c r="B1557" s="18">
        <v>23.89</v>
      </c>
      <c r="C1557" s="18">
        <v>23.9</v>
      </c>
      <c r="D1557" s="18">
        <v>23.86</v>
      </c>
      <c r="E1557" s="18">
        <v>21.42</v>
      </c>
      <c r="F1557" s="18">
        <v>23.400600000000001</v>
      </c>
      <c r="G1557" s="18">
        <v>23.787054000000001</v>
      </c>
      <c r="H1557" s="18">
        <v>23.246904000000001</v>
      </c>
      <c r="I1557" s="8">
        <v>-4.1841004184095532E-4</v>
      </c>
      <c r="J1557" s="8">
        <v>1.257334450964098E-3</v>
      </c>
      <c r="K1557" s="8">
        <v>0.11531279178338009</v>
      </c>
      <c r="L1557" s="8">
        <v>2.0913993658282282E-2</v>
      </c>
      <c r="M1557" s="18">
        <v>0.13706570985078551</v>
      </c>
    </row>
    <row r="1558" spans="1:13" x14ac:dyDescent="0.45">
      <c r="A1558" t="s">
        <v>1681</v>
      </c>
      <c r="B1558" s="18">
        <v>17.350000000000001</v>
      </c>
      <c r="C1558" s="18">
        <v>16.989999999999998</v>
      </c>
      <c r="D1558" s="18">
        <v>18.16</v>
      </c>
      <c r="E1558" s="18">
        <v>15.56</v>
      </c>
      <c r="F1558" s="18">
        <v>23.58</v>
      </c>
      <c r="G1558" s="18">
        <v>17.5932</v>
      </c>
      <c r="H1558" s="18">
        <v>17.8996</v>
      </c>
      <c r="I1558" s="8">
        <v>2.1188934667451639E-2</v>
      </c>
      <c r="J1558" s="8">
        <v>-4.4603524229074758E-2</v>
      </c>
      <c r="K1558" s="8">
        <v>0.11503856041131109</v>
      </c>
      <c r="L1558" s="8">
        <v>-0.26420695504664959</v>
      </c>
      <c r="M1558" s="18">
        <v>-0.17258298419696161</v>
      </c>
    </row>
    <row r="1559" spans="1:13" x14ac:dyDescent="0.45">
      <c r="A1559" t="s">
        <v>1735</v>
      </c>
      <c r="B1559" s="18">
        <v>6.11</v>
      </c>
      <c r="C1559" s="18">
        <v>5.95</v>
      </c>
      <c r="D1559" s="18">
        <v>6</v>
      </c>
      <c r="E1559" s="18">
        <v>5.48</v>
      </c>
      <c r="F1559" s="18">
        <v>9.6300000000000008</v>
      </c>
      <c r="G1559" s="18">
        <v>5.8743999999999996</v>
      </c>
      <c r="H1559" s="18">
        <v>6.0052699999999994</v>
      </c>
      <c r="I1559" s="8">
        <v>2.6890756302521131E-2</v>
      </c>
      <c r="J1559" s="8">
        <v>1.8333333333333309E-2</v>
      </c>
      <c r="K1559" s="8">
        <v>0.11496350364963499</v>
      </c>
      <c r="L1559" s="8">
        <v>-0.36552440290758048</v>
      </c>
      <c r="M1559" s="18">
        <v>-0.205336809622091</v>
      </c>
    </row>
    <row r="1560" spans="1:13" x14ac:dyDescent="0.45">
      <c r="A1560" t="s">
        <v>279</v>
      </c>
      <c r="B1560" s="18">
        <v>88.53</v>
      </c>
      <c r="C1560" s="18">
        <v>86.91</v>
      </c>
      <c r="D1560" s="18">
        <v>81.22</v>
      </c>
      <c r="E1560" s="18">
        <v>79.47</v>
      </c>
      <c r="F1560" s="18">
        <v>98.65</v>
      </c>
      <c r="G1560" s="18">
        <v>85.483199999999997</v>
      </c>
      <c r="H1560" s="18">
        <v>89.965849999999989</v>
      </c>
      <c r="I1560" s="8">
        <v>1.8639972385226189E-2</v>
      </c>
      <c r="J1560" s="8">
        <v>9.000246244767296E-2</v>
      </c>
      <c r="K1560" s="8">
        <v>0.1140052850132125</v>
      </c>
      <c r="L1560" s="8">
        <v>-0.1025848960973138</v>
      </c>
      <c r="M1560" s="18">
        <v>0.1200628237487978</v>
      </c>
    </row>
    <row r="1561" spans="1:13" x14ac:dyDescent="0.45">
      <c r="A1561" t="s">
        <v>1316</v>
      </c>
      <c r="B1561" s="18">
        <v>12.9</v>
      </c>
      <c r="C1561" s="18">
        <v>13.36</v>
      </c>
      <c r="D1561" s="18">
        <v>13.59</v>
      </c>
      <c r="E1561" s="18">
        <v>11.58</v>
      </c>
      <c r="F1561" s="18">
        <v>12.84</v>
      </c>
      <c r="G1561" s="18">
        <v>13.1694</v>
      </c>
      <c r="H1561" s="18">
        <v>13.02455</v>
      </c>
      <c r="I1561" s="8">
        <v>-3.4431137724550857E-2</v>
      </c>
      <c r="J1561" s="8">
        <v>-5.0772626931567262E-2</v>
      </c>
      <c r="K1561" s="8">
        <v>0.1139896373056994</v>
      </c>
      <c r="L1561" s="8">
        <v>4.6728971962617383E-3</v>
      </c>
      <c r="M1561" s="18">
        <v>3.3458769845843062E-2</v>
      </c>
    </row>
    <row r="1562" spans="1:13" x14ac:dyDescent="0.45">
      <c r="A1562" t="s">
        <v>1463</v>
      </c>
      <c r="B1562" s="18">
        <v>12.63</v>
      </c>
      <c r="C1562" s="18">
        <v>12.13</v>
      </c>
      <c r="D1562" s="18">
        <v>11.66</v>
      </c>
      <c r="E1562" s="18">
        <v>11.34</v>
      </c>
      <c r="F1562" s="18">
        <v>12.85</v>
      </c>
      <c r="G1562" s="18">
        <v>11.9948</v>
      </c>
      <c r="H1562" s="18">
        <v>11.891375</v>
      </c>
      <c r="I1562" s="8">
        <v>4.12201154163232E-2</v>
      </c>
      <c r="J1562" s="8">
        <v>8.3190394511149179E-2</v>
      </c>
      <c r="K1562" s="8">
        <v>0.1137566137566139</v>
      </c>
      <c r="L1562" s="8">
        <v>-1.7120622568093321E-2</v>
      </c>
      <c r="M1562" s="18">
        <v>0.221046501115993</v>
      </c>
    </row>
    <row r="1563" spans="1:13" x14ac:dyDescent="0.45">
      <c r="A1563" t="s">
        <v>2056</v>
      </c>
      <c r="B1563" s="18">
        <v>11.914999999999999</v>
      </c>
      <c r="C1563" s="18">
        <v>11.94</v>
      </c>
      <c r="D1563" s="18">
        <v>11.91</v>
      </c>
      <c r="E1563" s="18">
        <v>10.7</v>
      </c>
      <c r="F1563" s="18">
        <v>12.88</v>
      </c>
      <c r="G1563" s="18">
        <v>11.9656</v>
      </c>
      <c r="H1563" s="18">
        <v>11.910626000000001</v>
      </c>
      <c r="I1563" s="8">
        <v>-2.0938023450586258E-3</v>
      </c>
      <c r="J1563" s="8">
        <v>4.1981528127621459E-4</v>
      </c>
      <c r="K1563" s="8">
        <v>0.1135514018691588</v>
      </c>
      <c r="L1563" s="8">
        <v>-7.4922360248447339E-2</v>
      </c>
      <c r="M1563" s="18">
        <v>3.6955054556929053E-2</v>
      </c>
    </row>
    <row r="1564" spans="1:13" x14ac:dyDescent="0.45">
      <c r="A1564" t="s">
        <v>717</v>
      </c>
      <c r="B1564" s="18">
        <v>23.23</v>
      </c>
      <c r="C1564" s="18">
        <v>24.2</v>
      </c>
      <c r="D1564" s="18">
        <v>24.06</v>
      </c>
      <c r="E1564" s="18">
        <v>20.87</v>
      </c>
      <c r="F1564" s="18">
        <v>33.71</v>
      </c>
      <c r="G1564" s="18">
        <v>24.0976</v>
      </c>
      <c r="H1564" s="18">
        <v>23.160299999999999</v>
      </c>
      <c r="I1564" s="8">
        <v>-4.0082644628099073E-2</v>
      </c>
      <c r="J1564" s="8">
        <v>-3.4497090606816272E-2</v>
      </c>
      <c r="K1564" s="8">
        <v>0.11308097747963571</v>
      </c>
      <c r="L1564" s="8">
        <v>-0.31088697715811331</v>
      </c>
      <c r="M1564" s="18">
        <v>-0.27238573491339291</v>
      </c>
    </row>
    <row r="1565" spans="1:13" x14ac:dyDescent="0.45">
      <c r="A1565" t="s">
        <v>503</v>
      </c>
      <c r="B1565" s="18">
        <v>114.59</v>
      </c>
      <c r="C1565" s="18">
        <v>107.56</v>
      </c>
      <c r="D1565" s="18">
        <v>105.68</v>
      </c>
      <c r="E1565" s="18">
        <v>102.95</v>
      </c>
      <c r="F1565" s="18">
        <v>95.48</v>
      </c>
      <c r="G1565" s="18">
        <v>109.8022</v>
      </c>
      <c r="H1565" s="18">
        <v>105.4999</v>
      </c>
      <c r="I1565" s="8">
        <v>6.5358869468203906E-2</v>
      </c>
      <c r="J1565" s="8">
        <v>8.4311127933383689E-2</v>
      </c>
      <c r="K1565" s="8">
        <v>0.1130645944633317</v>
      </c>
      <c r="L1565" s="8">
        <v>0.20014662756598239</v>
      </c>
      <c r="M1565" s="18">
        <v>0.46288121943090182</v>
      </c>
    </row>
    <row r="1566" spans="1:13" x14ac:dyDescent="0.45">
      <c r="A1566" t="s">
        <v>2473</v>
      </c>
      <c r="B1566" s="18">
        <v>32.130000000000003</v>
      </c>
      <c r="C1566" s="18">
        <v>35.24</v>
      </c>
      <c r="D1566" s="18">
        <v>33.409999999999997</v>
      </c>
      <c r="E1566" s="18">
        <v>28.87</v>
      </c>
      <c r="F1566" s="18">
        <v>57.84</v>
      </c>
      <c r="G1566" s="18">
        <v>33.655799999999999</v>
      </c>
      <c r="H1566" s="18">
        <v>36.369599999999998</v>
      </c>
      <c r="I1566" s="8">
        <v>-8.8251986379114578E-2</v>
      </c>
      <c r="J1566" s="8">
        <v>-3.8311882669859187E-2</v>
      </c>
      <c r="K1566" s="8">
        <v>0.1129199861447869</v>
      </c>
      <c r="L1566" s="8">
        <v>-0.44450207468879671</v>
      </c>
      <c r="M1566" s="18">
        <v>-0.45814595759298349</v>
      </c>
    </row>
    <row r="1567" spans="1:13" x14ac:dyDescent="0.45">
      <c r="A1567" t="s">
        <v>176</v>
      </c>
      <c r="B1567" s="18">
        <v>39.56</v>
      </c>
      <c r="C1567" s="18">
        <v>37.54</v>
      </c>
      <c r="D1567" s="18">
        <v>36.22</v>
      </c>
      <c r="E1567" s="18">
        <v>35.549999999999997</v>
      </c>
      <c r="F1567" s="18">
        <v>30.52</v>
      </c>
      <c r="G1567" s="18">
        <v>38.326600000000013</v>
      </c>
      <c r="H1567" s="18">
        <v>36.082599999999999</v>
      </c>
      <c r="I1567" s="8">
        <v>5.3809270111880643E-2</v>
      </c>
      <c r="J1567" s="8">
        <v>9.2214246272777523E-2</v>
      </c>
      <c r="K1567" s="8">
        <v>0.1127988748241915</v>
      </c>
      <c r="L1567" s="8">
        <v>0.29619921363040641</v>
      </c>
      <c r="M1567" s="18">
        <v>0.555021604839256</v>
      </c>
    </row>
    <row r="1568" spans="1:13" x14ac:dyDescent="0.45">
      <c r="A1568" t="s">
        <v>1605</v>
      </c>
      <c r="B1568" s="18">
        <v>90.31</v>
      </c>
      <c r="C1568" s="18">
        <v>95.72</v>
      </c>
      <c r="D1568" s="18">
        <v>96.48</v>
      </c>
      <c r="E1568" s="18">
        <v>81.16</v>
      </c>
      <c r="F1568" s="18">
        <v>105.77</v>
      </c>
      <c r="G1568" s="18">
        <v>93.003199999999993</v>
      </c>
      <c r="H1568" s="18">
        <v>95.257750000000016</v>
      </c>
      <c r="I1568" s="8">
        <v>-5.6519013790221402E-2</v>
      </c>
      <c r="J1568" s="8">
        <v>-6.395107794361532E-2</v>
      </c>
      <c r="K1568" s="8">
        <v>0.1127402661409562</v>
      </c>
      <c r="L1568" s="8">
        <v>-0.14616620970029301</v>
      </c>
      <c r="M1568" s="18">
        <v>-0.1538960352931735</v>
      </c>
    </row>
    <row r="1569" spans="1:13" x14ac:dyDescent="0.45">
      <c r="A1569" t="s">
        <v>998</v>
      </c>
      <c r="B1569" s="18">
        <v>39.92</v>
      </c>
      <c r="C1569" s="18">
        <v>40.729999999999997</v>
      </c>
      <c r="D1569" s="18">
        <v>42.3</v>
      </c>
      <c r="E1569" s="18">
        <v>35.880000000000003</v>
      </c>
      <c r="F1569" s="18">
        <v>51.16</v>
      </c>
      <c r="G1569" s="18">
        <v>40.231000000000002</v>
      </c>
      <c r="H1569" s="18">
        <v>41.3401</v>
      </c>
      <c r="I1569" s="8">
        <v>-1.9887061134298941E-2</v>
      </c>
      <c r="J1569" s="8">
        <v>-5.6264775413711443E-2</v>
      </c>
      <c r="K1569" s="8">
        <v>0.11259754738015609</v>
      </c>
      <c r="L1569" s="8">
        <v>-0.21970289288506639</v>
      </c>
      <c r="M1569" s="18">
        <v>-0.1832571820529206</v>
      </c>
    </row>
    <row r="1570" spans="1:13" x14ac:dyDescent="0.45">
      <c r="A1570" t="s">
        <v>451</v>
      </c>
      <c r="B1570" s="18">
        <v>375.29</v>
      </c>
      <c r="C1570" s="18">
        <v>392.76</v>
      </c>
      <c r="D1570" s="18">
        <v>394.77</v>
      </c>
      <c r="E1570" s="18">
        <v>337.37</v>
      </c>
      <c r="F1570" s="18">
        <v>351.22</v>
      </c>
      <c r="G1570" s="18">
        <v>381.20200000000011</v>
      </c>
      <c r="H1570" s="18">
        <v>379.41744999999997</v>
      </c>
      <c r="I1570" s="8">
        <v>-4.448008962216099E-2</v>
      </c>
      <c r="J1570" s="8">
        <v>-4.9345188337512891E-2</v>
      </c>
      <c r="K1570" s="8">
        <v>0.1123988499273796</v>
      </c>
      <c r="L1570" s="8">
        <v>6.8532543704800331E-2</v>
      </c>
      <c r="M1570" s="18">
        <v>8.7106115672506035E-2</v>
      </c>
    </row>
    <row r="1571" spans="1:13" x14ac:dyDescent="0.45">
      <c r="A1571" t="s">
        <v>1803</v>
      </c>
      <c r="B1571" s="18">
        <v>5.17</v>
      </c>
      <c r="C1571" s="18">
        <v>4.59</v>
      </c>
      <c r="D1571" s="18">
        <v>5.0599999999999996</v>
      </c>
      <c r="E1571" s="18">
        <v>4.6500000000000004</v>
      </c>
      <c r="F1571" s="18">
        <v>4.3499999999999996</v>
      </c>
      <c r="G1571" s="18">
        <v>4.4659999999999993</v>
      </c>
      <c r="H1571" s="18">
        <v>4.8389000000000006</v>
      </c>
      <c r="I1571" s="8">
        <v>0.1263616557734204</v>
      </c>
      <c r="J1571" s="8">
        <v>2.1739130434782709E-2</v>
      </c>
      <c r="K1571" s="8">
        <v>0.1118279569892473</v>
      </c>
      <c r="L1571" s="8">
        <v>0.18850574712643689</v>
      </c>
      <c r="M1571" s="18">
        <v>0.44843449032388732</v>
      </c>
    </row>
    <row r="1572" spans="1:13" x14ac:dyDescent="0.45">
      <c r="A1572" t="s">
        <v>407</v>
      </c>
      <c r="B1572" s="18">
        <v>37.29</v>
      </c>
      <c r="C1572" s="18">
        <v>35.729999999999997</v>
      </c>
      <c r="D1572" s="18">
        <v>34.33</v>
      </c>
      <c r="E1572" s="18">
        <v>33.54</v>
      </c>
      <c r="F1572" s="18">
        <v>32.549999999999997</v>
      </c>
      <c r="G1572" s="18">
        <v>36.372399999999999</v>
      </c>
      <c r="H1572" s="18">
        <v>34.864800000000002</v>
      </c>
      <c r="I1572" s="8">
        <v>4.366078925272876E-2</v>
      </c>
      <c r="J1572" s="8">
        <v>8.62219632974075E-2</v>
      </c>
      <c r="K1572" s="8">
        <v>0.11180679785330951</v>
      </c>
      <c r="L1572" s="8">
        <v>0.14562211981566819</v>
      </c>
      <c r="M1572" s="18">
        <v>0.38731167021911389</v>
      </c>
    </row>
    <row r="1573" spans="1:13" x14ac:dyDescent="0.45">
      <c r="A1573" t="s">
        <v>1181</v>
      </c>
      <c r="B1573" s="18">
        <v>28.08</v>
      </c>
      <c r="C1573" s="18">
        <v>29.35</v>
      </c>
      <c r="D1573" s="18">
        <v>30.32</v>
      </c>
      <c r="E1573" s="18">
        <v>25.26</v>
      </c>
      <c r="F1573" s="18">
        <v>31.01</v>
      </c>
      <c r="G1573" s="18">
        <v>29.358000000000001</v>
      </c>
      <c r="H1573" s="18">
        <v>28.340250000000001</v>
      </c>
      <c r="I1573" s="8">
        <v>-4.3270868824531572E-2</v>
      </c>
      <c r="J1573" s="8">
        <v>-7.3878627968337773E-2</v>
      </c>
      <c r="K1573" s="8">
        <v>0.1116389548693586</v>
      </c>
      <c r="L1573" s="8">
        <v>-9.4485649790390314E-2</v>
      </c>
      <c r="M1573" s="18">
        <v>-9.9996191713901061E-2</v>
      </c>
    </row>
    <row r="1574" spans="1:13" x14ac:dyDescent="0.45">
      <c r="A1574" t="s">
        <v>223</v>
      </c>
      <c r="B1574" s="18">
        <v>141.58000000000001</v>
      </c>
      <c r="C1574" s="18">
        <v>135.11000000000001</v>
      </c>
      <c r="D1574" s="18">
        <v>133.66</v>
      </c>
      <c r="E1574" s="18">
        <v>127.39</v>
      </c>
      <c r="F1574" s="18">
        <v>126.98</v>
      </c>
      <c r="G1574" s="18">
        <v>138.30279999999999</v>
      </c>
      <c r="H1574" s="18">
        <v>132.84299999999999</v>
      </c>
      <c r="I1574" s="8">
        <v>4.7886906964695442E-2</v>
      </c>
      <c r="J1574" s="8">
        <v>5.9254825677091283E-2</v>
      </c>
      <c r="K1574" s="8">
        <v>0.1113902190124814</v>
      </c>
      <c r="L1574" s="8">
        <v>0.1149787368089463</v>
      </c>
      <c r="M1574" s="18">
        <v>0.33351068846321441</v>
      </c>
    </row>
    <row r="1575" spans="1:13" x14ac:dyDescent="0.45">
      <c r="A1575" t="s">
        <v>2503</v>
      </c>
      <c r="B1575" s="18">
        <v>1896.2</v>
      </c>
      <c r="C1575" s="18">
        <v>1794.69</v>
      </c>
      <c r="D1575" s="18">
        <v>1796.69</v>
      </c>
      <c r="E1575" s="18">
        <v>1706.45</v>
      </c>
      <c r="F1575" s="18">
        <v>1776.21</v>
      </c>
      <c r="G1575" s="18">
        <v>1783.3604</v>
      </c>
      <c r="H1575" s="18">
        <v>1818.0797500000001</v>
      </c>
      <c r="I1575" s="8">
        <v>5.6561300280271183E-2</v>
      </c>
      <c r="J1575" s="8">
        <v>5.5385180526412503E-2</v>
      </c>
      <c r="K1575" s="8">
        <v>0.11119575727387269</v>
      </c>
      <c r="L1575" s="8">
        <v>6.7553949138896785E-2</v>
      </c>
      <c r="M1575" s="18">
        <v>0.29069618721945312</v>
      </c>
    </row>
    <row r="1576" spans="1:13" x14ac:dyDescent="0.45">
      <c r="A1576" t="s">
        <v>2450</v>
      </c>
      <c r="B1576" s="18">
        <v>11.14</v>
      </c>
      <c r="C1576" s="18">
        <v>10.45</v>
      </c>
      <c r="D1576" s="18">
        <v>10.53</v>
      </c>
      <c r="E1576" s="18">
        <v>10.029999999999999</v>
      </c>
      <c r="F1576" s="18">
        <v>11.45</v>
      </c>
      <c r="G1576" s="18">
        <v>10.539199999999999</v>
      </c>
      <c r="H1576" s="18">
        <v>10.407035499999999</v>
      </c>
      <c r="I1576" s="8">
        <v>6.6028708133971437E-2</v>
      </c>
      <c r="J1576" s="8">
        <v>5.7929724596391452E-2</v>
      </c>
      <c r="K1576" s="8">
        <v>0.1106679960119643</v>
      </c>
      <c r="L1576" s="8">
        <v>-2.707423580786017E-2</v>
      </c>
      <c r="M1576" s="18">
        <v>0.207552192934467</v>
      </c>
    </row>
    <row r="1577" spans="1:13" x14ac:dyDescent="0.45">
      <c r="A1577" t="s">
        <v>1403</v>
      </c>
      <c r="B1577" s="18">
        <v>6.64</v>
      </c>
      <c r="C1577" s="18">
        <v>6.09</v>
      </c>
      <c r="D1577" s="18">
        <v>6.69</v>
      </c>
      <c r="E1577" s="18">
        <v>5.98</v>
      </c>
      <c r="F1577" s="18">
        <v>11.17</v>
      </c>
      <c r="G1577" s="18">
        <v>6.2736000000000001</v>
      </c>
      <c r="H1577" s="18">
        <v>7.1589999999999998</v>
      </c>
      <c r="I1577" s="8">
        <v>9.0311986863711002E-2</v>
      </c>
      <c r="J1577" s="8">
        <v>-7.4738415545591019E-3</v>
      </c>
      <c r="K1577" s="8">
        <v>0.1103678929765886</v>
      </c>
      <c r="L1577" s="8">
        <v>-0.40555058191584598</v>
      </c>
      <c r="M1577" s="18">
        <v>-0.2123445436301056</v>
      </c>
    </row>
    <row r="1578" spans="1:13" x14ac:dyDescent="0.45">
      <c r="A1578" t="s">
        <v>967</v>
      </c>
      <c r="B1578" s="18">
        <v>138.81</v>
      </c>
      <c r="C1578" s="18">
        <v>124.24</v>
      </c>
      <c r="D1578" s="18">
        <v>123.55</v>
      </c>
      <c r="E1578" s="18">
        <v>125.1</v>
      </c>
      <c r="F1578" s="18">
        <v>122.59</v>
      </c>
      <c r="G1578" s="18">
        <v>126.5004</v>
      </c>
      <c r="H1578" s="18">
        <v>124.8772</v>
      </c>
      <c r="I1578" s="8">
        <v>0.1172730199613652</v>
      </c>
      <c r="J1578" s="8">
        <v>0.1235127478753542</v>
      </c>
      <c r="K1578" s="8">
        <v>0.1095923261390888</v>
      </c>
      <c r="L1578" s="8">
        <v>0.13231095521657549</v>
      </c>
      <c r="M1578" s="18">
        <v>0.48268904919238359</v>
      </c>
    </row>
    <row r="1579" spans="1:13" x14ac:dyDescent="0.45">
      <c r="A1579" t="s">
        <v>680</v>
      </c>
      <c r="B1579" s="18">
        <v>32.1</v>
      </c>
      <c r="C1579" s="18">
        <v>36.979999999999997</v>
      </c>
      <c r="D1579" s="18">
        <v>34.93</v>
      </c>
      <c r="E1579" s="18">
        <v>28.93</v>
      </c>
      <c r="F1579" s="18">
        <v>49.14</v>
      </c>
      <c r="G1579" s="18">
        <v>34.929000000000002</v>
      </c>
      <c r="H1579" s="18">
        <v>36.877049999999997</v>
      </c>
      <c r="I1579" s="8">
        <v>-0.13196322336398039</v>
      </c>
      <c r="J1579" s="8">
        <v>-8.1019181219581959E-2</v>
      </c>
      <c r="K1579" s="8">
        <v>0.1095748358105773</v>
      </c>
      <c r="L1579" s="8">
        <v>-0.34676434676434681</v>
      </c>
      <c r="M1579" s="18">
        <v>-0.45017191553733182</v>
      </c>
    </row>
    <row r="1580" spans="1:13" x14ac:dyDescent="0.45">
      <c r="A1580" t="s">
        <v>996</v>
      </c>
      <c r="B1580" s="18">
        <v>38.770000000000003</v>
      </c>
      <c r="C1580" s="18">
        <v>41.23</v>
      </c>
      <c r="D1580" s="18">
        <v>42.8</v>
      </c>
      <c r="E1580" s="18">
        <v>34.96</v>
      </c>
      <c r="F1580" s="18">
        <v>48.1</v>
      </c>
      <c r="G1580" s="18">
        <v>40.945800000000013</v>
      </c>
      <c r="H1580" s="18">
        <v>43.130749999999999</v>
      </c>
      <c r="I1580" s="8">
        <v>-5.9665292262915171E-2</v>
      </c>
      <c r="J1580" s="8">
        <v>-9.4158878504672749E-2</v>
      </c>
      <c r="K1580" s="8">
        <v>0.1089816933638446</v>
      </c>
      <c r="L1580" s="8">
        <v>-0.19397089397089401</v>
      </c>
      <c r="M1580" s="18">
        <v>-0.23881337137463729</v>
      </c>
    </row>
    <row r="1581" spans="1:13" x14ac:dyDescent="0.45">
      <c r="A1581" t="s">
        <v>2143</v>
      </c>
      <c r="B1581" s="18">
        <v>17</v>
      </c>
      <c r="C1581" s="18">
        <v>17.12</v>
      </c>
      <c r="D1581" s="18">
        <v>16.66</v>
      </c>
      <c r="E1581" s="18">
        <v>15.33</v>
      </c>
      <c r="F1581" s="18">
        <v>16.66</v>
      </c>
      <c r="G1581" s="18">
        <v>16.873100000000001</v>
      </c>
      <c r="H1581" s="18">
        <v>16.486570499999999</v>
      </c>
      <c r="I1581" s="8">
        <v>-7.0093457943926074E-3</v>
      </c>
      <c r="J1581" s="8">
        <v>2.0408163265306149E-2</v>
      </c>
      <c r="K1581" s="8">
        <v>0.10893672537508151</v>
      </c>
      <c r="L1581" s="8">
        <v>2.0408163265306149E-2</v>
      </c>
      <c r="M1581" s="18">
        <v>0.14274370611130119</v>
      </c>
    </row>
    <row r="1582" spans="1:13" x14ac:dyDescent="0.45">
      <c r="A1582" t="s">
        <v>1574</v>
      </c>
      <c r="B1582" s="18">
        <v>301.49</v>
      </c>
      <c r="C1582" s="18">
        <v>344.86</v>
      </c>
      <c r="D1582" s="18">
        <v>356.6</v>
      </c>
      <c r="E1582" s="18">
        <v>271.94</v>
      </c>
      <c r="F1582" s="18">
        <v>310.5</v>
      </c>
      <c r="G1582" s="18">
        <v>318.75019999999989</v>
      </c>
      <c r="H1582" s="18">
        <v>325.13105000000002</v>
      </c>
      <c r="I1582" s="8">
        <v>-0.12576117844922571</v>
      </c>
      <c r="J1582" s="8">
        <v>-0.15454290521592831</v>
      </c>
      <c r="K1582" s="8">
        <v>0.1086636758108406</v>
      </c>
      <c r="L1582" s="8">
        <v>-2.9017713365539381E-2</v>
      </c>
      <c r="M1582" s="18">
        <v>-0.2006581212198528</v>
      </c>
    </row>
    <row r="1583" spans="1:13" x14ac:dyDescent="0.45">
      <c r="A1583" t="s">
        <v>406</v>
      </c>
      <c r="B1583" s="18">
        <v>101.59</v>
      </c>
      <c r="C1583" s="18">
        <v>109.38</v>
      </c>
      <c r="D1583" s="18">
        <v>119.07</v>
      </c>
      <c r="E1583" s="18">
        <v>91.66</v>
      </c>
      <c r="F1583" s="18">
        <v>128.57</v>
      </c>
      <c r="G1583" s="18">
        <v>108.2274</v>
      </c>
      <c r="H1583" s="18">
        <v>111.57855000000001</v>
      </c>
      <c r="I1583" s="8">
        <v>-7.1219601389650666E-2</v>
      </c>
      <c r="J1583" s="8">
        <v>-0.14680440077265469</v>
      </c>
      <c r="K1583" s="8">
        <v>0.1083351516473927</v>
      </c>
      <c r="L1583" s="8">
        <v>-0.2098467760752897</v>
      </c>
      <c r="M1583" s="18">
        <v>-0.31953562659020229</v>
      </c>
    </row>
    <row r="1584" spans="1:13" x14ac:dyDescent="0.45">
      <c r="A1584" t="s">
        <v>1100</v>
      </c>
      <c r="B1584" s="18">
        <v>9.02</v>
      </c>
      <c r="C1584" s="18">
        <v>9.25</v>
      </c>
      <c r="D1584" s="18">
        <v>9</v>
      </c>
      <c r="E1584" s="18">
        <v>8.14</v>
      </c>
      <c r="F1584" s="18">
        <v>9.02</v>
      </c>
      <c r="G1584" s="18">
        <v>9.0158000000000005</v>
      </c>
      <c r="H1584" s="18">
        <v>9.0562000000000005</v>
      </c>
      <c r="I1584" s="8">
        <v>-2.486486486486494E-2</v>
      </c>
      <c r="J1584" s="8">
        <v>2.2222222222221259E-3</v>
      </c>
      <c r="K1584" s="8">
        <v>0.10810810810810791</v>
      </c>
      <c r="L1584" s="8">
        <v>0</v>
      </c>
      <c r="M1584" s="18">
        <v>8.5465465465465074E-2</v>
      </c>
    </row>
    <row r="1585" spans="1:13" x14ac:dyDescent="0.45">
      <c r="A1585" t="s">
        <v>77</v>
      </c>
      <c r="B1585" s="18">
        <v>95.73</v>
      </c>
      <c r="C1585" s="18">
        <v>97.53</v>
      </c>
      <c r="D1585" s="18">
        <v>99.22</v>
      </c>
      <c r="E1585" s="18">
        <v>86.4</v>
      </c>
      <c r="F1585" s="18">
        <v>103.41</v>
      </c>
      <c r="G1585" s="18">
        <v>98.848600000000005</v>
      </c>
      <c r="H1585" s="18">
        <v>98.970249999999993</v>
      </c>
      <c r="I1585" s="8">
        <v>-1.8455859735465929E-2</v>
      </c>
      <c r="J1585" s="8">
        <v>-3.5174360008062837E-2</v>
      </c>
      <c r="K1585" s="8">
        <v>0.1079861111111111</v>
      </c>
      <c r="L1585" s="8">
        <v>-7.4267478967217748E-2</v>
      </c>
      <c r="M1585" s="18">
        <v>-1.9911587599635409E-2</v>
      </c>
    </row>
    <row r="1586" spans="1:13" x14ac:dyDescent="0.45">
      <c r="A1586" t="s">
        <v>1347</v>
      </c>
      <c r="B1586" s="18">
        <v>6.47</v>
      </c>
      <c r="C1586" s="18">
        <v>6.25</v>
      </c>
      <c r="D1586" s="18">
        <v>7.24</v>
      </c>
      <c r="E1586" s="18">
        <v>5.84</v>
      </c>
      <c r="F1586" s="18">
        <v>8.4499999999999993</v>
      </c>
      <c r="G1586" s="18">
        <v>6.4507999999999992</v>
      </c>
      <c r="H1586" s="18">
        <v>7.4754999999999994</v>
      </c>
      <c r="I1586" s="8">
        <v>3.5199999999999898E-2</v>
      </c>
      <c r="J1586" s="8">
        <v>-0.106353591160221</v>
      </c>
      <c r="K1586" s="8">
        <v>0.10787671232876719</v>
      </c>
      <c r="L1586" s="8">
        <v>-0.23431952662721889</v>
      </c>
      <c r="M1586" s="18">
        <v>-0.19759640545867291</v>
      </c>
    </row>
    <row r="1587" spans="1:13" x14ac:dyDescent="0.45">
      <c r="A1587" t="s">
        <v>1555</v>
      </c>
      <c r="B1587" s="18">
        <v>1.75</v>
      </c>
      <c r="C1587" s="18">
        <v>1.62</v>
      </c>
      <c r="D1587" s="18">
        <v>2.15</v>
      </c>
      <c r="E1587" s="18">
        <v>1.58</v>
      </c>
      <c r="F1587" s="18">
        <v>4.51</v>
      </c>
      <c r="G1587" s="18">
        <v>1.7716000000000001</v>
      </c>
      <c r="H1587" s="18">
        <v>2.2253500000000002</v>
      </c>
      <c r="I1587" s="8">
        <v>8.0246913580246826E-2</v>
      </c>
      <c r="J1587" s="8">
        <v>-0.186046511627907</v>
      </c>
      <c r="K1587" s="8">
        <v>0.10759493670886069</v>
      </c>
      <c r="L1587" s="8">
        <v>-0.61197339246119731</v>
      </c>
      <c r="M1587" s="18">
        <v>-0.61017805379999679</v>
      </c>
    </row>
    <row r="1588" spans="1:13" x14ac:dyDescent="0.45">
      <c r="A1588" t="s">
        <v>377</v>
      </c>
      <c r="B1588" s="18">
        <v>30.5</v>
      </c>
      <c r="C1588" s="18">
        <v>32.450000000000003</v>
      </c>
      <c r="D1588" s="18">
        <v>34.450000000000003</v>
      </c>
      <c r="E1588" s="18">
        <v>27.54</v>
      </c>
      <c r="F1588" s="18">
        <v>27.51</v>
      </c>
      <c r="G1588" s="18">
        <v>33.382100000000001</v>
      </c>
      <c r="H1588" s="18">
        <v>32.305525000000003</v>
      </c>
      <c r="I1588" s="8">
        <v>-6.009244992295848E-2</v>
      </c>
      <c r="J1588" s="8">
        <v>-0.11465892597968071</v>
      </c>
      <c r="K1588" s="8">
        <v>0.1074800290486566</v>
      </c>
      <c r="L1588" s="8">
        <v>0.1086877499091239</v>
      </c>
      <c r="M1588" s="18">
        <v>4.1416403055141271E-2</v>
      </c>
    </row>
    <row r="1589" spans="1:13" x14ac:dyDescent="0.45">
      <c r="A1589" t="s">
        <v>445</v>
      </c>
      <c r="B1589" s="18">
        <v>96.18</v>
      </c>
      <c r="C1589" s="18">
        <v>91.21</v>
      </c>
      <c r="D1589" s="18">
        <v>93.26</v>
      </c>
      <c r="E1589" s="18">
        <v>86.86</v>
      </c>
      <c r="F1589" s="18">
        <v>90.31</v>
      </c>
      <c r="G1589" s="18">
        <v>93.575200000000009</v>
      </c>
      <c r="H1589" s="18">
        <v>89.850700000000003</v>
      </c>
      <c r="I1589" s="8">
        <v>5.4489639293937131E-2</v>
      </c>
      <c r="J1589" s="8">
        <v>3.1310315247694558E-2</v>
      </c>
      <c r="K1589" s="8">
        <v>0.10729910200322371</v>
      </c>
      <c r="L1589" s="8">
        <v>6.4998339054368248E-2</v>
      </c>
      <c r="M1589" s="18">
        <v>0.25809739559922362</v>
      </c>
    </row>
    <row r="1590" spans="1:13" x14ac:dyDescent="0.45">
      <c r="A1590" t="s">
        <v>2352</v>
      </c>
      <c r="B1590" s="18">
        <v>59.09</v>
      </c>
      <c r="C1590" s="18">
        <v>61.56</v>
      </c>
      <c r="D1590" s="18">
        <v>62.61</v>
      </c>
      <c r="E1590" s="18">
        <v>53.37</v>
      </c>
      <c r="F1590" s="18">
        <v>68.599999999999994</v>
      </c>
      <c r="G1590" s="18">
        <v>61.307400000000001</v>
      </c>
      <c r="H1590" s="18">
        <v>60.183300000000003</v>
      </c>
      <c r="I1590" s="8">
        <v>-4.0123456790123413E-2</v>
      </c>
      <c r="J1590" s="8">
        <v>-5.6221050950327367E-2</v>
      </c>
      <c r="K1590" s="8">
        <v>0.1071763162825559</v>
      </c>
      <c r="L1590" s="8">
        <v>-0.13862973760932931</v>
      </c>
      <c r="M1590" s="18">
        <v>-0.1277979290672242</v>
      </c>
    </row>
    <row r="1591" spans="1:13" x14ac:dyDescent="0.45">
      <c r="A1591" t="s">
        <v>1816</v>
      </c>
      <c r="B1591" s="18">
        <v>12.09</v>
      </c>
      <c r="C1591" s="18">
        <v>11.24</v>
      </c>
      <c r="D1591" s="18">
        <v>11.11</v>
      </c>
      <c r="E1591" s="18">
        <v>10.92</v>
      </c>
      <c r="F1591" s="18">
        <v>12.58</v>
      </c>
      <c r="G1591" s="18">
        <v>11.2728</v>
      </c>
      <c r="H1591" s="18">
        <v>11.25066</v>
      </c>
      <c r="I1591" s="8">
        <v>7.562277580071175E-2</v>
      </c>
      <c r="J1591" s="8">
        <v>8.8208820882088146E-2</v>
      </c>
      <c r="K1591" s="8">
        <v>0.10714285714285721</v>
      </c>
      <c r="L1591" s="8">
        <v>-3.8950715421303683E-2</v>
      </c>
      <c r="M1591" s="18">
        <v>0.23202373840435339</v>
      </c>
    </row>
    <row r="1592" spans="1:13" x14ac:dyDescent="0.45">
      <c r="A1592" t="s">
        <v>2051</v>
      </c>
      <c r="B1592" s="18">
        <v>4.76</v>
      </c>
      <c r="C1592" s="18">
        <v>4.59</v>
      </c>
      <c r="D1592" s="18">
        <v>5.2</v>
      </c>
      <c r="E1592" s="18">
        <v>4.3</v>
      </c>
      <c r="F1592" s="18">
        <v>7</v>
      </c>
      <c r="G1592" s="18">
        <v>4.6294000000000004</v>
      </c>
      <c r="H1592" s="18">
        <v>5.1619500000000009</v>
      </c>
      <c r="I1592" s="8">
        <v>3.7037037037036979E-2</v>
      </c>
      <c r="J1592" s="8">
        <v>-8.4615384615384648E-2</v>
      </c>
      <c r="K1592" s="8">
        <v>0.1069767441860465</v>
      </c>
      <c r="L1592" s="8">
        <v>-0.32000000000000012</v>
      </c>
      <c r="M1592" s="18">
        <v>-0.26060160339230121</v>
      </c>
    </row>
    <row r="1593" spans="1:13" x14ac:dyDescent="0.45">
      <c r="A1593" t="s">
        <v>1763</v>
      </c>
      <c r="B1593" s="18">
        <v>11.39</v>
      </c>
      <c r="C1593" s="18">
        <v>11.24</v>
      </c>
      <c r="D1593" s="18">
        <v>10.98</v>
      </c>
      <c r="E1593" s="18">
        <v>10.29</v>
      </c>
      <c r="F1593" s="18">
        <v>11.97</v>
      </c>
      <c r="G1593" s="18">
        <v>11.102</v>
      </c>
      <c r="H1593" s="18">
        <v>11.082599999999999</v>
      </c>
      <c r="I1593" s="8">
        <v>1.334519572953741E-2</v>
      </c>
      <c r="J1593" s="8">
        <v>3.7340619307832501E-2</v>
      </c>
      <c r="K1593" s="8">
        <v>0.10689990281827021</v>
      </c>
      <c r="L1593" s="8">
        <v>-4.8454469507101083E-2</v>
      </c>
      <c r="M1593" s="18">
        <v>0.109131248348539</v>
      </c>
    </row>
    <row r="1594" spans="1:13" x14ac:dyDescent="0.45">
      <c r="A1594" t="s">
        <v>1850</v>
      </c>
      <c r="B1594" s="18">
        <v>12.56</v>
      </c>
      <c r="C1594" s="18">
        <v>11.88</v>
      </c>
      <c r="D1594" s="18">
        <v>11.41</v>
      </c>
      <c r="E1594" s="18">
        <v>11.35</v>
      </c>
      <c r="F1594" s="18">
        <v>12.94</v>
      </c>
      <c r="G1594" s="18">
        <v>11.788399999999999</v>
      </c>
      <c r="H1594" s="18">
        <v>11.700875</v>
      </c>
      <c r="I1594" s="8">
        <v>5.7239057239057312E-2</v>
      </c>
      <c r="J1594" s="8">
        <v>0.10078878177037701</v>
      </c>
      <c r="K1594" s="8">
        <v>0.1066079295154185</v>
      </c>
      <c r="L1594" s="8">
        <v>-2.936630602782064E-2</v>
      </c>
      <c r="M1594" s="18">
        <v>0.23526946249703221</v>
      </c>
    </row>
    <row r="1595" spans="1:13" x14ac:dyDescent="0.45">
      <c r="A1595" t="s">
        <v>948</v>
      </c>
      <c r="B1595" s="18">
        <v>39.97</v>
      </c>
      <c r="C1595" s="18">
        <v>39.36</v>
      </c>
      <c r="D1595" s="18">
        <v>36.94</v>
      </c>
      <c r="E1595" s="18">
        <v>36.119999999999997</v>
      </c>
      <c r="F1595" s="18">
        <v>34.97</v>
      </c>
      <c r="G1595" s="18">
        <v>38.701000000000001</v>
      </c>
      <c r="H1595" s="18">
        <v>38.682549999999999</v>
      </c>
      <c r="I1595" s="8">
        <v>1.549796747967469E-2</v>
      </c>
      <c r="J1595" s="8">
        <v>8.202490525175965E-2</v>
      </c>
      <c r="K1595" s="8">
        <v>0.1065891472868217</v>
      </c>
      <c r="L1595" s="8">
        <v>0.1429796968830426</v>
      </c>
      <c r="M1595" s="18">
        <v>0.34709171690129859</v>
      </c>
    </row>
    <row r="1596" spans="1:13" x14ac:dyDescent="0.45">
      <c r="A1596" t="s">
        <v>1726</v>
      </c>
      <c r="B1596" s="18">
        <v>11.032299999999999</v>
      </c>
      <c r="C1596" s="18">
        <v>11.31</v>
      </c>
      <c r="D1596" s="18">
        <v>10.4</v>
      </c>
      <c r="E1596" s="18">
        <v>9.9700000000000006</v>
      </c>
      <c r="F1596" s="18">
        <v>12.41</v>
      </c>
      <c r="G1596" s="18">
        <v>10.893806</v>
      </c>
      <c r="H1596" s="18">
        <v>10.673886</v>
      </c>
      <c r="I1596" s="8">
        <v>-2.4553492484527099E-2</v>
      </c>
      <c r="J1596" s="8">
        <v>6.0798076923076927E-2</v>
      </c>
      <c r="K1596" s="8">
        <v>0.10654964894684051</v>
      </c>
      <c r="L1596" s="8">
        <v>-0.11101531023368259</v>
      </c>
      <c r="M1596" s="18">
        <v>3.1778923151707723E-2</v>
      </c>
    </row>
    <row r="1597" spans="1:13" x14ac:dyDescent="0.45">
      <c r="A1597" t="s">
        <v>643</v>
      </c>
      <c r="B1597" s="18">
        <v>15.89</v>
      </c>
      <c r="C1597" s="18">
        <v>15.63</v>
      </c>
      <c r="D1597" s="18">
        <v>16.93</v>
      </c>
      <c r="E1597" s="18">
        <v>14.36</v>
      </c>
      <c r="F1597" s="18">
        <v>19.760000000000002</v>
      </c>
      <c r="G1597" s="18">
        <v>15.2738</v>
      </c>
      <c r="H1597" s="18">
        <v>16.807500000000001</v>
      </c>
      <c r="I1597" s="8">
        <v>1.6634676903390929E-2</v>
      </c>
      <c r="J1597" s="8">
        <v>-6.1429415239220297E-2</v>
      </c>
      <c r="K1597" s="8">
        <v>0.1065459610027857</v>
      </c>
      <c r="L1597" s="8">
        <v>-0.19585020242914991</v>
      </c>
      <c r="M1597" s="18">
        <v>-0.13409897976219351</v>
      </c>
    </row>
    <row r="1598" spans="1:13" x14ac:dyDescent="0.45">
      <c r="A1598" t="s">
        <v>2111</v>
      </c>
      <c r="B1598" s="18">
        <v>17.989999999999998</v>
      </c>
      <c r="C1598" s="18">
        <v>17.98</v>
      </c>
      <c r="D1598" s="18">
        <v>17.920000000000002</v>
      </c>
      <c r="E1598" s="18">
        <v>16.28</v>
      </c>
      <c r="F1598" s="18">
        <v>24.15</v>
      </c>
      <c r="G1598" s="18">
        <v>17.688600000000001</v>
      </c>
      <c r="H1598" s="18">
        <v>19.350349999999999</v>
      </c>
      <c r="I1598" s="8">
        <v>5.5617352614012461E-4</v>
      </c>
      <c r="J1598" s="8">
        <v>3.906249999999778E-3</v>
      </c>
      <c r="K1598" s="8">
        <v>0.1050368550368548</v>
      </c>
      <c r="L1598" s="8">
        <v>-0.25507246376811599</v>
      </c>
      <c r="M1598" s="18">
        <v>-0.1455731852051213</v>
      </c>
    </row>
    <row r="1599" spans="1:13" x14ac:dyDescent="0.45">
      <c r="A1599" t="s">
        <v>1856</v>
      </c>
      <c r="B1599" s="18">
        <v>12.53</v>
      </c>
      <c r="C1599" s="18">
        <v>12.37</v>
      </c>
      <c r="D1599" s="18">
        <v>11.99</v>
      </c>
      <c r="E1599" s="18">
        <v>11.34</v>
      </c>
      <c r="F1599" s="18">
        <v>13</v>
      </c>
      <c r="G1599" s="18">
        <v>12.138</v>
      </c>
      <c r="H1599" s="18">
        <v>12.09375</v>
      </c>
      <c r="I1599" s="8">
        <v>1.2934518997574701E-2</v>
      </c>
      <c r="J1599" s="8">
        <v>4.5037531276063358E-2</v>
      </c>
      <c r="K1599" s="8">
        <v>0.10493827160493829</v>
      </c>
      <c r="L1599" s="8">
        <v>-3.6153846153846203E-2</v>
      </c>
      <c r="M1599" s="18">
        <v>0.12675647572473009</v>
      </c>
    </row>
    <row r="1600" spans="1:13" x14ac:dyDescent="0.45">
      <c r="A1600" t="s">
        <v>1177</v>
      </c>
      <c r="B1600" s="18">
        <v>7.5</v>
      </c>
      <c r="C1600" s="18">
        <v>7.61</v>
      </c>
      <c r="D1600" s="18">
        <v>8.24</v>
      </c>
      <c r="E1600" s="18">
        <v>6.79</v>
      </c>
      <c r="F1600" s="18">
        <v>10.78</v>
      </c>
      <c r="G1600" s="18">
        <v>7.5537999999999998</v>
      </c>
      <c r="H1600" s="18">
        <v>8.1575500000000005</v>
      </c>
      <c r="I1600" s="8">
        <v>-1.445466491458614E-2</v>
      </c>
      <c r="J1600" s="8">
        <v>-8.9805825242718518E-2</v>
      </c>
      <c r="K1600" s="8">
        <v>0.10456553755522829</v>
      </c>
      <c r="L1600" s="8">
        <v>-0.30426716141001853</v>
      </c>
      <c r="M1600" s="18">
        <v>-0.30396211401209478</v>
      </c>
    </row>
    <row r="1601" spans="1:13" x14ac:dyDescent="0.45">
      <c r="A1601" t="s">
        <v>1065</v>
      </c>
      <c r="B1601" s="18">
        <v>15.66</v>
      </c>
      <c r="C1601" s="18">
        <v>15.28</v>
      </c>
      <c r="D1601" s="18">
        <v>13.84</v>
      </c>
      <c r="E1601" s="18">
        <v>14.18</v>
      </c>
      <c r="F1601" s="18">
        <v>12.67</v>
      </c>
      <c r="G1601" s="18">
        <v>15.3414</v>
      </c>
      <c r="H1601" s="18">
        <v>15.09205</v>
      </c>
      <c r="I1601" s="8">
        <v>2.486910994764413E-2</v>
      </c>
      <c r="J1601" s="8">
        <v>0.1315028901734103</v>
      </c>
      <c r="K1601" s="8">
        <v>0.1043723554301834</v>
      </c>
      <c r="L1601" s="8">
        <v>0.23599052880820851</v>
      </c>
      <c r="M1601" s="18">
        <v>0.49673488435944629</v>
      </c>
    </row>
    <row r="1602" spans="1:13" x14ac:dyDescent="0.45">
      <c r="A1602" t="s">
        <v>1991</v>
      </c>
      <c r="B1602" s="18">
        <v>269.82</v>
      </c>
      <c r="C1602" s="18">
        <v>271.5</v>
      </c>
      <c r="D1602" s="18">
        <v>267.33999999999997</v>
      </c>
      <c r="E1602" s="18">
        <v>244.39</v>
      </c>
      <c r="F1602" s="18">
        <v>274.24</v>
      </c>
      <c r="G1602" s="18">
        <v>269.553</v>
      </c>
      <c r="H1602" s="18">
        <v>272.64544999999998</v>
      </c>
      <c r="I1602" s="8">
        <v>-6.1878453038674008E-3</v>
      </c>
      <c r="J1602" s="8">
        <v>9.2765766439739661E-3</v>
      </c>
      <c r="K1602" s="8">
        <v>0.1040549940668605</v>
      </c>
      <c r="L1602" s="8">
        <v>-1.611726954492421E-2</v>
      </c>
      <c r="M1602" s="18">
        <v>9.1026455862042832E-2</v>
      </c>
    </row>
    <row r="1603" spans="1:13" x14ac:dyDescent="0.45">
      <c r="A1603" t="s">
        <v>855</v>
      </c>
      <c r="B1603" s="18">
        <v>17.63</v>
      </c>
      <c r="C1603" s="18">
        <v>18.940000000000001</v>
      </c>
      <c r="D1603" s="18">
        <v>19.91</v>
      </c>
      <c r="E1603" s="18">
        <v>15.97</v>
      </c>
      <c r="F1603" s="18">
        <v>17.739999999999998</v>
      </c>
      <c r="G1603" s="18">
        <v>19.889800000000001</v>
      </c>
      <c r="H1603" s="18">
        <v>19.5002</v>
      </c>
      <c r="I1603" s="8">
        <v>-6.916578669482587E-2</v>
      </c>
      <c r="J1603" s="8">
        <v>-0.1145153189352085</v>
      </c>
      <c r="K1603" s="8">
        <v>0.10394489668127729</v>
      </c>
      <c r="L1603" s="8">
        <v>-6.2006764374294976E-3</v>
      </c>
      <c r="M1603" s="18">
        <v>-8.5936885386186601E-2</v>
      </c>
    </row>
    <row r="1604" spans="1:13" x14ac:dyDescent="0.45">
      <c r="A1604" t="s">
        <v>828</v>
      </c>
      <c r="B1604" s="18">
        <v>22.58</v>
      </c>
      <c r="C1604" s="18">
        <v>22.53</v>
      </c>
      <c r="D1604" s="18">
        <v>21.97</v>
      </c>
      <c r="E1604" s="18">
        <v>20.46</v>
      </c>
      <c r="F1604" s="18">
        <v>21.51</v>
      </c>
      <c r="G1604" s="18">
        <v>22.38</v>
      </c>
      <c r="H1604" s="18">
        <v>21.543949999999999</v>
      </c>
      <c r="I1604" s="8">
        <v>2.2192632046158511E-3</v>
      </c>
      <c r="J1604" s="8">
        <v>2.776513427400995E-2</v>
      </c>
      <c r="K1604" s="8">
        <v>0.1036168132942326</v>
      </c>
      <c r="L1604" s="8">
        <v>4.9744304974430387E-2</v>
      </c>
      <c r="M1604" s="18">
        <v>0.18334551574728869</v>
      </c>
    </row>
    <row r="1605" spans="1:13" x14ac:dyDescent="0.45">
      <c r="A1605" t="s">
        <v>2516</v>
      </c>
      <c r="B1605" s="18">
        <v>7.89</v>
      </c>
      <c r="C1605" s="18">
        <v>8.23</v>
      </c>
      <c r="D1605" s="18">
        <v>10.34</v>
      </c>
      <c r="E1605" s="18">
        <v>7.15</v>
      </c>
      <c r="F1605" s="18">
        <v>12.76</v>
      </c>
      <c r="G1605" s="18">
        <v>8.5616000000000003</v>
      </c>
      <c r="H1605" s="18">
        <v>10.43535</v>
      </c>
      <c r="I1605" s="8">
        <v>-4.1312272174969689E-2</v>
      </c>
      <c r="J1605" s="8">
        <v>-0.2369439071566731</v>
      </c>
      <c r="K1605" s="8">
        <v>0.1034965034965034</v>
      </c>
      <c r="L1605" s="8">
        <v>-0.38166144200626961</v>
      </c>
      <c r="M1605" s="18">
        <v>-0.55642111784140902</v>
      </c>
    </row>
    <row r="1606" spans="1:13" x14ac:dyDescent="0.45">
      <c r="A1606" t="s">
        <v>1982</v>
      </c>
      <c r="B1606" s="18">
        <v>6.52</v>
      </c>
      <c r="C1606" s="18">
        <v>7.18</v>
      </c>
      <c r="D1606" s="18">
        <v>7.12</v>
      </c>
      <c r="E1606" s="18">
        <v>5.91</v>
      </c>
      <c r="F1606" s="18">
        <v>7.04</v>
      </c>
      <c r="G1606" s="18">
        <v>7.0231999999999992</v>
      </c>
      <c r="H1606" s="18">
        <v>6.9298500000000001</v>
      </c>
      <c r="I1606" s="8">
        <v>-9.1922005571030696E-2</v>
      </c>
      <c r="J1606" s="8">
        <v>-8.4269662921348409E-2</v>
      </c>
      <c r="K1606" s="8">
        <v>0.1032148900169203</v>
      </c>
      <c r="L1606" s="8">
        <v>-7.3863636363636465E-2</v>
      </c>
      <c r="M1606" s="18">
        <v>-0.1468404148390953</v>
      </c>
    </row>
    <row r="1607" spans="1:13" x14ac:dyDescent="0.45">
      <c r="A1607" t="s">
        <v>1422</v>
      </c>
      <c r="B1607" s="18">
        <v>124.17</v>
      </c>
      <c r="C1607" s="18">
        <v>133.63999999999999</v>
      </c>
      <c r="D1607" s="18">
        <v>149.06</v>
      </c>
      <c r="E1607" s="18">
        <v>112.6</v>
      </c>
      <c r="F1607" s="18">
        <v>160.01</v>
      </c>
      <c r="G1607" s="18">
        <v>124.2144</v>
      </c>
      <c r="H1607" s="18">
        <v>141.30735000000001</v>
      </c>
      <c r="I1607" s="8">
        <v>-7.0862017360071694E-2</v>
      </c>
      <c r="J1607" s="8">
        <v>-0.1669797397021334</v>
      </c>
      <c r="K1607" s="8">
        <v>0.102753108348135</v>
      </c>
      <c r="L1607" s="8">
        <v>-0.22398600087494519</v>
      </c>
      <c r="M1607" s="18">
        <v>-0.35907464958901542</v>
      </c>
    </row>
    <row r="1608" spans="1:13" x14ac:dyDescent="0.45">
      <c r="A1608" t="s">
        <v>1654</v>
      </c>
      <c r="B1608" s="18">
        <v>9.76</v>
      </c>
      <c r="C1608" s="18">
        <v>9.5299999999999994</v>
      </c>
      <c r="D1608" s="18">
        <v>8.25</v>
      </c>
      <c r="E1608" s="18">
        <v>8.86</v>
      </c>
      <c r="F1608" s="18">
        <v>11.3</v>
      </c>
      <c r="G1608" s="18">
        <v>9.3249999999999993</v>
      </c>
      <c r="H1608" s="18">
        <v>9.0687999999999995</v>
      </c>
      <c r="I1608" s="8">
        <v>2.4134312696747259E-2</v>
      </c>
      <c r="J1608" s="8">
        <v>0.1830303030303031</v>
      </c>
      <c r="K1608" s="8">
        <v>0.1015801354401806</v>
      </c>
      <c r="L1608" s="8">
        <v>-0.13628318584070809</v>
      </c>
      <c r="M1608" s="18">
        <v>0.1724615653265229</v>
      </c>
    </row>
    <row r="1609" spans="1:13" x14ac:dyDescent="0.45">
      <c r="A1609" t="s">
        <v>1004</v>
      </c>
      <c r="B1609" s="18">
        <v>27.7</v>
      </c>
      <c r="C1609" s="18">
        <v>28.64</v>
      </c>
      <c r="D1609" s="18">
        <v>29.01</v>
      </c>
      <c r="E1609" s="18">
        <v>25.15</v>
      </c>
      <c r="F1609" s="18">
        <v>28.93</v>
      </c>
      <c r="G1609" s="18">
        <v>28.3</v>
      </c>
      <c r="H1609" s="18">
        <v>28.878</v>
      </c>
      <c r="I1609" s="8">
        <v>-3.2821229050279399E-2</v>
      </c>
      <c r="J1609" s="8">
        <v>-4.5156842468114473E-2</v>
      </c>
      <c r="K1609" s="8">
        <v>0.10139165009940369</v>
      </c>
      <c r="L1609" s="8">
        <v>-4.2516418942274432E-2</v>
      </c>
      <c r="M1609" s="18">
        <v>-1.9102840361264639E-2</v>
      </c>
    </row>
    <row r="1610" spans="1:13" x14ac:dyDescent="0.45">
      <c r="A1610" t="s">
        <v>657</v>
      </c>
      <c r="B1610" s="18">
        <v>20.58</v>
      </c>
      <c r="C1610" s="18">
        <v>20.62</v>
      </c>
      <c r="D1610" s="18">
        <v>23.54</v>
      </c>
      <c r="E1610" s="18">
        <v>18.690000000000001</v>
      </c>
      <c r="F1610" s="18">
        <v>32</v>
      </c>
      <c r="G1610" s="18">
        <v>20.0686</v>
      </c>
      <c r="H1610" s="18">
        <v>23.824149999999999</v>
      </c>
      <c r="I1610" s="8">
        <v>-1.9398642095054259E-3</v>
      </c>
      <c r="J1610" s="8">
        <v>-0.12574341546304171</v>
      </c>
      <c r="K1610" s="8">
        <v>0.10112359550561779</v>
      </c>
      <c r="L1610" s="8">
        <v>-0.35687500000000011</v>
      </c>
      <c r="M1610" s="18">
        <v>-0.38343468416692938</v>
      </c>
    </row>
    <row r="1611" spans="1:13" x14ac:dyDescent="0.45">
      <c r="A1611" t="s">
        <v>415</v>
      </c>
      <c r="B1611" s="18">
        <v>293.14</v>
      </c>
      <c r="C1611" s="18">
        <v>290.10000000000002</v>
      </c>
      <c r="D1611" s="18">
        <v>288.83999999999997</v>
      </c>
      <c r="E1611" s="18">
        <v>266.31</v>
      </c>
      <c r="F1611" s="18">
        <v>345.4</v>
      </c>
      <c r="G1611" s="18">
        <v>286.68259999999998</v>
      </c>
      <c r="H1611" s="18">
        <v>293.99504999999999</v>
      </c>
      <c r="I1611" s="8">
        <v>1.047914512237158E-2</v>
      </c>
      <c r="J1611" s="8">
        <v>1.4887134745880101E-2</v>
      </c>
      <c r="K1611" s="8">
        <v>0.1007472494461341</v>
      </c>
      <c r="L1611" s="8">
        <v>-0.15130283729009841</v>
      </c>
      <c r="M1611" s="18">
        <v>-2.5189307975712619E-2</v>
      </c>
    </row>
    <row r="1612" spans="1:13" x14ac:dyDescent="0.45">
      <c r="A1612" t="s">
        <v>1998</v>
      </c>
      <c r="B1612" s="18">
        <v>25.06</v>
      </c>
      <c r="C1612" s="18">
        <v>24.95</v>
      </c>
      <c r="D1612" s="18">
        <v>24.34</v>
      </c>
      <c r="E1612" s="18">
        <v>22.77</v>
      </c>
      <c r="F1612" s="18">
        <v>25.07</v>
      </c>
      <c r="G1612" s="18">
        <v>24.698831999999999</v>
      </c>
      <c r="H1612" s="18">
        <v>23.766337</v>
      </c>
      <c r="I1612" s="8">
        <v>4.4088176352705677E-3</v>
      </c>
      <c r="J1612" s="8">
        <v>2.958093672966311E-2</v>
      </c>
      <c r="K1612" s="8">
        <v>0.1005709266578831</v>
      </c>
      <c r="L1612" s="8">
        <v>-3.9888312724378761E-4</v>
      </c>
      <c r="M1612" s="18">
        <v>0.134161797895573</v>
      </c>
    </row>
    <row r="1613" spans="1:13" x14ac:dyDescent="0.45">
      <c r="A1613" t="s">
        <v>120</v>
      </c>
      <c r="B1613" s="18">
        <v>103.7</v>
      </c>
      <c r="C1613" s="18">
        <v>99.2</v>
      </c>
      <c r="D1613" s="18">
        <v>96.29</v>
      </c>
      <c r="E1613" s="18">
        <v>94.23</v>
      </c>
      <c r="F1613" s="18">
        <v>87.74</v>
      </c>
      <c r="G1613" s="18">
        <v>101.22320000000001</v>
      </c>
      <c r="H1613" s="18">
        <v>97.627449999999996</v>
      </c>
      <c r="I1613" s="8">
        <v>4.5362903225806488E-2</v>
      </c>
      <c r="J1613" s="8">
        <v>7.6955031675147945E-2</v>
      </c>
      <c r="K1613" s="8">
        <v>0.1004987795818741</v>
      </c>
      <c r="L1613" s="8">
        <v>0.1819010713471623</v>
      </c>
      <c r="M1613" s="18">
        <v>0.40471778582999091</v>
      </c>
    </row>
    <row r="1614" spans="1:13" x14ac:dyDescent="0.45">
      <c r="A1614" t="s">
        <v>1718</v>
      </c>
      <c r="B1614" s="18">
        <v>68.8</v>
      </c>
      <c r="C1614" s="18">
        <v>79.09</v>
      </c>
      <c r="D1614" s="18">
        <v>75.36</v>
      </c>
      <c r="E1614" s="18">
        <v>62.53</v>
      </c>
      <c r="F1614" s="18">
        <v>99.02</v>
      </c>
      <c r="G1614" s="18">
        <v>75.17</v>
      </c>
      <c r="H1614" s="18">
        <v>72.116524999999996</v>
      </c>
      <c r="I1614" s="8">
        <v>-0.13010494373498549</v>
      </c>
      <c r="J1614" s="8">
        <v>-8.7048832271762189E-2</v>
      </c>
      <c r="K1614" s="8">
        <v>0.10027186950263881</v>
      </c>
      <c r="L1614" s="8">
        <v>-0.30519087053120592</v>
      </c>
      <c r="M1614" s="18">
        <v>-0.42207277703531482</v>
      </c>
    </row>
    <row r="1615" spans="1:13" x14ac:dyDescent="0.45">
      <c r="A1615" t="s">
        <v>2199</v>
      </c>
      <c r="B1615" s="18">
        <v>23.17</v>
      </c>
      <c r="C1615" s="18">
        <v>24.26</v>
      </c>
      <c r="D1615" s="18">
        <v>26.92</v>
      </c>
      <c r="E1615" s="18">
        <v>21.06</v>
      </c>
      <c r="F1615" s="18">
        <v>26.98</v>
      </c>
      <c r="G1615" s="18">
        <v>23.638999999999999</v>
      </c>
      <c r="H1615" s="18">
        <v>24.97945</v>
      </c>
      <c r="I1615" s="8">
        <v>-4.4929925803792292E-2</v>
      </c>
      <c r="J1615" s="8">
        <v>-0.13930163447251109</v>
      </c>
      <c r="K1615" s="8">
        <v>0.10018993352326699</v>
      </c>
      <c r="L1615" s="8">
        <v>-0.1412157153446997</v>
      </c>
      <c r="M1615" s="18">
        <v>-0.2252573420977361</v>
      </c>
    </row>
    <row r="1616" spans="1:13" x14ac:dyDescent="0.45">
      <c r="A1616" t="s">
        <v>648</v>
      </c>
      <c r="B1616" s="18">
        <v>15.17</v>
      </c>
      <c r="C1616" s="18">
        <v>13.91</v>
      </c>
      <c r="D1616" s="18">
        <v>14.42</v>
      </c>
      <c r="E1616" s="18">
        <v>13.79</v>
      </c>
      <c r="F1616" s="18">
        <v>11.53</v>
      </c>
      <c r="G1616" s="18">
        <v>13.986599999999999</v>
      </c>
      <c r="H1616" s="18">
        <v>16.356400000000001</v>
      </c>
      <c r="I1616" s="8">
        <v>9.0582314881380244E-2</v>
      </c>
      <c r="J1616" s="8">
        <v>5.2011095700416073E-2</v>
      </c>
      <c r="K1616" s="8">
        <v>0.1000725163161713</v>
      </c>
      <c r="L1616" s="8">
        <v>0.31569817866435401</v>
      </c>
      <c r="M1616" s="18">
        <v>0.55836410556232163</v>
      </c>
    </row>
    <row r="1617" spans="1:13" x14ac:dyDescent="0.45">
      <c r="A1617" t="s">
        <v>2015</v>
      </c>
      <c r="B1617" s="18">
        <v>10.57</v>
      </c>
      <c r="C1617" s="18">
        <v>11.99</v>
      </c>
      <c r="D1617" s="18">
        <v>11.04</v>
      </c>
      <c r="E1617" s="18">
        <v>9.61</v>
      </c>
      <c r="F1617" s="18">
        <v>11.05</v>
      </c>
      <c r="G1617" s="18">
        <v>11.964600000000001</v>
      </c>
      <c r="H1617" s="18">
        <v>11.7722</v>
      </c>
      <c r="I1617" s="8">
        <v>-0.1184320266889074</v>
      </c>
      <c r="J1617" s="8">
        <v>-4.2572463768115847E-2</v>
      </c>
      <c r="K1617" s="8">
        <v>9.9895941727367488E-2</v>
      </c>
      <c r="L1617" s="8">
        <v>-4.3438914027149389E-2</v>
      </c>
      <c r="M1617" s="18">
        <v>-0.1045474627568052</v>
      </c>
    </row>
    <row r="1618" spans="1:13" x14ac:dyDescent="0.45">
      <c r="A1618" t="s">
        <v>1761</v>
      </c>
      <c r="B1618" s="18">
        <v>10.51</v>
      </c>
      <c r="C1618" s="18">
        <v>10.37</v>
      </c>
      <c r="D1618" s="18">
        <v>10.14</v>
      </c>
      <c r="E1618" s="18">
        <v>9.56</v>
      </c>
      <c r="F1618" s="18">
        <v>11.14</v>
      </c>
      <c r="G1618" s="18">
        <v>10.0974</v>
      </c>
      <c r="H1618" s="18">
        <v>10.11984</v>
      </c>
      <c r="I1618" s="8">
        <v>1.350048216007727E-2</v>
      </c>
      <c r="J1618" s="8">
        <v>3.6489151873767112E-2</v>
      </c>
      <c r="K1618" s="8">
        <v>9.9372384937238323E-2</v>
      </c>
      <c r="L1618" s="8">
        <v>-5.65529622980252E-2</v>
      </c>
      <c r="M1618" s="18">
        <v>9.28090566730575E-2</v>
      </c>
    </row>
    <row r="1619" spans="1:13" x14ac:dyDescent="0.45">
      <c r="A1619" t="s">
        <v>1434</v>
      </c>
      <c r="B1619" s="18">
        <v>3.21</v>
      </c>
      <c r="C1619" s="18">
        <v>3.52</v>
      </c>
      <c r="D1619" s="18">
        <v>2.5499999999999998</v>
      </c>
      <c r="E1619" s="18">
        <v>2.92</v>
      </c>
      <c r="F1619" s="18">
        <v>6.23</v>
      </c>
      <c r="G1619" s="18">
        <v>3.3862000000000001</v>
      </c>
      <c r="H1619" s="18">
        <v>3.47695</v>
      </c>
      <c r="I1619" s="8">
        <v>-8.8068181818181879E-2</v>
      </c>
      <c r="J1619" s="8">
        <v>0.25882352941176467</v>
      </c>
      <c r="K1619" s="8">
        <v>9.9315068493150749E-2</v>
      </c>
      <c r="L1619" s="8">
        <v>-0.48475120385232751</v>
      </c>
      <c r="M1619" s="18">
        <v>-0.21468078776559399</v>
      </c>
    </row>
    <row r="1620" spans="1:13" x14ac:dyDescent="0.45">
      <c r="A1620" t="s">
        <v>2418</v>
      </c>
      <c r="B1620" s="18">
        <v>7.99</v>
      </c>
      <c r="C1620" s="18">
        <v>8.0399999999999991</v>
      </c>
      <c r="D1620" s="18">
        <v>7.91</v>
      </c>
      <c r="E1620" s="18">
        <v>7.27</v>
      </c>
      <c r="F1620" s="18">
        <v>8.1449999999999996</v>
      </c>
      <c r="G1620" s="18">
        <v>7.9632379999999996</v>
      </c>
      <c r="H1620" s="18">
        <v>7.7652645000000007</v>
      </c>
      <c r="I1620" s="8">
        <v>-6.2189054726367043E-3</v>
      </c>
      <c r="J1620" s="8">
        <v>1.0113780025284401E-2</v>
      </c>
      <c r="K1620" s="8">
        <v>9.9037138927097645E-2</v>
      </c>
      <c r="L1620" s="8">
        <v>-1.9030079803560421E-2</v>
      </c>
      <c r="M1620" s="18">
        <v>8.3901933676184925E-2</v>
      </c>
    </row>
    <row r="1621" spans="1:13" x14ac:dyDescent="0.45">
      <c r="A1621" t="s">
        <v>581</v>
      </c>
      <c r="B1621" s="18">
        <v>20.25</v>
      </c>
      <c r="C1621" s="18">
        <v>20.73</v>
      </c>
      <c r="D1621" s="18">
        <v>20.5</v>
      </c>
      <c r="E1621" s="18">
        <v>18.440000000000001</v>
      </c>
      <c r="F1621" s="18">
        <v>22.2</v>
      </c>
      <c r="G1621" s="18">
        <v>20.441756000000002</v>
      </c>
      <c r="H1621" s="18">
        <v>20.088287999999999</v>
      </c>
      <c r="I1621" s="8">
        <v>-2.3154848046309739E-2</v>
      </c>
      <c r="J1621" s="8">
        <v>-1.219512195121952E-2</v>
      </c>
      <c r="K1621" s="8">
        <v>9.8156182212581378E-2</v>
      </c>
      <c r="L1621" s="8">
        <v>-8.7837837837837829E-2</v>
      </c>
      <c r="M1621" s="18">
        <v>-2.503162562278571E-2</v>
      </c>
    </row>
    <row r="1622" spans="1:13" x14ac:dyDescent="0.45">
      <c r="A1622" t="s">
        <v>1946</v>
      </c>
      <c r="B1622" s="18">
        <v>7.64</v>
      </c>
      <c r="C1622" s="18">
        <v>7.63</v>
      </c>
      <c r="D1622" s="18">
        <v>7.54</v>
      </c>
      <c r="E1622" s="18">
        <v>6.96</v>
      </c>
      <c r="F1622" s="18">
        <v>7.72</v>
      </c>
      <c r="G1622" s="18">
        <v>7.5703999999999994</v>
      </c>
      <c r="H1622" s="18">
        <v>7.4318849999999994</v>
      </c>
      <c r="I1622" s="8">
        <v>1.3106159895150959E-3</v>
      </c>
      <c r="J1622" s="8">
        <v>1.326259946949593E-2</v>
      </c>
      <c r="K1622" s="8">
        <v>9.7701149425287293E-2</v>
      </c>
      <c r="L1622" s="8">
        <v>-1.036269430051817E-2</v>
      </c>
      <c r="M1622" s="18">
        <v>0.1019116705837801</v>
      </c>
    </row>
    <row r="1623" spans="1:13" x14ac:dyDescent="0.45">
      <c r="A1623" t="s">
        <v>2354</v>
      </c>
      <c r="B1623" s="18">
        <v>15.16</v>
      </c>
      <c r="C1623" s="18">
        <v>16.37</v>
      </c>
      <c r="D1623" s="18">
        <v>16.53</v>
      </c>
      <c r="E1623" s="18">
        <v>13.82</v>
      </c>
      <c r="F1623" s="18">
        <v>16.3</v>
      </c>
      <c r="G1623" s="18">
        <v>16.063600000000001</v>
      </c>
      <c r="H1623" s="18">
        <v>15.41085</v>
      </c>
      <c r="I1623" s="8">
        <v>-7.3915699450213812E-2</v>
      </c>
      <c r="J1623" s="8">
        <v>-8.2879612825166427E-2</v>
      </c>
      <c r="K1623" s="8">
        <v>9.6960926193921937E-2</v>
      </c>
      <c r="L1623" s="8">
        <v>-6.9938650306748507E-2</v>
      </c>
      <c r="M1623" s="18">
        <v>-0.12977303638820681</v>
      </c>
    </row>
    <row r="1624" spans="1:13" x14ac:dyDescent="0.45">
      <c r="A1624" t="s">
        <v>1809</v>
      </c>
      <c r="B1624" s="18">
        <v>10.87</v>
      </c>
      <c r="C1624" s="18">
        <v>10.98</v>
      </c>
      <c r="D1624" s="18">
        <v>11.18</v>
      </c>
      <c r="E1624" s="18">
        <v>9.91</v>
      </c>
      <c r="F1624" s="18">
        <v>11.79</v>
      </c>
      <c r="G1624" s="18">
        <v>10.931699999999999</v>
      </c>
      <c r="H1624" s="18">
        <v>10.713665000000001</v>
      </c>
      <c r="I1624" s="8">
        <v>-1.0018214936247881E-2</v>
      </c>
      <c r="J1624" s="8">
        <v>-2.772808586762077E-2</v>
      </c>
      <c r="K1624" s="8">
        <v>9.6871846619576152E-2</v>
      </c>
      <c r="L1624" s="8">
        <v>-7.803223070398646E-2</v>
      </c>
      <c r="M1624" s="18">
        <v>-1.8906684888278961E-2</v>
      </c>
    </row>
    <row r="1625" spans="1:13" x14ac:dyDescent="0.45">
      <c r="A1625" t="s">
        <v>443</v>
      </c>
      <c r="B1625" s="18">
        <v>339.25</v>
      </c>
      <c r="C1625" s="18">
        <v>322.64</v>
      </c>
      <c r="D1625" s="18">
        <v>320.7</v>
      </c>
      <c r="E1625" s="18">
        <v>309.39</v>
      </c>
      <c r="F1625" s="18">
        <v>286.74</v>
      </c>
      <c r="G1625" s="18">
        <v>330.71600000000001</v>
      </c>
      <c r="H1625" s="18">
        <v>329.32190000000003</v>
      </c>
      <c r="I1625" s="8">
        <v>5.1481527398958622E-2</v>
      </c>
      <c r="J1625" s="8">
        <v>5.7842220143436318E-2</v>
      </c>
      <c r="K1625" s="8">
        <v>9.6512492323604482E-2</v>
      </c>
      <c r="L1625" s="8">
        <v>0.1831275720164609</v>
      </c>
      <c r="M1625" s="18">
        <v>0.38896381188246032</v>
      </c>
    </row>
    <row r="1626" spans="1:13" x14ac:dyDescent="0.45">
      <c r="A1626" t="s">
        <v>762</v>
      </c>
      <c r="B1626" s="18">
        <v>17.18</v>
      </c>
      <c r="C1626" s="18">
        <v>18.010000000000002</v>
      </c>
      <c r="D1626" s="18">
        <v>16.78</v>
      </c>
      <c r="E1626" s="18">
        <v>15.68</v>
      </c>
      <c r="F1626" s="18">
        <v>20.055</v>
      </c>
      <c r="G1626" s="18">
        <v>17.555852000000002</v>
      </c>
      <c r="H1626" s="18">
        <v>17.015151500000002</v>
      </c>
      <c r="I1626" s="8">
        <v>-4.6085508051082802E-2</v>
      </c>
      <c r="J1626" s="8">
        <v>2.38379022646007E-2</v>
      </c>
      <c r="K1626" s="8">
        <v>9.5663265306122458E-2</v>
      </c>
      <c r="L1626" s="8">
        <v>-0.1433557716280229</v>
      </c>
      <c r="M1626" s="18">
        <v>-6.9940112108382579E-2</v>
      </c>
    </row>
    <row r="1627" spans="1:13" x14ac:dyDescent="0.45">
      <c r="A1627" t="s">
        <v>884</v>
      </c>
      <c r="B1627" s="18">
        <v>62.54</v>
      </c>
      <c r="C1627" s="18">
        <v>62.97</v>
      </c>
      <c r="D1627" s="18">
        <v>60.01</v>
      </c>
      <c r="E1627" s="18">
        <v>57.1</v>
      </c>
      <c r="F1627" s="18">
        <v>60.6</v>
      </c>
      <c r="G1627" s="18">
        <v>60.429319999999997</v>
      </c>
      <c r="H1627" s="18">
        <v>57.895400199999997</v>
      </c>
      <c r="I1627" s="8">
        <v>-6.8286485628076274E-3</v>
      </c>
      <c r="J1627" s="8">
        <v>4.2159640059989963E-2</v>
      </c>
      <c r="K1627" s="8">
        <v>9.5271453590192623E-2</v>
      </c>
      <c r="L1627" s="8">
        <v>3.2013201320131968E-2</v>
      </c>
      <c r="M1627" s="18">
        <v>0.16261564640750689</v>
      </c>
    </row>
    <row r="1628" spans="1:13" x14ac:dyDescent="0.45">
      <c r="A1628" t="s">
        <v>689</v>
      </c>
      <c r="B1628" s="18">
        <v>97</v>
      </c>
      <c r="C1628" s="18">
        <v>97</v>
      </c>
      <c r="D1628" s="18">
        <v>97.04</v>
      </c>
      <c r="E1628" s="18">
        <v>88.57</v>
      </c>
      <c r="F1628" s="18">
        <v>82.17</v>
      </c>
      <c r="G1628" s="18">
        <v>96.380799999999994</v>
      </c>
      <c r="H1628" s="18">
        <v>95.964550000000003</v>
      </c>
      <c r="I1628" s="8">
        <v>0</v>
      </c>
      <c r="J1628" s="8">
        <v>-4.1220115416329422E-4</v>
      </c>
      <c r="K1628" s="8">
        <v>9.5178954499266277E-2</v>
      </c>
      <c r="L1628" s="8">
        <v>0.1804794937325058</v>
      </c>
      <c r="M1628" s="18">
        <v>0.27524624707760881</v>
      </c>
    </row>
    <row r="1629" spans="1:13" x14ac:dyDescent="0.45">
      <c r="A1629" t="s">
        <v>2395</v>
      </c>
      <c r="B1629" s="18">
        <v>26.51</v>
      </c>
      <c r="C1629" s="18">
        <v>30.36</v>
      </c>
      <c r="D1629" s="18">
        <v>33.409999999999997</v>
      </c>
      <c r="E1629" s="18">
        <v>24.21</v>
      </c>
      <c r="F1629" s="18">
        <v>35.94</v>
      </c>
      <c r="G1629" s="18">
        <v>29.8062</v>
      </c>
      <c r="H1629" s="18">
        <v>30.360900000000001</v>
      </c>
      <c r="I1629" s="8">
        <v>-0.12681159420289839</v>
      </c>
      <c r="J1629" s="8">
        <v>-0.20652499251721021</v>
      </c>
      <c r="K1629" s="8">
        <v>9.5002065262288271E-2</v>
      </c>
      <c r="L1629" s="8">
        <v>-0.2623817473567055</v>
      </c>
      <c r="M1629" s="18">
        <v>-0.50071626881452591</v>
      </c>
    </row>
    <row r="1630" spans="1:13" x14ac:dyDescent="0.45">
      <c r="A1630" t="s">
        <v>2454</v>
      </c>
      <c r="B1630" s="18">
        <v>34.47</v>
      </c>
      <c r="C1630" s="18">
        <v>39.76</v>
      </c>
      <c r="D1630" s="18">
        <v>39.049999999999997</v>
      </c>
      <c r="E1630" s="18">
        <v>31.48</v>
      </c>
      <c r="F1630" s="18">
        <v>41.27</v>
      </c>
      <c r="G1630" s="18">
        <v>38.0944</v>
      </c>
      <c r="H1630" s="18">
        <v>36.518700000000003</v>
      </c>
      <c r="I1630" s="8">
        <v>-0.1330482897384305</v>
      </c>
      <c r="J1630" s="8">
        <v>-0.1172855313700384</v>
      </c>
      <c r="K1630" s="8">
        <v>9.4980940279542514E-2</v>
      </c>
      <c r="L1630" s="8">
        <v>-0.1647685970438576</v>
      </c>
      <c r="M1630" s="18">
        <v>-0.320121477872784</v>
      </c>
    </row>
    <row r="1631" spans="1:13" x14ac:dyDescent="0.45">
      <c r="A1631" t="s">
        <v>1548</v>
      </c>
      <c r="B1631" s="18">
        <v>478.99</v>
      </c>
      <c r="C1631" s="18">
        <v>442.3</v>
      </c>
      <c r="D1631" s="18">
        <v>489.15</v>
      </c>
      <c r="E1631" s="18">
        <v>437.46</v>
      </c>
      <c r="F1631" s="18">
        <v>486.93</v>
      </c>
      <c r="G1631" s="18">
        <v>443.68880000000001</v>
      </c>
      <c r="H1631" s="18">
        <v>456.73975000000002</v>
      </c>
      <c r="I1631" s="8">
        <v>8.2952747004295668E-2</v>
      </c>
      <c r="J1631" s="8">
        <v>-2.0770724726566381E-2</v>
      </c>
      <c r="K1631" s="8">
        <v>9.493439400173731E-2</v>
      </c>
      <c r="L1631" s="8">
        <v>-1.6306245250857439E-2</v>
      </c>
      <c r="M1631" s="18">
        <v>0.14081017102860921</v>
      </c>
    </row>
    <row r="1632" spans="1:13" x14ac:dyDescent="0.45">
      <c r="A1632" t="s">
        <v>358</v>
      </c>
      <c r="B1632" s="18">
        <v>86.4</v>
      </c>
      <c r="C1632" s="18">
        <v>84.61</v>
      </c>
      <c r="D1632" s="18">
        <v>84.02</v>
      </c>
      <c r="E1632" s="18">
        <v>78.95</v>
      </c>
      <c r="F1632" s="18">
        <v>109.77</v>
      </c>
      <c r="G1632" s="18">
        <v>83.100399999999993</v>
      </c>
      <c r="H1632" s="18">
        <v>85.635350000000003</v>
      </c>
      <c r="I1632" s="8">
        <v>2.115589173856525E-2</v>
      </c>
      <c r="J1632" s="8">
        <v>2.8326588907403139E-2</v>
      </c>
      <c r="K1632" s="8">
        <v>9.4363521215959478E-2</v>
      </c>
      <c r="L1632" s="8">
        <v>-0.21289969937141279</v>
      </c>
      <c r="M1632" s="18">
        <v>-6.9053697509484979E-2</v>
      </c>
    </row>
    <row r="1633" spans="1:13" x14ac:dyDescent="0.45">
      <c r="A1633" t="s">
        <v>610</v>
      </c>
      <c r="B1633" s="18">
        <v>18.97</v>
      </c>
      <c r="C1633" s="18">
        <v>21.1</v>
      </c>
      <c r="D1633" s="18">
        <v>19.989999999999998</v>
      </c>
      <c r="E1633" s="18">
        <v>17.34</v>
      </c>
      <c r="F1633" s="18">
        <v>20.43</v>
      </c>
      <c r="G1633" s="18">
        <v>20.169</v>
      </c>
      <c r="H1633" s="18">
        <v>20.072199999999999</v>
      </c>
      <c r="I1633" s="8">
        <v>-0.1009478672985783</v>
      </c>
      <c r="J1633" s="8">
        <v>-5.1025512756378122E-2</v>
      </c>
      <c r="K1633" s="8">
        <v>9.400230680507482E-2</v>
      </c>
      <c r="L1633" s="8">
        <v>-7.1463534018600172E-2</v>
      </c>
      <c r="M1633" s="18">
        <v>-0.1294346072684818</v>
      </c>
    </row>
    <row r="1634" spans="1:13" x14ac:dyDescent="0.45">
      <c r="A1634" t="s">
        <v>781</v>
      </c>
      <c r="B1634" s="18">
        <v>14.11</v>
      </c>
      <c r="C1634" s="18">
        <v>14.11</v>
      </c>
      <c r="D1634" s="18">
        <v>14.17</v>
      </c>
      <c r="E1634" s="18">
        <v>12.9</v>
      </c>
      <c r="F1634" s="18">
        <v>14.45</v>
      </c>
      <c r="G1634" s="18">
        <v>14.117599999999999</v>
      </c>
      <c r="H1634" s="18">
        <v>14.05606</v>
      </c>
      <c r="I1634" s="8">
        <v>0</v>
      </c>
      <c r="J1634" s="8">
        <v>-4.2342978122794639E-3</v>
      </c>
      <c r="K1634" s="8">
        <v>9.3798449612403134E-2</v>
      </c>
      <c r="L1634" s="8">
        <v>-2.352941176470591E-2</v>
      </c>
      <c r="M1634" s="18">
        <v>6.603474003541776E-2</v>
      </c>
    </row>
    <row r="1635" spans="1:13" x14ac:dyDescent="0.45">
      <c r="A1635" t="s">
        <v>1843</v>
      </c>
      <c r="B1635" s="18">
        <v>44.12</v>
      </c>
      <c r="C1635" s="18">
        <v>41.27</v>
      </c>
      <c r="D1635" s="18">
        <v>41.8</v>
      </c>
      <c r="E1635" s="18">
        <v>40.340000000000003</v>
      </c>
      <c r="F1635" s="18">
        <v>39.520000000000003</v>
      </c>
      <c r="G1635" s="18">
        <v>41.861199999999997</v>
      </c>
      <c r="H1635" s="18">
        <v>41.268449999999987</v>
      </c>
      <c r="I1635" s="8">
        <v>6.9057426702204827E-2</v>
      </c>
      <c r="J1635" s="8">
        <v>5.550239234449772E-2</v>
      </c>
      <c r="K1635" s="8">
        <v>9.3703520079325475E-2</v>
      </c>
      <c r="L1635" s="8">
        <v>0.11639676113360301</v>
      </c>
      <c r="M1635" s="18">
        <v>0.334660100259631</v>
      </c>
    </row>
    <row r="1636" spans="1:13" x14ac:dyDescent="0.45">
      <c r="A1636" t="s">
        <v>1746</v>
      </c>
      <c r="B1636" s="18">
        <v>11.68</v>
      </c>
      <c r="C1636" s="18">
        <v>11.51</v>
      </c>
      <c r="D1636" s="18">
        <v>11.23</v>
      </c>
      <c r="E1636" s="18">
        <v>10.68</v>
      </c>
      <c r="F1636" s="18">
        <v>11.87</v>
      </c>
      <c r="G1636" s="18">
        <v>11.3223</v>
      </c>
      <c r="H1636" s="18">
        <v>11.173575</v>
      </c>
      <c r="I1636" s="8">
        <v>1.476976542137276E-2</v>
      </c>
      <c r="J1636" s="8">
        <v>4.0071237756010618E-2</v>
      </c>
      <c r="K1636" s="8">
        <v>9.3632958801498134E-2</v>
      </c>
      <c r="L1636" s="8">
        <v>-1.6006739679865212E-2</v>
      </c>
      <c r="M1636" s="18">
        <v>0.13246722229901631</v>
      </c>
    </row>
    <row r="1637" spans="1:13" x14ac:dyDescent="0.45">
      <c r="A1637" t="s">
        <v>1686</v>
      </c>
      <c r="B1637" s="18">
        <v>4.79</v>
      </c>
      <c r="C1637" s="18">
        <v>4.8099999999999996</v>
      </c>
      <c r="D1637" s="18">
        <v>4.6900000000000004</v>
      </c>
      <c r="E1637" s="18">
        <v>4.38</v>
      </c>
      <c r="F1637" s="18">
        <v>4.88</v>
      </c>
      <c r="G1637" s="18">
        <v>4.7428720000000002</v>
      </c>
      <c r="H1637" s="18">
        <v>4.6521530000000002</v>
      </c>
      <c r="I1637" s="8">
        <v>-4.1580041580040472E-3</v>
      </c>
      <c r="J1637" s="8">
        <v>2.1321961620468951E-2</v>
      </c>
      <c r="K1637" s="8">
        <v>9.3607305936073137E-2</v>
      </c>
      <c r="L1637" s="8">
        <v>-1.8442622950819661E-2</v>
      </c>
      <c r="M1637" s="18">
        <v>9.232864044771838E-2</v>
      </c>
    </row>
    <row r="1638" spans="1:13" x14ac:dyDescent="0.45">
      <c r="A1638" t="s">
        <v>1835</v>
      </c>
      <c r="B1638" s="18">
        <v>12.41</v>
      </c>
      <c r="C1638" s="18">
        <v>12.2</v>
      </c>
      <c r="D1638" s="18">
        <v>11.98</v>
      </c>
      <c r="E1638" s="18">
        <v>11.35</v>
      </c>
      <c r="F1638" s="18">
        <v>13.37</v>
      </c>
      <c r="G1638" s="18">
        <v>11.995200000000001</v>
      </c>
      <c r="H1638" s="18">
        <v>12.095000000000001</v>
      </c>
      <c r="I1638" s="8">
        <v>1.7213114754098369E-2</v>
      </c>
      <c r="J1638" s="8">
        <v>3.5893155258764693E-2</v>
      </c>
      <c r="K1638" s="8">
        <v>9.3392070484581646E-2</v>
      </c>
      <c r="L1638" s="8">
        <v>-7.180254300673139E-2</v>
      </c>
      <c r="M1638" s="18">
        <v>7.4695797490713312E-2</v>
      </c>
    </row>
    <row r="1639" spans="1:13" x14ac:dyDescent="0.45">
      <c r="A1639" t="s">
        <v>431</v>
      </c>
      <c r="B1639" s="18">
        <v>482.43</v>
      </c>
      <c r="C1639" s="18">
        <v>547.71</v>
      </c>
      <c r="D1639" s="18">
        <v>529.83000000000004</v>
      </c>
      <c r="E1639" s="18">
        <v>441.5</v>
      </c>
      <c r="F1639" s="18">
        <v>512.16999999999996</v>
      </c>
      <c r="G1639" s="18">
        <v>532.0788</v>
      </c>
      <c r="H1639" s="18">
        <v>513.67075</v>
      </c>
      <c r="I1639" s="8">
        <v>-0.1191871610888975</v>
      </c>
      <c r="J1639" s="8">
        <v>-8.9462657833644821E-2</v>
      </c>
      <c r="K1639" s="8">
        <v>9.270668176670438E-2</v>
      </c>
      <c r="L1639" s="8">
        <v>-5.8066657555108543E-2</v>
      </c>
      <c r="M1639" s="18">
        <v>-0.17400979471094649</v>
      </c>
    </row>
    <row r="1640" spans="1:13" x14ac:dyDescent="0.45">
      <c r="A1640" t="s">
        <v>1957</v>
      </c>
      <c r="B1640" s="18">
        <v>4.9800000000000004</v>
      </c>
      <c r="C1640" s="18">
        <v>5</v>
      </c>
      <c r="D1640" s="18">
        <v>4.84</v>
      </c>
      <c r="E1640" s="18">
        <v>4.5599999999999996</v>
      </c>
      <c r="F1640" s="18">
        <v>5.08</v>
      </c>
      <c r="G1640" s="18">
        <v>4.9304000000000006</v>
      </c>
      <c r="H1640" s="18">
        <v>4.8492249999999997</v>
      </c>
      <c r="I1640" s="8">
        <v>-3.9999999999998934E-3</v>
      </c>
      <c r="J1640" s="8">
        <v>2.8925619834710758E-2</v>
      </c>
      <c r="K1640" s="8">
        <v>9.2105263157894912E-2</v>
      </c>
      <c r="L1640" s="8">
        <v>-1.9685039370078709E-2</v>
      </c>
      <c r="M1640" s="18">
        <v>9.7345843622527073E-2</v>
      </c>
    </row>
    <row r="1641" spans="1:13" x14ac:dyDescent="0.45">
      <c r="A1641" t="s">
        <v>1001</v>
      </c>
      <c r="B1641" s="18">
        <v>4.335</v>
      </c>
      <c r="C1641" s="18">
        <v>4.55</v>
      </c>
      <c r="D1641" s="18">
        <v>4.7</v>
      </c>
      <c r="E1641" s="18">
        <v>3.97</v>
      </c>
      <c r="F1641" s="18">
        <v>5.95</v>
      </c>
      <c r="G1641" s="18">
        <v>4.2907599999999997</v>
      </c>
      <c r="H1641" s="18">
        <v>4.5802899999999998</v>
      </c>
      <c r="I1641" s="8">
        <v>-4.7252747252747203E-2</v>
      </c>
      <c r="J1641" s="8">
        <v>-7.7659574468085135E-2</v>
      </c>
      <c r="K1641" s="8">
        <v>9.1939546599496103E-2</v>
      </c>
      <c r="L1641" s="8">
        <v>-0.27142857142857152</v>
      </c>
      <c r="M1641" s="18">
        <v>-0.30440134654990769</v>
      </c>
    </row>
    <row r="1642" spans="1:13" x14ac:dyDescent="0.45">
      <c r="A1642" t="s">
        <v>1775</v>
      </c>
      <c r="B1642" s="18">
        <v>75.040000000000006</v>
      </c>
      <c r="C1642" s="18">
        <v>78.48</v>
      </c>
      <c r="D1642" s="18">
        <v>71.09</v>
      </c>
      <c r="E1642" s="18">
        <v>68.739999999999995</v>
      </c>
      <c r="F1642" s="18">
        <v>81.34</v>
      </c>
      <c r="G1642" s="18">
        <v>76.780200000000008</v>
      </c>
      <c r="H1642" s="18">
        <v>72.900099999999995</v>
      </c>
      <c r="I1642" s="8">
        <v>-4.3832823649337382E-2</v>
      </c>
      <c r="J1642" s="8">
        <v>5.5563370375580227E-2</v>
      </c>
      <c r="K1642" s="8">
        <v>9.1649694501018564E-2</v>
      </c>
      <c r="L1642" s="8">
        <v>-7.7452667814113529E-2</v>
      </c>
      <c r="M1642" s="18">
        <v>2.592757341314789E-2</v>
      </c>
    </row>
    <row r="1643" spans="1:13" x14ac:dyDescent="0.45">
      <c r="A1643" t="s">
        <v>2177</v>
      </c>
      <c r="B1643" s="18">
        <v>32.82</v>
      </c>
      <c r="C1643" s="18">
        <v>34.5</v>
      </c>
      <c r="D1643" s="18">
        <v>31.95</v>
      </c>
      <c r="E1643" s="18">
        <v>30.07</v>
      </c>
      <c r="F1643" s="18">
        <v>33.42</v>
      </c>
      <c r="G1643" s="18">
        <v>33.115200000000002</v>
      </c>
      <c r="H1643" s="18">
        <v>32.382150000000003</v>
      </c>
      <c r="I1643" s="8">
        <v>-4.8695652173913029E-2</v>
      </c>
      <c r="J1643" s="8">
        <v>2.7230046948356849E-2</v>
      </c>
      <c r="K1643" s="8">
        <v>9.1453275690056568E-2</v>
      </c>
      <c r="L1643" s="8">
        <v>-1.795332136445249E-2</v>
      </c>
      <c r="M1643" s="18">
        <v>5.2034349100047887E-2</v>
      </c>
    </row>
    <row r="1644" spans="1:13" x14ac:dyDescent="0.45">
      <c r="A1644" t="s">
        <v>745</v>
      </c>
      <c r="B1644" s="18">
        <v>12.18</v>
      </c>
      <c r="C1644" s="18">
        <v>12.44</v>
      </c>
      <c r="D1644" s="18">
        <v>12.55</v>
      </c>
      <c r="E1644" s="18">
        <v>11.16</v>
      </c>
      <c r="F1644" s="18">
        <v>12.99</v>
      </c>
      <c r="G1644" s="18">
        <v>12.3741</v>
      </c>
      <c r="H1644" s="18">
        <v>12.425075</v>
      </c>
      <c r="I1644" s="8">
        <v>-2.090032154340837E-2</v>
      </c>
      <c r="J1644" s="8">
        <v>-2.948207171314754E-2</v>
      </c>
      <c r="K1644" s="8">
        <v>9.139784946236551E-2</v>
      </c>
      <c r="L1644" s="8">
        <v>-6.2355658198614328E-2</v>
      </c>
      <c r="M1644" s="18">
        <v>-2.134020199280473E-2</v>
      </c>
    </row>
    <row r="1645" spans="1:13" x14ac:dyDescent="0.45">
      <c r="A1645" t="s">
        <v>2072</v>
      </c>
      <c r="B1645" s="18">
        <v>6.93</v>
      </c>
      <c r="C1645" s="18">
        <v>7.61</v>
      </c>
      <c r="D1645" s="18">
        <v>7.78</v>
      </c>
      <c r="E1645" s="18">
        <v>6.35</v>
      </c>
      <c r="F1645" s="18">
        <v>9.42</v>
      </c>
      <c r="G1645" s="18">
        <v>7.4340000000000011</v>
      </c>
      <c r="H1645" s="18">
        <v>8.0833500000000011</v>
      </c>
      <c r="I1645" s="8">
        <v>-8.9356110381077603E-2</v>
      </c>
      <c r="J1645" s="8">
        <v>-0.109254498714653</v>
      </c>
      <c r="K1645" s="8">
        <v>9.1338582677165325E-2</v>
      </c>
      <c r="L1645" s="8">
        <v>-0.26433121019108291</v>
      </c>
      <c r="M1645" s="18">
        <v>-0.37160323660964811</v>
      </c>
    </row>
    <row r="1646" spans="1:13" x14ac:dyDescent="0.45">
      <c r="A1646" t="s">
        <v>836</v>
      </c>
      <c r="B1646" s="18">
        <v>13.31</v>
      </c>
      <c r="C1646" s="18">
        <v>13.72</v>
      </c>
      <c r="D1646" s="18">
        <v>15.56</v>
      </c>
      <c r="E1646" s="18">
        <v>12.2</v>
      </c>
      <c r="F1646" s="18">
        <v>16.03</v>
      </c>
      <c r="G1646" s="18">
        <v>14.307</v>
      </c>
      <c r="H1646" s="18">
        <v>14.7295</v>
      </c>
      <c r="I1646" s="8">
        <v>-2.988338192419826E-2</v>
      </c>
      <c r="J1646" s="8">
        <v>-0.1446015424164524</v>
      </c>
      <c r="K1646" s="8">
        <v>9.098360655737725E-2</v>
      </c>
      <c r="L1646" s="8">
        <v>-0.16968184653774179</v>
      </c>
      <c r="M1646" s="18">
        <v>-0.25318316432101517</v>
      </c>
    </row>
    <row r="1647" spans="1:13" x14ac:dyDescent="0.45">
      <c r="A1647" t="s">
        <v>2504</v>
      </c>
      <c r="B1647" s="18">
        <v>41.04</v>
      </c>
      <c r="C1647" s="18">
        <v>38.28</v>
      </c>
      <c r="D1647" s="18">
        <v>37.54</v>
      </c>
      <c r="E1647" s="18">
        <v>37.619999999999997</v>
      </c>
      <c r="F1647" s="18">
        <v>38.25</v>
      </c>
      <c r="G1647" s="18">
        <v>38.630400000000002</v>
      </c>
      <c r="H1647" s="18">
        <v>37.936250000000001</v>
      </c>
      <c r="I1647" s="8">
        <v>7.2100313479623868E-2</v>
      </c>
      <c r="J1647" s="8">
        <v>9.3233883857218869E-2</v>
      </c>
      <c r="K1647" s="8">
        <v>9.090909090909105E-2</v>
      </c>
      <c r="L1647" s="8">
        <v>7.2941176470588287E-2</v>
      </c>
      <c r="M1647" s="18">
        <v>0.32918446471652207</v>
      </c>
    </row>
    <row r="1648" spans="1:13" x14ac:dyDescent="0.45">
      <c r="A1648" t="s">
        <v>559</v>
      </c>
      <c r="B1648" s="18">
        <v>22.23</v>
      </c>
      <c r="C1648" s="18">
        <v>22.03</v>
      </c>
      <c r="D1648" s="18">
        <v>21.19</v>
      </c>
      <c r="E1648" s="18">
        <v>20.38</v>
      </c>
      <c r="F1648" s="18">
        <v>25.58</v>
      </c>
      <c r="G1648" s="18">
        <v>21.786856</v>
      </c>
      <c r="H1648" s="18">
        <v>21.292137499999999</v>
      </c>
      <c r="I1648" s="8">
        <v>9.0785292782569194E-3</v>
      </c>
      <c r="J1648" s="8">
        <v>4.9079754601226933E-2</v>
      </c>
      <c r="K1648" s="8">
        <v>9.0775269872424014E-2</v>
      </c>
      <c r="L1648" s="8">
        <v>-0.1309616888193901</v>
      </c>
      <c r="M1648" s="18">
        <v>1.7971864932517789E-2</v>
      </c>
    </row>
    <row r="1649" spans="1:13" x14ac:dyDescent="0.45">
      <c r="A1649" t="s">
        <v>1923</v>
      </c>
      <c r="B1649" s="18">
        <v>6.74</v>
      </c>
      <c r="C1649" s="18">
        <v>6.5</v>
      </c>
      <c r="D1649" s="18">
        <v>6.49</v>
      </c>
      <c r="E1649" s="18">
        <v>6.18</v>
      </c>
      <c r="F1649" s="18">
        <v>8.0500000000000007</v>
      </c>
      <c r="G1649" s="18">
        <v>6.4751120000000002</v>
      </c>
      <c r="H1649" s="18">
        <v>6.4876384999999992</v>
      </c>
      <c r="I1649" s="8">
        <v>3.6923076923077058E-2</v>
      </c>
      <c r="J1649" s="8">
        <v>3.8520801232665658E-2</v>
      </c>
      <c r="K1649" s="8">
        <v>9.061488673139162E-2</v>
      </c>
      <c r="L1649" s="8">
        <v>-0.16273291925465841</v>
      </c>
      <c r="M1649" s="18">
        <v>3.325845632475954E-3</v>
      </c>
    </row>
    <row r="1650" spans="1:13" x14ac:dyDescent="0.45">
      <c r="A1650" t="s">
        <v>1430</v>
      </c>
      <c r="B1650" s="18">
        <v>17.71</v>
      </c>
      <c r="C1650" s="18">
        <v>19.32</v>
      </c>
      <c r="D1650" s="18">
        <v>18.739999999999998</v>
      </c>
      <c r="E1650" s="18">
        <v>16.239999999999998</v>
      </c>
      <c r="F1650" s="18">
        <v>20.04</v>
      </c>
      <c r="G1650" s="18">
        <v>19.131</v>
      </c>
      <c r="H1650" s="18">
        <v>19.0153</v>
      </c>
      <c r="I1650" s="8">
        <v>-8.3333333333333259E-2</v>
      </c>
      <c r="J1650" s="8">
        <v>-5.4962646744930448E-2</v>
      </c>
      <c r="K1650" s="8">
        <v>9.0517241379310498E-2</v>
      </c>
      <c r="L1650" s="8">
        <v>-0.1162674650698602</v>
      </c>
      <c r="M1650" s="18">
        <v>-0.1640462037688134</v>
      </c>
    </row>
    <row r="1651" spans="1:13" x14ac:dyDescent="0.45">
      <c r="A1651" t="s">
        <v>1701</v>
      </c>
      <c r="B1651" s="18">
        <v>10.119999999999999</v>
      </c>
      <c r="C1651" s="18">
        <v>9.8800000000000008</v>
      </c>
      <c r="D1651" s="18">
        <v>9.57</v>
      </c>
      <c r="E1651" s="18">
        <v>9.2799999999999994</v>
      </c>
      <c r="F1651" s="18">
        <v>10.7</v>
      </c>
      <c r="G1651" s="18">
        <v>9.7881999999999998</v>
      </c>
      <c r="H1651" s="18">
        <v>9.8200979999999998</v>
      </c>
      <c r="I1651" s="8">
        <v>2.4291497975708291E-2</v>
      </c>
      <c r="J1651" s="8">
        <v>5.7471264367815911E-2</v>
      </c>
      <c r="K1651" s="8">
        <v>9.0517241379310276E-2</v>
      </c>
      <c r="L1651" s="8">
        <v>-5.4205607476635498E-2</v>
      </c>
      <c r="M1651" s="18">
        <v>0.118074396246199</v>
      </c>
    </row>
    <row r="1652" spans="1:13" x14ac:dyDescent="0.45">
      <c r="A1652" t="s">
        <v>1696</v>
      </c>
      <c r="B1652" s="18">
        <v>11.33</v>
      </c>
      <c r="C1652" s="18">
        <v>11.1</v>
      </c>
      <c r="D1652" s="18">
        <v>10.71</v>
      </c>
      <c r="E1652" s="18">
        <v>10.39</v>
      </c>
      <c r="F1652" s="18">
        <v>12.46</v>
      </c>
      <c r="G1652" s="18">
        <v>11.03199</v>
      </c>
      <c r="H1652" s="18">
        <v>11.132021</v>
      </c>
      <c r="I1652" s="8">
        <v>2.0720720720720731E-2</v>
      </c>
      <c r="J1652" s="8">
        <v>5.7889822595704972E-2</v>
      </c>
      <c r="K1652" s="8">
        <v>9.0471607314725588E-2</v>
      </c>
      <c r="L1652" s="8">
        <v>-9.0690208667736805E-2</v>
      </c>
      <c r="M1652" s="18">
        <v>7.839194196341448E-2</v>
      </c>
    </row>
    <row r="1653" spans="1:13" x14ac:dyDescent="0.45">
      <c r="A1653" t="s">
        <v>220</v>
      </c>
      <c r="B1653" s="18">
        <v>164.75</v>
      </c>
      <c r="C1653" s="18">
        <v>174.68</v>
      </c>
      <c r="D1653" s="18">
        <v>190.52</v>
      </c>
      <c r="E1653" s="18">
        <v>151.13999999999999</v>
      </c>
      <c r="F1653" s="18">
        <v>188.91</v>
      </c>
      <c r="G1653" s="18">
        <v>174.4562</v>
      </c>
      <c r="H1653" s="18">
        <v>181.58505</v>
      </c>
      <c r="I1653" s="8">
        <v>-5.6846805587359772E-2</v>
      </c>
      <c r="J1653" s="8">
        <v>-0.13526138988032749</v>
      </c>
      <c r="K1653" s="8">
        <v>9.0048961228000657E-2</v>
      </c>
      <c r="L1653" s="8">
        <v>-0.12789158858715791</v>
      </c>
      <c r="M1653" s="18">
        <v>-0.22995082282684451</v>
      </c>
    </row>
    <row r="1654" spans="1:13" x14ac:dyDescent="0.45">
      <c r="A1654" t="s">
        <v>1744</v>
      </c>
      <c r="B1654" s="18">
        <v>10.199999999999999</v>
      </c>
      <c r="C1654" s="18">
        <v>9.69</v>
      </c>
      <c r="D1654" s="18">
        <v>9.4499999999999993</v>
      </c>
      <c r="E1654" s="18">
        <v>9.36</v>
      </c>
      <c r="F1654" s="18">
        <v>10.74</v>
      </c>
      <c r="G1654" s="18">
        <v>9.5936000000000003</v>
      </c>
      <c r="H1654" s="18">
        <v>9.7433525000000003</v>
      </c>
      <c r="I1654" s="8">
        <v>5.2631578947368363E-2</v>
      </c>
      <c r="J1654" s="8">
        <v>7.9365079365079305E-2</v>
      </c>
      <c r="K1654" s="8">
        <v>8.9743589743589647E-2</v>
      </c>
      <c r="L1654" s="8">
        <v>-5.0279329608938661E-2</v>
      </c>
      <c r="M1654" s="18">
        <v>0.17146091844709871</v>
      </c>
    </row>
    <row r="1655" spans="1:13" x14ac:dyDescent="0.45">
      <c r="A1655" t="s">
        <v>2260</v>
      </c>
      <c r="B1655" s="18">
        <v>124.86</v>
      </c>
      <c r="C1655" s="18">
        <v>130.13999999999999</v>
      </c>
      <c r="D1655" s="18">
        <v>125.96</v>
      </c>
      <c r="E1655" s="18">
        <v>114.62</v>
      </c>
      <c r="F1655" s="18">
        <v>129.77000000000001</v>
      </c>
      <c r="G1655" s="18">
        <v>127.134</v>
      </c>
      <c r="H1655" s="18">
        <v>126.00445000000001</v>
      </c>
      <c r="I1655" s="8">
        <v>-4.0571692023974038E-2</v>
      </c>
      <c r="J1655" s="8">
        <v>-8.7329310892346745E-3</v>
      </c>
      <c r="K1655" s="8">
        <v>8.9338684348281294E-2</v>
      </c>
      <c r="L1655" s="8">
        <v>-3.7836171688371827E-2</v>
      </c>
      <c r="M1655" s="18">
        <v>2.1978895467007491E-3</v>
      </c>
    </row>
    <row r="1656" spans="1:13" x14ac:dyDescent="0.45">
      <c r="A1656" t="s">
        <v>156</v>
      </c>
      <c r="B1656" s="18">
        <v>236.6</v>
      </c>
      <c r="C1656" s="18">
        <v>252.37</v>
      </c>
      <c r="D1656" s="18">
        <v>238.59</v>
      </c>
      <c r="E1656" s="18">
        <v>217.22</v>
      </c>
      <c r="F1656" s="18">
        <v>215.33</v>
      </c>
      <c r="G1656" s="18">
        <v>250.3794</v>
      </c>
      <c r="H1656" s="18">
        <v>240.0669</v>
      </c>
      <c r="I1656" s="8">
        <v>-6.2487617387169681E-2</v>
      </c>
      <c r="J1656" s="8">
        <v>-8.3406680917055276E-3</v>
      </c>
      <c r="K1656" s="8">
        <v>8.921830402357056E-2</v>
      </c>
      <c r="L1656" s="8">
        <v>9.8778618864068912E-2</v>
      </c>
      <c r="M1656" s="18">
        <v>0.11716863740876431</v>
      </c>
    </row>
    <row r="1657" spans="1:13" x14ac:dyDescent="0.45">
      <c r="A1657" t="s">
        <v>769</v>
      </c>
      <c r="B1657" s="18">
        <v>61.78</v>
      </c>
      <c r="C1657" s="18">
        <v>58.65</v>
      </c>
      <c r="D1657" s="18">
        <v>57.51</v>
      </c>
      <c r="E1657" s="18">
        <v>56.74</v>
      </c>
      <c r="F1657" s="18">
        <v>59.95</v>
      </c>
      <c r="G1657" s="18">
        <v>59.843999999999987</v>
      </c>
      <c r="H1657" s="18">
        <v>58.901299999999999</v>
      </c>
      <c r="I1657" s="8">
        <v>5.3367433930093799E-2</v>
      </c>
      <c r="J1657" s="8">
        <v>7.4247956877064869E-2</v>
      </c>
      <c r="K1657" s="8">
        <v>8.882622488544234E-2</v>
      </c>
      <c r="L1657" s="8">
        <v>3.0525437864887369E-2</v>
      </c>
      <c r="M1657" s="18">
        <v>0.24696705355748841</v>
      </c>
    </row>
    <row r="1658" spans="1:13" x14ac:dyDescent="0.45">
      <c r="A1658" t="s">
        <v>558</v>
      </c>
      <c r="B1658" s="18">
        <v>20.36</v>
      </c>
      <c r="C1658" s="18">
        <v>20.18</v>
      </c>
      <c r="D1658" s="18">
        <v>19.489999999999998</v>
      </c>
      <c r="E1658" s="18">
        <v>18.700099999999999</v>
      </c>
      <c r="F1658" s="18">
        <v>22.75</v>
      </c>
      <c r="G1658" s="18">
        <v>19.883019999999998</v>
      </c>
      <c r="H1658" s="18">
        <v>19.53706888</v>
      </c>
      <c r="I1658" s="8">
        <v>8.9197224975223754E-3</v>
      </c>
      <c r="J1658" s="8">
        <v>4.4638276038994507E-2</v>
      </c>
      <c r="K1658" s="8">
        <v>8.8764231207319799E-2</v>
      </c>
      <c r="L1658" s="8">
        <v>-0.1050549450549451</v>
      </c>
      <c r="M1658" s="18">
        <v>3.7267284688891622E-2</v>
      </c>
    </row>
    <row r="1659" spans="1:13" x14ac:dyDescent="0.45">
      <c r="A1659" t="s">
        <v>1077</v>
      </c>
      <c r="B1659" s="18">
        <v>10.45</v>
      </c>
      <c r="C1659" s="18">
        <v>10.6</v>
      </c>
      <c r="D1659" s="18">
        <v>10.57</v>
      </c>
      <c r="E1659" s="18">
        <v>9.6</v>
      </c>
      <c r="F1659" s="18">
        <v>11.07</v>
      </c>
      <c r="G1659" s="18">
        <v>10.5588</v>
      </c>
      <c r="H1659" s="18">
        <v>10.523999999999999</v>
      </c>
      <c r="I1659" s="8">
        <v>-1.4150943396226469E-2</v>
      </c>
      <c r="J1659" s="8">
        <v>-1.135288552507108E-2</v>
      </c>
      <c r="K1659" s="8">
        <v>8.8541666666666741E-2</v>
      </c>
      <c r="L1659" s="8">
        <v>-5.6007226738934102E-2</v>
      </c>
      <c r="M1659" s="18">
        <v>7.0306110064350946E-3</v>
      </c>
    </row>
    <row r="1660" spans="1:13" x14ac:dyDescent="0.45">
      <c r="A1660" t="s">
        <v>1163</v>
      </c>
      <c r="B1660" s="18">
        <v>31.66</v>
      </c>
      <c r="C1660" s="18">
        <v>31.55</v>
      </c>
      <c r="D1660" s="18">
        <v>32.049999999999997</v>
      </c>
      <c r="E1660" s="18">
        <v>29.09</v>
      </c>
      <c r="F1660" s="18">
        <v>29.7</v>
      </c>
      <c r="G1660" s="18">
        <v>31.5566</v>
      </c>
      <c r="H1660" s="18">
        <v>31.933949999999999</v>
      </c>
      <c r="I1660" s="8">
        <v>3.486529318541987E-3</v>
      </c>
      <c r="J1660" s="8">
        <v>-1.2168486739469461E-2</v>
      </c>
      <c r="K1660" s="8">
        <v>8.8346510828463343E-2</v>
      </c>
      <c r="L1660" s="8">
        <v>6.5993265993266048E-2</v>
      </c>
      <c r="M1660" s="18">
        <v>0.14565781940080191</v>
      </c>
    </row>
    <row r="1661" spans="1:13" x14ac:dyDescent="0.45">
      <c r="A1661" t="s">
        <v>423</v>
      </c>
      <c r="B1661" s="18">
        <v>71.260000000000005</v>
      </c>
      <c r="C1661" s="18">
        <v>72.39</v>
      </c>
      <c r="D1661" s="18">
        <v>69.260000000000005</v>
      </c>
      <c r="E1661" s="18">
        <v>65.48</v>
      </c>
      <c r="F1661" s="18">
        <v>70.849999999999994</v>
      </c>
      <c r="G1661" s="18">
        <v>71.789600000000007</v>
      </c>
      <c r="H1661" s="18">
        <v>71.9131</v>
      </c>
      <c r="I1661" s="8">
        <v>-1.5609890868904521E-2</v>
      </c>
      <c r="J1661" s="8">
        <v>2.887669650591973E-2</v>
      </c>
      <c r="K1661" s="8">
        <v>8.8271227855833745E-2</v>
      </c>
      <c r="L1661" s="8">
        <v>5.7868736767821014E-3</v>
      </c>
      <c r="M1661" s="18">
        <v>0.1073249071696311</v>
      </c>
    </row>
    <row r="1662" spans="1:13" x14ac:dyDescent="0.45">
      <c r="A1662" t="s">
        <v>1818</v>
      </c>
      <c r="B1662" s="18">
        <v>13.84</v>
      </c>
      <c r="C1662" s="18">
        <v>15.28</v>
      </c>
      <c r="D1662" s="18">
        <v>13.93</v>
      </c>
      <c r="E1662" s="18">
        <v>12.72</v>
      </c>
      <c r="F1662" s="18">
        <v>15.81</v>
      </c>
      <c r="G1662" s="18">
        <v>14.506399999999999</v>
      </c>
      <c r="H1662" s="18">
        <v>14.799149999999999</v>
      </c>
      <c r="I1662" s="8">
        <v>-9.4240837696335067E-2</v>
      </c>
      <c r="J1662" s="8">
        <v>-6.4608758076094563E-3</v>
      </c>
      <c r="K1662" s="8">
        <v>8.8050314465408785E-2</v>
      </c>
      <c r="L1662" s="8">
        <v>-0.1246046805819102</v>
      </c>
      <c r="M1662" s="18">
        <v>-0.13725607962044589</v>
      </c>
    </row>
    <row r="1663" spans="1:13" x14ac:dyDescent="0.45">
      <c r="A1663" t="s">
        <v>2258</v>
      </c>
      <c r="B1663" s="18">
        <v>18.79</v>
      </c>
      <c r="C1663" s="18">
        <v>20.61</v>
      </c>
      <c r="D1663" s="18">
        <v>20.97</v>
      </c>
      <c r="E1663" s="18">
        <v>17.28</v>
      </c>
      <c r="F1663" s="18">
        <v>19.97</v>
      </c>
      <c r="G1663" s="18">
        <v>19.940799999999999</v>
      </c>
      <c r="H1663" s="18">
        <v>19.70645</v>
      </c>
      <c r="I1663" s="8">
        <v>-8.830664725861237E-2</v>
      </c>
      <c r="J1663" s="8">
        <v>-0.10395803528850731</v>
      </c>
      <c r="K1663" s="8">
        <v>8.7384259259259078E-2</v>
      </c>
      <c r="L1663" s="8">
        <v>-5.9088632949424118E-2</v>
      </c>
      <c r="M1663" s="18">
        <v>-0.16396905623728469</v>
      </c>
    </row>
    <row r="1664" spans="1:13" x14ac:dyDescent="0.45">
      <c r="A1664" t="s">
        <v>736</v>
      </c>
      <c r="B1664" s="18">
        <v>10.08</v>
      </c>
      <c r="C1664" s="18">
        <v>9.94</v>
      </c>
      <c r="D1664" s="18">
        <v>9.58</v>
      </c>
      <c r="E1664" s="18">
        <v>9.27</v>
      </c>
      <c r="F1664" s="18">
        <v>10.59</v>
      </c>
      <c r="G1664" s="18">
        <v>9.8401600000000009</v>
      </c>
      <c r="H1664" s="18">
        <v>9.8110900000000001</v>
      </c>
      <c r="I1664" s="8">
        <v>1.4084507042253501E-2</v>
      </c>
      <c r="J1664" s="8">
        <v>5.2192066805845538E-2</v>
      </c>
      <c r="K1664" s="8">
        <v>8.737864077669899E-2</v>
      </c>
      <c r="L1664" s="8">
        <v>-4.8158640226628857E-2</v>
      </c>
      <c r="M1664" s="18">
        <v>0.1054965743981692</v>
      </c>
    </row>
    <row r="1665" spans="1:13" x14ac:dyDescent="0.45">
      <c r="A1665" t="s">
        <v>901</v>
      </c>
      <c r="B1665" s="18">
        <v>11.68</v>
      </c>
      <c r="C1665" s="18">
        <v>10.5</v>
      </c>
      <c r="D1665" s="18">
        <v>13.756</v>
      </c>
      <c r="E1665" s="18">
        <v>10.742000000000001</v>
      </c>
      <c r="F1665" s="18">
        <v>28.4</v>
      </c>
      <c r="G1665" s="18">
        <v>10.929600000000001</v>
      </c>
      <c r="H1665" s="18">
        <v>14.0846</v>
      </c>
      <c r="I1665" s="8">
        <v>0.11238095238095221</v>
      </c>
      <c r="J1665" s="8">
        <v>-0.1509159639430068</v>
      </c>
      <c r="K1665" s="8">
        <v>8.7320796872090822E-2</v>
      </c>
      <c r="L1665" s="8">
        <v>-0.58873239436619718</v>
      </c>
      <c r="M1665" s="18">
        <v>-0.53994660905616088</v>
      </c>
    </row>
    <row r="1666" spans="1:13" x14ac:dyDescent="0.45">
      <c r="A1666" t="s">
        <v>937</v>
      </c>
      <c r="B1666" s="18">
        <v>24.33</v>
      </c>
      <c r="C1666" s="18">
        <v>24.37</v>
      </c>
      <c r="D1666" s="18">
        <v>23.04</v>
      </c>
      <c r="E1666" s="18">
        <v>22.38</v>
      </c>
      <c r="F1666" s="18">
        <v>24.812999999999999</v>
      </c>
      <c r="G1666" s="18">
        <v>24.002348000000001</v>
      </c>
      <c r="H1666" s="18">
        <v>23.171310500000001</v>
      </c>
      <c r="I1666" s="8">
        <v>-1.641362330734641E-3</v>
      </c>
      <c r="J1666" s="8">
        <v>5.5989583333333259E-2</v>
      </c>
      <c r="K1666" s="8">
        <v>8.7131367292225148E-2</v>
      </c>
      <c r="L1666" s="8">
        <v>-1.9465602708257809E-2</v>
      </c>
      <c r="M1666" s="18">
        <v>0.122013985586566</v>
      </c>
    </row>
    <row r="1667" spans="1:13" x14ac:dyDescent="0.45">
      <c r="A1667" t="s">
        <v>1924</v>
      </c>
      <c r="B1667" s="18">
        <v>13.41</v>
      </c>
      <c r="C1667" s="18">
        <v>13.21</v>
      </c>
      <c r="D1667" s="18">
        <v>12.7</v>
      </c>
      <c r="E1667" s="18">
        <v>12.34</v>
      </c>
      <c r="F1667" s="18">
        <v>14.3</v>
      </c>
      <c r="G1667" s="18">
        <v>13.057600000000001</v>
      </c>
      <c r="H1667" s="18">
        <v>13.073600000000001</v>
      </c>
      <c r="I1667" s="8">
        <v>1.514004542013625E-2</v>
      </c>
      <c r="J1667" s="8">
        <v>5.5905511811023663E-2</v>
      </c>
      <c r="K1667" s="8">
        <v>8.6709886547811976E-2</v>
      </c>
      <c r="L1667" s="8">
        <v>-6.2237762237762229E-2</v>
      </c>
      <c r="M1667" s="18">
        <v>9.5517681541209654E-2</v>
      </c>
    </row>
    <row r="1668" spans="1:13" x14ac:dyDescent="0.45">
      <c r="A1668" t="s">
        <v>248</v>
      </c>
      <c r="B1668" s="18">
        <v>108.68</v>
      </c>
      <c r="C1668" s="18">
        <v>94.73</v>
      </c>
      <c r="D1668" s="18">
        <v>105.2</v>
      </c>
      <c r="E1668" s="18">
        <v>100.01</v>
      </c>
      <c r="F1668" s="18">
        <v>85.63</v>
      </c>
      <c r="G1668" s="18">
        <v>99.509200000000007</v>
      </c>
      <c r="H1668" s="18">
        <v>105.039675</v>
      </c>
      <c r="I1668" s="8">
        <v>0.14726063549034099</v>
      </c>
      <c r="J1668" s="8">
        <v>3.3079847908745297E-2</v>
      </c>
      <c r="K1668" s="8">
        <v>8.6691330866913274E-2</v>
      </c>
      <c r="L1668" s="8">
        <v>0.26918136167231133</v>
      </c>
      <c r="M1668" s="18">
        <v>0.53621317593831086</v>
      </c>
    </row>
    <row r="1669" spans="1:13" x14ac:dyDescent="0.45">
      <c r="A1669" t="s">
        <v>2028</v>
      </c>
      <c r="B1669" s="18">
        <v>13.56</v>
      </c>
      <c r="C1669" s="18">
        <v>13.57</v>
      </c>
      <c r="D1669" s="18">
        <v>13.33</v>
      </c>
      <c r="E1669" s="18">
        <v>12.48</v>
      </c>
      <c r="F1669" s="18">
        <v>13.65</v>
      </c>
      <c r="G1669" s="18">
        <v>13.3644</v>
      </c>
      <c r="H1669" s="18">
        <v>13.1912</v>
      </c>
      <c r="I1669" s="8">
        <v>-7.3691967575528761E-4</v>
      </c>
      <c r="J1669" s="8">
        <v>1.725431357839469E-2</v>
      </c>
      <c r="K1669" s="8">
        <v>8.6538461538461453E-2</v>
      </c>
      <c r="L1669" s="8">
        <v>-6.59340659340657E-3</v>
      </c>
      <c r="M1669" s="18">
        <v>9.6462448847694282E-2</v>
      </c>
    </row>
    <row r="1670" spans="1:13" x14ac:dyDescent="0.45">
      <c r="A1670" t="s">
        <v>1479</v>
      </c>
      <c r="B1670" s="18">
        <v>9.92</v>
      </c>
      <c r="C1670" s="18">
        <v>9.74</v>
      </c>
      <c r="D1670" s="18">
        <v>9.41</v>
      </c>
      <c r="E1670" s="18">
        <v>9.1300000000000008</v>
      </c>
      <c r="F1670" s="18">
        <v>10.41</v>
      </c>
      <c r="G1670" s="18">
        <v>9.6193999999999988</v>
      </c>
      <c r="H1670" s="18">
        <v>9.5930750000000007</v>
      </c>
      <c r="I1670" s="8">
        <v>1.848049281314168E-2</v>
      </c>
      <c r="J1670" s="8">
        <v>5.4197662061636447E-2</v>
      </c>
      <c r="K1670" s="8">
        <v>8.6527929901423883E-2</v>
      </c>
      <c r="L1670" s="8">
        <v>-4.7070124879923132E-2</v>
      </c>
      <c r="M1670" s="18">
        <v>0.11213595989627891</v>
      </c>
    </row>
    <row r="1671" spans="1:13" x14ac:dyDescent="0.45">
      <c r="A1671" t="s">
        <v>338</v>
      </c>
      <c r="B1671" s="18">
        <v>554.58000000000004</v>
      </c>
      <c r="C1671" s="18">
        <v>558.08000000000004</v>
      </c>
      <c r="D1671" s="18">
        <v>617.38</v>
      </c>
      <c r="E1671" s="18">
        <v>510.52</v>
      </c>
      <c r="F1671" s="18">
        <v>594.04999999999995</v>
      </c>
      <c r="G1671" s="18">
        <v>565.88419999999996</v>
      </c>
      <c r="H1671" s="18">
        <v>583.1884</v>
      </c>
      <c r="I1671" s="8">
        <v>-6.2715022935779796E-3</v>
      </c>
      <c r="J1671" s="8">
        <v>-0.1017201723411837</v>
      </c>
      <c r="K1671" s="8">
        <v>8.6304160463840818E-2</v>
      </c>
      <c r="L1671" s="8">
        <v>-6.6442218668462116E-2</v>
      </c>
      <c r="M1671" s="18">
        <v>-8.8129732839382968E-2</v>
      </c>
    </row>
    <row r="1672" spans="1:13" x14ac:dyDescent="0.45">
      <c r="A1672" t="s">
        <v>627</v>
      </c>
      <c r="B1672" s="18">
        <v>11.58</v>
      </c>
      <c r="C1672" s="18">
        <v>12.62</v>
      </c>
      <c r="D1672" s="18">
        <v>12.53</v>
      </c>
      <c r="E1672" s="18">
        <v>10.66</v>
      </c>
      <c r="F1672" s="18">
        <v>15.2</v>
      </c>
      <c r="G1672" s="18">
        <v>12.3026</v>
      </c>
      <c r="H1672" s="18">
        <v>12.95045</v>
      </c>
      <c r="I1672" s="8">
        <v>-8.2408874801901733E-2</v>
      </c>
      <c r="J1672" s="8">
        <v>-7.5818036711891357E-2</v>
      </c>
      <c r="K1672" s="8">
        <v>8.6303939962476539E-2</v>
      </c>
      <c r="L1672" s="8">
        <v>-0.23815789473684201</v>
      </c>
      <c r="M1672" s="18">
        <v>-0.31008086628815862</v>
      </c>
    </row>
    <row r="1673" spans="1:13" x14ac:dyDescent="0.45">
      <c r="A1673" t="s">
        <v>240</v>
      </c>
      <c r="B1673" s="18">
        <v>803.62</v>
      </c>
      <c r="C1673" s="18">
        <v>779.54</v>
      </c>
      <c r="D1673" s="18">
        <v>758.89</v>
      </c>
      <c r="E1673" s="18">
        <v>740.07</v>
      </c>
      <c r="F1673" s="18">
        <v>876.88</v>
      </c>
      <c r="G1673" s="18">
        <v>781.97019999999986</v>
      </c>
      <c r="H1673" s="18">
        <v>843.80697499999997</v>
      </c>
      <c r="I1673" s="8">
        <v>3.0890012058393479E-2</v>
      </c>
      <c r="J1673" s="8">
        <v>5.8941348548537942E-2</v>
      </c>
      <c r="K1673" s="8">
        <v>8.5870255516369953E-2</v>
      </c>
      <c r="L1673" s="8">
        <v>-8.3546209287473805E-2</v>
      </c>
      <c r="M1673" s="18">
        <v>9.2155406835827569E-2</v>
      </c>
    </row>
    <row r="1674" spans="1:13" x14ac:dyDescent="0.45">
      <c r="A1674" t="s">
        <v>1785</v>
      </c>
      <c r="B1674" s="18">
        <v>29.34</v>
      </c>
      <c r="C1674" s="18">
        <v>29.17</v>
      </c>
      <c r="D1674" s="18">
        <v>33.19</v>
      </c>
      <c r="E1674" s="18">
        <v>27.02</v>
      </c>
      <c r="F1674" s="18">
        <v>30.08</v>
      </c>
      <c r="G1674" s="18">
        <v>30.450800000000001</v>
      </c>
      <c r="H1674" s="18">
        <v>31.06175</v>
      </c>
      <c r="I1674" s="8">
        <v>5.8279053822418714E-3</v>
      </c>
      <c r="J1674" s="8">
        <v>-0.11599879481771611</v>
      </c>
      <c r="K1674" s="8">
        <v>8.5862324204293072E-2</v>
      </c>
      <c r="L1674" s="8">
        <v>-2.4601063829787221E-2</v>
      </c>
      <c r="M1674" s="18">
        <v>-4.8909629060968407E-2</v>
      </c>
    </row>
    <row r="1675" spans="1:13" x14ac:dyDescent="0.45">
      <c r="A1675" t="s">
        <v>1865</v>
      </c>
      <c r="B1675" s="18">
        <v>45.85</v>
      </c>
      <c r="C1675" s="18">
        <v>43.79</v>
      </c>
      <c r="D1675" s="18">
        <v>44.52</v>
      </c>
      <c r="E1675" s="18">
        <v>42.23</v>
      </c>
      <c r="F1675" s="18">
        <v>40.619999999999997</v>
      </c>
      <c r="G1675" s="18">
        <v>45.009400000000007</v>
      </c>
      <c r="H1675" s="18">
        <v>44.159500000000008</v>
      </c>
      <c r="I1675" s="8">
        <v>4.704270381365605E-2</v>
      </c>
      <c r="J1675" s="8">
        <v>2.987421383647804E-2</v>
      </c>
      <c r="K1675" s="8">
        <v>8.5721051385271307E-2</v>
      </c>
      <c r="L1675" s="8">
        <v>0.1287543082225506</v>
      </c>
      <c r="M1675" s="18">
        <v>0.29139227725795602</v>
      </c>
    </row>
    <row r="1676" spans="1:13" x14ac:dyDescent="0.45">
      <c r="A1676" t="s">
        <v>1944</v>
      </c>
      <c r="B1676" s="18">
        <v>8.6199999999999992</v>
      </c>
      <c r="C1676" s="18">
        <v>8.56</v>
      </c>
      <c r="D1676" s="18">
        <v>8.39</v>
      </c>
      <c r="E1676" s="18">
        <v>7.94</v>
      </c>
      <c r="F1676" s="18">
        <v>8.7200000000000006</v>
      </c>
      <c r="G1676" s="18">
        <v>8.5005000000000006</v>
      </c>
      <c r="H1676" s="18">
        <v>8.3957420000000003</v>
      </c>
      <c r="I1676" s="8">
        <v>7.0093457943922743E-3</v>
      </c>
      <c r="J1676" s="8">
        <v>2.741358760429069E-2</v>
      </c>
      <c r="K1676" s="8">
        <v>8.564231738035244E-2</v>
      </c>
      <c r="L1676" s="8">
        <v>-1.146788990825709E-2</v>
      </c>
      <c r="M1676" s="18">
        <v>0.1085973608707783</v>
      </c>
    </row>
    <row r="1677" spans="1:13" x14ac:dyDescent="0.45">
      <c r="A1677" t="s">
        <v>784</v>
      </c>
      <c r="B1677" s="18">
        <v>37.97</v>
      </c>
      <c r="C1677" s="18">
        <v>37.229999999999997</v>
      </c>
      <c r="D1677" s="18">
        <v>36.78</v>
      </c>
      <c r="E1677" s="18">
        <v>34.99</v>
      </c>
      <c r="F1677" s="18">
        <v>41.57</v>
      </c>
      <c r="G1677" s="18">
        <v>36.542099999999998</v>
      </c>
      <c r="H1677" s="18">
        <v>37.408650000000002</v>
      </c>
      <c r="I1677" s="8">
        <v>1.9876443728176211E-2</v>
      </c>
      <c r="J1677" s="8">
        <v>3.2354540511147389E-2</v>
      </c>
      <c r="K1677" s="8">
        <v>8.5167190625893063E-2</v>
      </c>
      <c r="L1677" s="8">
        <v>-8.6600914120760208E-2</v>
      </c>
      <c r="M1677" s="18">
        <v>5.0797260744456452E-2</v>
      </c>
    </row>
    <row r="1678" spans="1:13" x14ac:dyDescent="0.45">
      <c r="A1678" t="s">
        <v>498</v>
      </c>
      <c r="B1678" s="18">
        <v>11.98</v>
      </c>
      <c r="C1678" s="18">
        <v>11.62</v>
      </c>
      <c r="D1678" s="18">
        <v>11.19</v>
      </c>
      <c r="E1678" s="18">
        <v>11.04</v>
      </c>
      <c r="F1678" s="18">
        <v>10.3</v>
      </c>
      <c r="G1678" s="18">
        <v>11.662599999999999</v>
      </c>
      <c r="H1678" s="18">
        <v>10.807175000000001</v>
      </c>
      <c r="I1678" s="8">
        <v>3.098106712564563E-2</v>
      </c>
      <c r="J1678" s="8">
        <v>7.0598748882931384E-2</v>
      </c>
      <c r="K1678" s="8">
        <v>8.5144927536231929E-2</v>
      </c>
      <c r="L1678" s="8">
        <v>0.16310679611650489</v>
      </c>
      <c r="M1678" s="18">
        <v>0.34983153966131392</v>
      </c>
    </row>
    <row r="1679" spans="1:13" x14ac:dyDescent="0.45">
      <c r="A1679" t="s">
        <v>1747</v>
      </c>
      <c r="B1679" s="18">
        <v>11.74</v>
      </c>
      <c r="C1679" s="18">
        <v>11.59</v>
      </c>
      <c r="D1679" s="18">
        <v>11.38</v>
      </c>
      <c r="E1679" s="18">
        <v>10.82</v>
      </c>
      <c r="F1679" s="18">
        <v>12.29</v>
      </c>
      <c r="G1679" s="18">
        <v>11.465400000000001</v>
      </c>
      <c r="H1679" s="18">
        <v>11.45125</v>
      </c>
      <c r="I1679" s="8">
        <v>1.2942191544434991E-2</v>
      </c>
      <c r="J1679" s="8">
        <v>3.1634446397188043E-2</v>
      </c>
      <c r="K1679" s="8">
        <v>8.5027726432532313E-2</v>
      </c>
      <c r="L1679" s="8">
        <v>-4.475183075671274E-2</v>
      </c>
      <c r="M1679" s="18">
        <v>8.4852533617442605E-2</v>
      </c>
    </row>
    <row r="1680" spans="1:13" x14ac:dyDescent="0.45">
      <c r="A1680" t="s">
        <v>1527</v>
      </c>
      <c r="B1680" s="18">
        <v>30.11</v>
      </c>
      <c r="C1680" s="18">
        <v>33.119999999999997</v>
      </c>
      <c r="D1680" s="18">
        <v>41.58</v>
      </c>
      <c r="E1680" s="18">
        <v>27.77</v>
      </c>
      <c r="F1680" s="18">
        <v>23.63</v>
      </c>
      <c r="G1680" s="18">
        <v>31.457599999999999</v>
      </c>
      <c r="H1680" s="18">
        <v>35.739100000000001</v>
      </c>
      <c r="I1680" s="8">
        <v>-9.0881642512077199E-2</v>
      </c>
      <c r="J1680" s="8">
        <v>-0.2758537758537758</v>
      </c>
      <c r="K1680" s="8">
        <v>8.4263593806265691E-2</v>
      </c>
      <c r="L1680" s="8">
        <v>0.27422767668218362</v>
      </c>
      <c r="M1680" s="18">
        <v>-8.2441478774036847E-3</v>
      </c>
    </row>
    <row r="1681" spans="1:13" x14ac:dyDescent="0.45">
      <c r="A1681" t="s">
        <v>245</v>
      </c>
      <c r="B1681" s="18">
        <v>360</v>
      </c>
      <c r="C1681" s="18">
        <v>340.61</v>
      </c>
      <c r="D1681" s="18">
        <v>340.45</v>
      </c>
      <c r="E1681" s="18">
        <v>332.04</v>
      </c>
      <c r="F1681" s="18">
        <v>407.04</v>
      </c>
      <c r="G1681" s="18">
        <v>340.8492</v>
      </c>
      <c r="H1681" s="18">
        <v>346.10329999999999</v>
      </c>
      <c r="I1681" s="8">
        <v>5.6927277531487519E-2</v>
      </c>
      <c r="J1681" s="8">
        <v>5.7423997650168923E-2</v>
      </c>
      <c r="K1681" s="8">
        <v>8.4206722081676899E-2</v>
      </c>
      <c r="L1681" s="8">
        <v>-0.1155660377358491</v>
      </c>
      <c r="M1681" s="18">
        <v>8.2991959527484283E-2</v>
      </c>
    </row>
    <row r="1682" spans="1:13" x14ac:dyDescent="0.45">
      <c r="A1682" t="s">
        <v>538</v>
      </c>
      <c r="B1682" s="18">
        <v>5.8</v>
      </c>
      <c r="C1682" s="18">
        <v>5.9</v>
      </c>
      <c r="D1682" s="18">
        <v>5.97</v>
      </c>
      <c r="E1682" s="18">
        <v>5.35</v>
      </c>
      <c r="F1682" s="18">
        <v>6.53</v>
      </c>
      <c r="G1682" s="18">
        <v>5.8980000000000006</v>
      </c>
      <c r="H1682" s="18">
        <v>5.8920500000000002</v>
      </c>
      <c r="I1682" s="8">
        <v>-1.6949152542372951E-2</v>
      </c>
      <c r="J1682" s="8">
        <v>-2.8475711892797299E-2</v>
      </c>
      <c r="K1682" s="8">
        <v>8.4112149532710401E-2</v>
      </c>
      <c r="L1682" s="8">
        <v>-0.11179173047473211</v>
      </c>
      <c r="M1682" s="18">
        <v>-7.3104445377191962E-2</v>
      </c>
    </row>
    <row r="1683" spans="1:13" x14ac:dyDescent="0.45">
      <c r="A1683" t="s">
        <v>1292</v>
      </c>
      <c r="B1683" s="18">
        <v>8.5535999999999994</v>
      </c>
      <c r="C1683" s="18">
        <v>8.61</v>
      </c>
      <c r="D1683" s="18">
        <v>8.31</v>
      </c>
      <c r="E1683" s="18">
        <v>7.89</v>
      </c>
      <c r="F1683" s="18">
        <v>8.1385000000000005</v>
      </c>
      <c r="G1683" s="18">
        <v>8.4637260000000012</v>
      </c>
      <c r="H1683" s="18">
        <v>8.2827856250000007</v>
      </c>
      <c r="I1683" s="8">
        <v>-6.5505226480836454E-3</v>
      </c>
      <c r="J1683" s="8">
        <v>2.9314079422382511E-2</v>
      </c>
      <c r="K1683" s="8">
        <v>8.4106463878326876E-2</v>
      </c>
      <c r="L1683" s="8">
        <v>5.1004484855931453E-2</v>
      </c>
      <c r="M1683" s="18">
        <v>0.15787450550855719</v>
      </c>
    </row>
    <row r="1684" spans="1:13" x14ac:dyDescent="0.45">
      <c r="A1684" t="s">
        <v>1379</v>
      </c>
      <c r="B1684" s="18">
        <v>34.58</v>
      </c>
      <c r="C1684" s="18">
        <v>35</v>
      </c>
      <c r="D1684" s="18">
        <v>38.340000000000003</v>
      </c>
      <c r="E1684" s="18">
        <v>31.905000000000001</v>
      </c>
      <c r="F1684" s="18">
        <v>30.504999999999999</v>
      </c>
      <c r="G1684" s="18">
        <v>35.9739</v>
      </c>
      <c r="H1684" s="18">
        <v>34.503475000000002</v>
      </c>
      <c r="I1684" s="8">
        <v>-1.2000000000000011E-2</v>
      </c>
      <c r="J1684" s="8">
        <v>-9.8069900886802452E-2</v>
      </c>
      <c r="K1684" s="8">
        <v>8.3842657890612626E-2</v>
      </c>
      <c r="L1684" s="8">
        <v>0.13358465825274529</v>
      </c>
      <c r="M1684" s="18">
        <v>0.1073574152565555</v>
      </c>
    </row>
    <row r="1685" spans="1:13" x14ac:dyDescent="0.45">
      <c r="A1685" t="s">
        <v>1730</v>
      </c>
      <c r="B1685" s="18">
        <v>11.64</v>
      </c>
      <c r="C1685" s="18">
        <v>11.23</v>
      </c>
      <c r="D1685" s="18">
        <v>10.92</v>
      </c>
      <c r="E1685" s="18">
        <v>10.74</v>
      </c>
      <c r="F1685" s="18">
        <v>12.14</v>
      </c>
      <c r="G1685" s="18">
        <v>11.2049</v>
      </c>
      <c r="H1685" s="18">
        <v>11.1366</v>
      </c>
      <c r="I1685" s="8">
        <v>3.65093499554765E-2</v>
      </c>
      <c r="J1685" s="8">
        <v>6.5934065934065922E-2</v>
      </c>
      <c r="K1685" s="8">
        <v>8.3798882681564324E-2</v>
      </c>
      <c r="L1685" s="8">
        <v>-4.1186161449752838E-2</v>
      </c>
      <c r="M1685" s="18">
        <v>0.1450561371213539</v>
      </c>
    </row>
    <row r="1686" spans="1:13" x14ac:dyDescent="0.45">
      <c r="A1686" t="s">
        <v>142</v>
      </c>
      <c r="B1686" s="18">
        <v>48.7</v>
      </c>
      <c r="C1686" s="18">
        <v>50.41</v>
      </c>
      <c r="D1686" s="18">
        <v>58.4</v>
      </c>
      <c r="E1686" s="18">
        <v>44.94</v>
      </c>
      <c r="F1686" s="18">
        <v>66.02</v>
      </c>
      <c r="G1686" s="18">
        <v>51.754399999999997</v>
      </c>
      <c r="H1686" s="18">
        <v>52.950899999999997</v>
      </c>
      <c r="I1686" s="8">
        <v>-3.3921840904582279E-2</v>
      </c>
      <c r="J1686" s="8">
        <v>-0.16609589041095879</v>
      </c>
      <c r="K1686" s="8">
        <v>8.3667111704494923E-2</v>
      </c>
      <c r="L1686" s="8">
        <v>-0.2623447440169645</v>
      </c>
      <c r="M1686" s="18">
        <v>-0.37869536362801071</v>
      </c>
    </row>
    <row r="1687" spans="1:13" x14ac:dyDescent="0.45">
      <c r="A1687" t="s">
        <v>2397</v>
      </c>
      <c r="B1687" s="18">
        <v>24.52</v>
      </c>
      <c r="C1687" s="18">
        <v>26.02</v>
      </c>
      <c r="D1687" s="18">
        <v>26.75</v>
      </c>
      <c r="E1687" s="18">
        <v>22.63</v>
      </c>
      <c r="F1687" s="18">
        <v>26.26</v>
      </c>
      <c r="G1687" s="18">
        <v>25.8766</v>
      </c>
      <c r="H1687" s="18">
        <v>25.316949999999999</v>
      </c>
      <c r="I1687" s="8">
        <v>-5.7647963105303623E-2</v>
      </c>
      <c r="J1687" s="8">
        <v>-8.3364485981308412E-2</v>
      </c>
      <c r="K1687" s="8">
        <v>8.3517454706142358E-2</v>
      </c>
      <c r="L1687" s="8">
        <v>-6.6260472201066345E-2</v>
      </c>
      <c r="M1687" s="18">
        <v>-0.12375546658153599</v>
      </c>
    </row>
    <row r="1688" spans="1:13" x14ac:dyDescent="0.45">
      <c r="A1688" t="s">
        <v>1076</v>
      </c>
      <c r="B1688" s="18">
        <v>5.97</v>
      </c>
      <c r="C1688" s="18">
        <v>5.84</v>
      </c>
      <c r="D1688" s="18">
        <v>5.64</v>
      </c>
      <c r="E1688" s="18">
        <v>5.51</v>
      </c>
      <c r="F1688" s="18">
        <v>6.22</v>
      </c>
      <c r="G1688" s="18">
        <v>5.7549999999999999</v>
      </c>
      <c r="H1688" s="18">
        <v>5.7311349999999992</v>
      </c>
      <c r="I1688" s="8">
        <v>2.226027397260277E-2</v>
      </c>
      <c r="J1688" s="8">
        <v>5.8510638297872397E-2</v>
      </c>
      <c r="K1688" s="8">
        <v>8.3484573502722315E-2</v>
      </c>
      <c r="L1688" s="8">
        <v>-4.019292604501612E-2</v>
      </c>
      <c r="M1688" s="18">
        <v>0.12406255972818141</v>
      </c>
    </row>
    <row r="1689" spans="1:13" x14ac:dyDescent="0.45">
      <c r="A1689" t="s">
        <v>2376</v>
      </c>
      <c r="B1689" s="18">
        <v>4.68</v>
      </c>
      <c r="C1689" s="18">
        <v>4.4400000000000004</v>
      </c>
      <c r="D1689" s="18">
        <v>4.91</v>
      </c>
      <c r="E1689" s="18">
        <v>4.32</v>
      </c>
      <c r="F1689" s="18">
        <v>6.74</v>
      </c>
      <c r="G1689" s="18">
        <v>4.5388000000000002</v>
      </c>
      <c r="H1689" s="18">
        <v>5.0500999999999996</v>
      </c>
      <c r="I1689" s="8">
        <v>5.4054054054053953E-2</v>
      </c>
      <c r="J1689" s="8">
        <v>-4.6843177189409453E-2</v>
      </c>
      <c r="K1689" s="8">
        <v>8.3333333333333259E-2</v>
      </c>
      <c r="L1689" s="8">
        <v>-0.30563798219584581</v>
      </c>
      <c r="M1689" s="18">
        <v>-0.21509377199786811</v>
      </c>
    </row>
    <row r="1690" spans="1:13" x14ac:dyDescent="0.45">
      <c r="A1690" t="s">
        <v>104</v>
      </c>
      <c r="B1690" s="18">
        <v>134.27000000000001</v>
      </c>
      <c r="C1690" s="18">
        <v>131.94999999999999</v>
      </c>
      <c r="D1690" s="18">
        <v>133.6</v>
      </c>
      <c r="E1690" s="18">
        <v>123.95</v>
      </c>
      <c r="F1690" s="18">
        <v>112.64</v>
      </c>
      <c r="G1690" s="18">
        <v>132.21539999999999</v>
      </c>
      <c r="H1690" s="18">
        <v>129.63554999999999</v>
      </c>
      <c r="I1690" s="8">
        <v>1.7582417582417739E-2</v>
      </c>
      <c r="J1690" s="8">
        <v>5.0149700598802749E-3</v>
      </c>
      <c r="K1690" s="8">
        <v>8.3259378781766813E-2</v>
      </c>
      <c r="L1690" s="8">
        <v>0.19202769886363649</v>
      </c>
      <c r="M1690" s="18">
        <v>0.29788446528770129</v>
      </c>
    </row>
    <row r="1691" spans="1:13" x14ac:dyDescent="0.45">
      <c r="A1691" t="s">
        <v>800</v>
      </c>
      <c r="B1691" s="18">
        <v>64.98</v>
      </c>
      <c r="C1691" s="18">
        <v>68.12</v>
      </c>
      <c r="D1691" s="18">
        <v>70.069999999999993</v>
      </c>
      <c r="E1691" s="18">
        <v>60.02</v>
      </c>
      <c r="F1691" s="18">
        <v>63.6</v>
      </c>
      <c r="G1691" s="18">
        <v>65.947800000000001</v>
      </c>
      <c r="H1691" s="18">
        <v>68.017599999999987</v>
      </c>
      <c r="I1691" s="8">
        <v>-4.6095126247797991E-2</v>
      </c>
      <c r="J1691" s="8">
        <v>-7.2641644070215339E-2</v>
      </c>
      <c r="K1691" s="8">
        <v>8.2639120293235502E-2</v>
      </c>
      <c r="L1691" s="8">
        <v>2.1698113207547109E-2</v>
      </c>
      <c r="M1691" s="18">
        <v>-1.439953681723072E-2</v>
      </c>
    </row>
    <row r="1692" spans="1:13" x14ac:dyDescent="0.45">
      <c r="A1692" t="s">
        <v>529</v>
      </c>
      <c r="B1692" s="18">
        <v>45.73</v>
      </c>
      <c r="C1692" s="18">
        <v>45.89</v>
      </c>
      <c r="D1692" s="18">
        <v>49.08</v>
      </c>
      <c r="E1692" s="18">
        <v>42.24</v>
      </c>
      <c r="F1692" s="18">
        <v>51.3</v>
      </c>
      <c r="G1692" s="18">
        <v>47.027200000000001</v>
      </c>
      <c r="H1692" s="18">
        <v>49.013899999999992</v>
      </c>
      <c r="I1692" s="8">
        <v>-3.486598387448359E-3</v>
      </c>
      <c r="J1692" s="8">
        <v>-6.8255908720456393E-2</v>
      </c>
      <c r="K1692" s="8">
        <v>8.2623106060605966E-2</v>
      </c>
      <c r="L1692" s="8">
        <v>-0.1085769980506823</v>
      </c>
      <c r="M1692" s="18">
        <v>-9.7696399097981113E-2</v>
      </c>
    </row>
    <row r="1693" spans="1:13" x14ac:dyDescent="0.45">
      <c r="A1693" t="s">
        <v>1976</v>
      </c>
      <c r="B1693" s="18">
        <v>10.32</v>
      </c>
      <c r="C1693" s="18">
        <v>10.16</v>
      </c>
      <c r="D1693" s="18">
        <v>9.9</v>
      </c>
      <c r="E1693" s="18">
        <v>9.5399999999999991</v>
      </c>
      <c r="F1693" s="18">
        <v>10.74</v>
      </c>
      <c r="G1693" s="18">
        <v>10.056286</v>
      </c>
      <c r="H1693" s="18">
        <v>10.080911499999999</v>
      </c>
      <c r="I1693" s="8">
        <v>1.5748031496062961E-2</v>
      </c>
      <c r="J1693" s="8">
        <v>4.2424242424242482E-2</v>
      </c>
      <c r="K1693" s="8">
        <v>8.176100628930838E-2</v>
      </c>
      <c r="L1693" s="8">
        <v>-3.9106145251396662E-2</v>
      </c>
      <c r="M1693" s="18">
        <v>0.1008271349582172</v>
      </c>
    </row>
    <row r="1694" spans="1:13" x14ac:dyDescent="0.45">
      <c r="A1694" t="s">
        <v>1908</v>
      </c>
      <c r="B1694" s="18">
        <v>12.81</v>
      </c>
      <c r="C1694" s="18">
        <v>12.74</v>
      </c>
      <c r="D1694" s="18">
        <v>13.01</v>
      </c>
      <c r="E1694" s="18">
        <v>11.842000000000001</v>
      </c>
      <c r="F1694" s="18">
        <v>12.79</v>
      </c>
      <c r="G1694" s="18">
        <v>12.768844</v>
      </c>
      <c r="H1694" s="18">
        <v>12.5763535</v>
      </c>
      <c r="I1694" s="8">
        <v>5.494505494505475E-3</v>
      </c>
      <c r="J1694" s="8">
        <v>-1.537279016141424E-2</v>
      </c>
      <c r="K1694" s="8">
        <v>8.1742948826211803E-2</v>
      </c>
      <c r="L1694" s="8">
        <v>1.5637216575450359E-3</v>
      </c>
      <c r="M1694" s="18">
        <v>7.3428385816848074E-2</v>
      </c>
    </row>
    <row r="1695" spans="1:13" x14ac:dyDescent="0.45">
      <c r="A1695" t="s">
        <v>412</v>
      </c>
      <c r="B1695" s="18">
        <v>102.89</v>
      </c>
      <c r="C1695" s="18">
        <v>105.54</v>
      </c>
      <c r="D1695" s="18">
        <v>107.15</v>
      </c>
      <c r="E1695" s="18">
        <v>95.12</v>
      </c>
      <c r="F1695" s="18">
        <v>122.99</v>
      </c>
      <c r="G1695" s="18">
        <v>105.0386</v>
      </c>
      <c r="H1695" s="18">
        <v>107.82550000000001</v>
      </c>
      <c r="I1695" s="8">
        <v>-2.5108963426189179E-2</v>
      </c>
      <c r="J1695" s="8">
        <v>-3.9757349510032743E-2</v>
      </c>
      <c r="K1695" s="8">
        <v>8.1686291000840905E-2</v>
      </c>
      <c r="L1695" s="8">
        <v>-0.16342792096918449</v>
      </c>
      <c r="M1695" s="18">
        <v>-0.1466079429045655</v>
      </c>
    </row>
    <row r="1696" spans="1:13" x14ac:dyDescent="0.45">
      <c r="A1696" t="s">
        <v>122</v>
      </c>
      <c r="B1696" s="18">
        <v>84</v>
      </c>
      <c r="C1696" s="18">
        <v>78.48</v>
      </c>
      <c r="D1696" s="18">
        <v>82.46</v>
      </c>
      <c r="E1696" s="18">
        <v>77.67</v>
      </c>
      <c r="F1696" s="18">
        <v>76.05</v>
      </c>
      <c r="G1696" s="18">
        <v>79.519599999999997</v>
      </c>
      <c r="H1696" s="18">
        <v>80.062299999999993</v>
      </c>
      <c r="I1696" s="8">
        <v>7.0336391437308743E-2</v>
      </c>
      <c r="J1696" s="8">
        <v>1.8675721561969501E-2</v>
      </c>
      <c r="K1696" s="8">
        <v>8.1498648126689721E-2</v>
      </c>
      <c r="L1696" s="8">
        <v>0.1045364891518739</v>
      </c>
      <c r="M1696" s="18">
        <v>0.27504725027784183</v>
      </c>
    </row>
    <row r="1697" spans="1:13" x14ac:dyDescent="0.45">
      <c r="A1697" t="s">
        <v>740</v>
      </c>
      <c r="B1697" s="18">
        <v>11.96</v>
      </c>
      <c r="C1697" s="18">
        <v>12.5</v>
      </c>
      <c r="D1697" s="18">
        <v>12.23</v>
      </c>
      <c r="E1697" s="18">
        <v>11.06</v>
      </c>
      <c r="F1697" s="18">
        <v>12.45</v>
      </c>
      <c r="G1697" s="18">
        <v>12.3696</v>
      </c>
      <c r="H1697" s="18">
        <v>12.162945499999999</v>
      </c>
      <c r="I1697" s="8">
        <v>-4.3199999999999912E-2</v>
      </c>
      <c r="J1697" s="8">
        <v>-2.207686017988553E-2</v>
      </c>
      <c r="K1697" s="8">
        <v>8.1374321880651079E-2</v>
      </c>
      <c r="L1697" s="8">
        <v>-3.9357429718875347E-2</v>
      </c>
      <c r="M1697" s="18">
        <v>-2.32599680181097E-2</v>
      </c>
    </row>
    <row r="1698" spans="1:13" x14ac:dyDescent="0.45">
      <c r="A1698" t="s">
        <v>1667</v>
      </c>
      <c r="B1698" s="18">
        <v>10.5</v>
      </c>
      <c r="C1698" s="18">
        <v>9.9499999999999993</v>
      </c>
      <c r="D1698" s="18">
        <v>9.7200000000000006</v>
      </c>
      <c r="E1698" s="18">
        <v>9.7100000000000009</v>
      </c>
      <c r="F1698" s="18">
        <v>11.08</v>
      </c>
      <c r="G1698" s="18">
        <v>9.9011399999999998</v>
      </c>
      <c r="H1698" s="18">
        <v>10.028670999999999</v>
      </c>
      <c r="I1698" s="8">
        <v>5.5276381909547867E-2</v>
      </c>
      <c r="J1698" s="8">
        <v>8.0246913580246826E-2</v>
      </c>
      <c r="K1698" s="8">
        <v>8.1359423274974141E-2</v>
      </c>
      <c r="L1698" s="8">
        <v>-5.234657039711188E-2</v>
      </c>
      <c r="M1698" s="18">
        <v>0.16453614836765701</v>
      </c>
    </row>
    <row r="1699" spans="1:13" x14ac:dyDescent="0.45">
      <c r="A1699" t="s">
        <v>1006</v>
      </c>
      <c r="B1699" s="18">
        <v>21.4</v>
      </c>
      <c r="C1699" s="18">
        <v>22.95</v>
      </c>
      <c r="D1699" s="18">
        <v>24.52</v>
      </c>
      <c r="E1699" s="18">
        <v>19.79</v>
      </c>
      <c r="F1699" s="18">
        <v>27.61</v>
      </c>
      <c r="G1699" s="18">
        <v>23.014600000000002</v>
      </c>
      <c r="H1699" s="18">
        <v>22.6082</v>
      </c>
      <c r="I1699" s="8">
        <v>-6.7538126361655793E-2</v>
      </c>
      <c r="J1699" s="8">
        <v>-0.12724306688417619</v>
      </c>
      <c r="K1699" s="8">
        <v>8.1354219302678166E-2</v>
      </c>
      <c r="L1699" s="8">
        <v>-0.22491850778703371</v>
      </c>
      <c r="M1699" s="18">
        <v>-0.33834548173018753</v>
      </c>
    </row>
    <row r="1700" spans="1:13" x14ac:dyDescent="0.45">
      <c r="A1700" t="s">
        <v>1187</v>
      </c>
      <c r="B1700" s="18">
        <v>19.3</v>
      </c>
      <c r="C1700" s="18">
        <v>19.18</v>
      </c>
      <c r="D1700" s="18">
        <v>18.09</v>
      </c>
      <c r="E1700" s="18">
        <v>17.850000000000001</v>
      </c>
      <c r="F1700" s="18">
        <v>18.68</v>
      </c>
      <c r="G1700" s="18">
        <v>18.860213999999999</v>
      </c>
      <c r="H1700" s="18">
        <v>18.2901895</v>
      </c>
      <c r="I1700" s="8">
        <v>6.2565172054223073E-3</v>
      </c>
      <c r="J1700" s="8">
        <v>6.6887783305693782E-2</v>
      </c>
      <c r="K1700" s="8">
        <v>8.1232492997198813E-2</v>
      </c>
      <c r="L1700" s="8">
        <v>3.3190578158458273E-2</v>
      </c>
      <c r="M1700" s="18">
        <v>0.1875673716667732</v>
      </c>
    </row>
    <row r="1701" spans="1:13" x14ac:dyDescent="0.45">
      <c r="A1701" t="s">
        <v>706</v>
      </c>
      <c r="B1701" s="18">
        <v>8.5299999999999994</v>
      </c>
      <c r="C1701" s="18">
        <v>9.42</v>
      </c>
      <c r="D1701" s="18">
        <v>9.4</v>
      </c>
      <c r="E1701" s="18">
        <v>7.89</v>
      </c>
      <c r="F1701" s="18">
        <v>9.84</v>
      </c>
      <c r="G1701" s="18">
        <v>9.3000000000000007</v>
      </c>
      <c r="H1701" s="18">
        <v>9.3626000000000005</v>
      </c>
      <c r="I1701" s="8">
        <v>-9.4479830148620048E-2</v>
      </c>
      <c r="J1701" s="8">
        <v>-9.2553191489361808E-2</v>
      </c>
      <c r="K1701" s="8">
        <v>8.1115335868187532E-2</v>
      </c>
      <c r="L1701" s="8">
        <v>-0.13313008130081311</v>
      </c>
      <c r="M1701" s="18">
        <v>-0.2390477670706074</v>
      </c>
    </row>
    <row r="1702" spans="1:13" x14ac:dyDescent="0.45">
      <c r="A1702" t="s">
        <v>791</v>
      </c>
      <c r="B1702" s="18">
        <v>16.21</v>
      </c>
      <c r="C1702" s="18">
        <v>16.66</v>
      </c>
      <c r="D1702" s="18">
        <v>15.9</v>
      </c>
      <c r="E1702" s="18">
        <v>15</v>
      </c>
      <c r="F1702" s="18">
        <v>19.065000000000001</v>
      </c>
      <c r="G1702" s="18">
        <v>16.299697999999999</v>
      </c>
      <c r="H1702" s="18">
        <v>16.182601999999999</v>
      </c>
      <c r="I1702" s="8">
        <v>-2.701080432172864E-2</v>
      </c>
      <c r="J1702" s="8">
        <v>1.949685534591206E-2</v>
      </c>
      <c r="K1702" s="8">
        <v>8.0666666666666664E-2</v>
      </c>
      <c r="L1702" s="8">
        <v>-0.1497508523472332</v>
      </c>
      <c r="M1702" s="18">
        <v>-7.6598134656383099E-2</v>
      </c>
    </row>
    <row r="1703" spans="1:13" x14ac:dyDescent="0.45">
      <c r="A1703" t="s">
        <v>1255</v>
      </c>
      <c r="B1703" s="18">
        <v>79.5</v>
      </c>
      <c r="C1703" s="18">
        <v>87.25</v>
      </c>
      <c r="D1703" s="18">
        <v>103.64</v>
      </c>
      <c r="E1703" s="18">
        <v>73.569999999999993</v>
      </c>
      <c r="F1703" s="18">
        <v>91.55</v>
      </c>
      <c r="G1703" s="18">
        <v>86.832399999999993</v>
      </c>
      <c r="H1703" s="18">
        <v>94.205349999999996</v>
      </c>
      <c r="I1703" s="8">
        <v>-8.8825214899713512E-2</v>
      </c>
      <c r="J1703" s="8">
        <v>-0.2329216518718642</v>
      </c>
      <c r="K1703" s="8">
        <v>8.0603506864211028E-2</v>
      </c>
      <c r="L1703" s="8">
        <v>-0.13162206444565799</v>
      </c>
      <c r="M1703" s="18">
        <v>-0.37276542435302468</v>
      </c>
    </row>
    <row r="1704" spans="1:13" x14ac:dyDescent="0.45">
      <c r="A1704" t="s">
        <v>2482</v>
      </c>
      <c r="B1704" s="18">
        <v>25.55</v>
      </c>
      <c r="C1704" s="18">
        <v>25.94</v>
      </c>
      <c r="D1704" s="18">
        <v>29.43</v>
      </c>
      <c r="E1704" s="18">
        <v>23.65</v>
      </c>
      <c r="F1704" s="18">
        <v>31.02</v>
      </c>
      <c r="G1704" s="18">
        <v>26.081199999999999</v>
      </c>
      <c r="H1704" s="18">
        <v>27.216100000000001</v>
      </c>
      <c r="I1704" s="8">
        <v>-1.503469545104086E-2</v>
      </c>
      <c r="J1704" s="8">
        <v>-0.13183826027862719</v>
      </c>
      <c r="K1704" s="8">
        <v>8.0338266384778034E-2</v>
      </c>
      <c r="L1704" s="8">
        <v>-0.17633784655061249</v>
      </c>
      <c r="M1704" s="18">
        <v>-0.24287253589550251</v>
      </c>
    </row>
    <row r="1705" spans="1:13" x14ac:dyDescent="0.45">
      <c r="A1705" t="s">
        <v>110</v>
      </c>
      <c r="B1705" s="18">
        <v>268.58</v>
      </c>
      <c r="C1705" s="18">
        <v>287.14</v>
      </c>
      <c r="D1705" s="18">
        <v>294.10000000000002</v>
      </c>
      <c r="E1705" s="18">
        <v>248.61</v>
      </c>
      <c r="F1705" s="18">
        <v>285.5</v>
      </c>
      <c r="G1705" s="18">
        <v>285.7346</v>
      </c>
      <c r="H1705" s="18">
        <v>289.80124999999998</v>
      </c>
      <c r="I1705" s="8">
        <v>-6.4637459079194826E-2</v>
      </c>
      <c r="J1705" s="8">
        <v>-8.6773206392383617E-2</v>
      </c>
      <c r="K1705" s="8">
        <v>8.0326615984875893E-2</v>
      </c>
      <c r="L1705" s="8">
        <v>-5.9264448336252218E-2</v>
      </c>
      <c r="M1705" s="18">
        <v>-0.1303484978229548</v>
      </c>
    </row>
    <row r="1706" spans="1:13" x14ac:dyDescent="0.45">
      <c r="A1706" t="s">
        <v>1736</v>
      </c>
      <c r="B1706" s="18">
        <v>10.76</v>
      </c>
      <c r="C1706" s="18">
        <v>10.56</v>
      </c>
      <c r="D1706" s="18">
        <v>10.27</v>
      </c>
      <c r="E1706" s="18">
        <v>9.9600000000000009</v>
      </c>
      <c r="F1706" s="18">
        <v>11.39</v>
      </c>
      <c r="G1706" s="18">
        <v>10.4275</v>
      </c>
      <c r="H1706" s="18">
        <v>10.413847499999999</v>
      </c>
      <c r="I1706" s="8">
        <v>1.8939393939393812E-2</v>
      </c>
      <c r="J1706" s="8">
        <v>4.7711781888997162E-2</v>
      </c>
      <c r="K1706" s="8">
        <v>8.0321285140562138E-2</v>
      </c>
      <c r="L1706" s="8">
        <v>-5.531167690956984E-2</v>
      </c>
      <c r="M1706" s="18">
        <v>9.1660784059383271E-2</v>
      </c>
    </row>
    <row r="1707" spans="1:13" x14ac:dyDescent="0.45">
      <c r="A1707" t="s">
        <v>557</v>
      </c>
      <c r="B1707" s="18">
        <v>23.05</v>
      </c>
      <c r="C1707" s="18">
        <v>23.02</v>
      </c>
      <c r="D1707" s="18">
        <v>21.68</v>
      </c>
      <c r="E1707" s="18">
        <v>21.34</v>
      </c>
      <c r="F1707" s="18">
        <v>25.18</v>
      </c>
      <c r="G1707" s="18">
        <v>22.528282000000001</v>
      </c>
      <c r="H1707" s="18">
        <v>22.035056999999998</v>
      </c>
      <c r="I1707" s="8">
        <v>1.303214596003466E-3</v>
      </c>
      <c r="J1707" s="8">
        <v>6.3191881918819304E-2</v>
      </c>
      <c r="K1707" s="8">
        <v>8.0131208997188397E-2</v>
      </c>
      <c r="L1707" s="8">
        <v>-8.4590945194598866E-2</v>
      </c>
      <c r="M1707" s="18">
        <v>6.0035360317412301E-2</v>
      </c>
    </row>
    <row r="1708" spans="1:13" x14ac:dyDescent="0.45">
      <c r="A1708" t="s">
        <v>224</v>
      </c>
      <c r="B1708" s="18">
        <v>125.23</v>
      </c>
      <c r="C1708" s="18">
        <v>120.38</v>
      </c>
      <c r="D1708" s="18">
        <v>118.17</v>
      </c>
      <c r="E1708" s="18">
        <v>115.95</v>
      </c>
      <c r="F1708" s="18">
        <v>114.05</v>
      </c>
      <c r="G1708" s="18">
        <v>122.8828</v>
      </c>
      <c r="H1708" s="18">
        <v>117.64785000000001</v>
      </c>
      <c r="I1708" s="8">
        <v>4.0289084565542588E-2</v>
      </c>
      <c r="J1708" s="8">
        <v>5.9744435982059807E-2</v>
      </c>
      <c r="K1708" s="8">
        <v>8.003449762828807E-2</v>
      </c>
      <c r="L1708" s="8">
        <v>9.8027181060938329E-2</v>
      </c>
      <c r="M1708" s="18">
        <v>0.27809519923682879</v>
      </c>
    </row>
    <row r="1709" spans="1:13" x14ac:dyDescent="0.45">
      <c r="A1709" t="s">
        <v>997</v>
      </c>
      <c r="B1709" s="18">
        <v>21.5</v>
      </c>
      <c r="C1709" s="18">
        <v>21.65</v>
      </c>
      <c r="D1709" s="18">
        <v>19.850000000000001</v>
      </c>
      <c r="E1709" s="18">
        <v>19.91</v>
      </c>
      <c r="F1709" s="18">
        <v>19.8</v>
      </c>
      <c r="G1709" s="18">
        <v>21.259101999999999</v>
      </c>
      <c r="H1709" s="18">
        <v>20.272940500000001</v>
      </c>
      <c r="I1709" s="8">
        <v>-6.9284064665126044E-3</v>
      </c>
      <c r="J1709" s="8">
        <v>8.3123425692695152E-2</v>
      </c>
      <c r="K1709" s="8">
        <v>7.9859367152184779E-2</v>
      </c>
      <c r="L1709" s="8">
        <v>8.5858585858585856E-2</v>
      </c>
      <c r="M1709" s="18">
        <v>0.24191297223695321</v>
      </c>
    </row>
    <row r="1710" spans="1:13" x14ac:dyDescent="0.45">
      <c r="A1710" t="s">
        <v>1800</v>
      </c>
      <c r="B1710" s="18">
        <v>14.51</v>
      </c>
      <c r="C1710" s="18">
        <v>13.36</v>
      </c>
      <c r="D1710" s="18">
        <v>16.71</v>
      </c>
      <c r="E1710" s="18">
        <v>13.44</v>
      </c>
      <c r="F1710" s="18">
        <v>19.03</v>
      </c>
      <c r="G1710" s="18">
        <v>14.060600000000001</v>
      </c>
      <c r="H1710" s="18">
        <v>16.535900000000002</v>
      </c>
      <c r="I1710" s="8">
        <v>8.6077844311377216E-2</v>
      </c>
      <c r="J1710" s="8">
        <v>-0.13165769000598451</v>
      </c>
      <c r="K1710" s="8">
        <v>7.9613095238095344E-2</v>
      </c>
      <c r="L1710" s="8">
        <v>-0.23751970572779821</v>
      </c>
      <c r="M1710" s="18">
        <v>-0.20348645618431019</v>
      </c>
    </row>
    <row r="1711" spans="1:13" x14ac:dyDescent="0.45">
      <c r="A1711" t="s">
        <v>2428</v>
      </c>
      <c r="B1711" s="18">
        <v>1.9</v>
      </c>
      <c r="C1711" s="18">
        <v>1.95</v>
      </c>
      <c r="D1711" s="18">
        <v>2.76</v>
      </c>
      <c r="E1711" s="18">
        <v>1.76</v>
      </c>
      <c r="F1711" s="18">
        <v>2.0699999999999998</v>
      </c>
      <c r="G1711" s="18">
        <v>2.0167999999999999</v>
      </c>
      <c r="H1711" s="18">
        <v>2.3261500000000002</v>
      </c>
      <c r="I1711" s="8">
        <v>-2.5641025641025661E-2</v>
      </c>
      <c r="J1711" s="8">
        <v>-0.31159420289855072</v>
      </c>
      <c r="K1711" s="8">
        <v>7.9545454545454586E-2</v>
      </c>
      <c r="L1711" s="8">
        <v>-8.212560386473422E-2</v>
      </c>
      <c r="M1711" s="18">
        <v>-0.33981537785885602</v>
      </c>
    </row>
    <row r="1712" spans="1:13" x14ac:dyDescent="0.45">
      <c r="A1712" t="s">
        <v>1789</v>
      </c>
      <c r="B1712" s="18">
        <v>10.86</v>
      </c>
      <c r="C1712" s="18">
        <v>10.75</v>
      </c>
      <c r="D1712" s="18">
        <v>10.58</v>
      </c>
      <c r="E1712" s="18">
        <v>10.06</v>
      </c>
      <c r="F1712" s="18">
        <v>11.73</v>
      </c>
      <c r="G1712" s="18">
        <v>10.5184</v>
      </c>
      <c r="H1712" s="18">
        <v>10.580909999999999</v>
      </c>
      <c r="I1712" s="8">
        <v>1.0232558139534831E-2</v>
      </c>
      <c r="J1712" s="8">
        <v>2.6465028355387551E-2</v>
      </c>
      <c r="K1712" s="8">
        <v>7.9522862823061535E-2</v>
      </c>
      <c r="L1712" s="8">
        <v>-7.4168797953964249E-2</v>
      </c>
      <c r="M1712" s="18">
        <v>4.2051651364019671E-2</v>
      </c>
    </row>
    <row r="1713" spans="1:13" x14ac:dyDescent="0.45">
      <c r="A1713" t="s">
        <v>1796</v>
      </c>
      <c r="B1713" s="18">
        <v>10.62</v>
      </c>
      <c r="C1713" s="18">
        <v>10.34</v>
      </c>
      <c r="D1713" s="18">
        <v>10.39</v>
      </c>
      <c r="E1713" s="18">
        <v>9.84</v>
      </c>
      <c r="F1713" s="18">
        <v>11.66</v>
      </c>
      <c r="G1713" s="18">
        <v>10.274800000000001</v>
      </c>
      <c r="H1713" s="18">
        <v>10.558400000000001</v>
      </c>
      <c r="I1713" s="8">
        <v>2.7079303675048291E-2</v>
      </c>
      <c r="J1713" s="8">
        <v>2.21366698748795E-2</v>
      </c>
      <c r="K1713" s="8">
        <v>7.9268292682926678E-2</v>
      </c>
      <c r="L1713" s="8">
        <v>-8.9193825042881758E-2</v>
      </c>
      <c r="M1713" s="18">
        <v>3.9290441189972707E-2</v>
      </c>
    </row>
    <row r="1714" spans="1:13" x14ac:dyDescent="0.45">
      <c r="A1714" t="s">
        <v>2392</v>
      </c>
      <c r="B1714" s="18">
        <v>6.41</v>
      </c>
      <c r="C1714" s="18">
        <v>6.57</v>
      </c>
      <c r="D1714" s="18">
        <v>6.91</v>
      </c>
      <c r="E1714" s="18">
        <v>5.94</v>
      </c>
      <c r="F1714" s="18">
        <v>7.13</v>
      </c>
      <c r="G1714" s="18">
        <v>6.5127999999999986</v>
      </c>
      <c r="H1714" s="18">
        <v>6.6741999999999999</v>
      </c>
      <c r="I1714" s="8">
        <v>-2.4353120243531201E-2</v>
      </c>
      <c r="J1714" s="8">
        <v>-7.2358900144717797E-2</v>
      </c>
      <c r="K1714" s="8">
        <v>7.9124579124579153E-2</v>
      </c>
      <c r="L1714" s="8">
        <v>-0.10098176718092571</v>
      </c>
      <c r="M1714" s="18">
        <v>-0.11856920844459549</v>
      </c>
    </row>
    <row r="1715" spans="1:13" x14ac:dyDescent="0.45">
      <c r="A1715" t="s">
        <v>1505</v>
      </c>
      <c r="B1715" s="18">
        <v>21.87</v>
      </c>
      <c r="C1715" s="18">
        <v>19.46</v>
      </c>
      <c r="D1715" s="18">
        <v>28.27</v>
      </c>
      <c r="E1715" s="18">
        <v>20.27</v>
      </c>
      <c r="F1715" s="18">
        <v>37.74</v>
      </c>
      <c r="G1715" s="18">
        <v>22.194199999999999</v>
      </c>
      <c r="H1715" s="18">
        <v>26.468450000000001</v>
      </c>
      <c r="I1715" s="8">
        <v>0.1238437821171634</v>
      </c>
      <c r="J1715" s="8">
        <v>-0.22638839759462329</v>
      </c>
      <c r="K1715" s="8">
        <v>7.8934385791810557E-2</v>
      </c>
      <c r="L1715" s="8">
        <v>-0.42050874403815591</v>
      </c>
      <c r="M1715" s="18">
        <v>-0.44411897372380521</v>
      </c>
    </row>
    <row r="1716" spans="1:13" x14ac:dyDescent="0.45">
      <c r="A1716" t="s">
        <v>31</v>
      </c>
      <c r="B1716" s="18">
        <v>79</v>
      </c>
      <c r="C1716" s="18">
        <v>88.14</v>
      </c>
      <c r="D1716" s="18">
        <v>86.05</v>
      </c>
      <c r="E1716" s="18">
        <v>73.23</v>
      </c>
      <c r="F1716" s="18">
        <v>74.099999999999994</v>
      </c>
      <c r="G1716" s="18">
        <v>88.44619999999999</v>
      </c>
      <c r="H1716" s="18">
        <v>80.593649999999997</v>
      </c>
      <c r="I1716" s="8">
        <v>-0.1036986612207851</v>
      </c>
      <c r="J1716" s="8">
        <v>-8.1929110981987185E-2</v>
      </c>
      <c r="K1716" s="8">
        <v>7.8792844462651779E-2</v>
      </c>
      <c r="L1716" s="8">
        <v>6.612685560053988E-2</v>
      </c>
      <c r="M1716" s="18">
        <v>-4.0708072139580609E-2</v>
      </c>
    </row>
    <row r="1717" spans="1:13" x14ac:dyDescent="0.45">
      <c r="A1717" t="s">
        <v>1504</v>
      </c>
      <c r="B1717" s="18">
        <v>11.77</v>
      </c>
      <c r="C1717" s="18">
        <v>11.66</v>
      </c>
      <c r="D1717" s="18">
        <v>11.285</v>
      </c>
      <c r="E1717" s="18">
        <v>10.9109</v>
      </c>
      <c r="F1717" s="18">
        <v>11.57</v>
      </c>
      <c r="G1717" s="18">
        <v>11.589726000000001</v>
      </c>
      <c r="H1717" s="18">
        <v>11.3049065</v>
      </c>
      <c r="I1717" s="8">
        <v>9.4339622641508303E-3</v>
      </c>
      <c r="J1717" s="8">
        <v>4.2977403633141398E-2</v>
      </c>
      <c r="K1717" s="8">
        <v>7.8737775985482372E-2</v>
      </c>
      <c r="L1717" s="8">
        <v>1.728608470181503E-2</v>
      </c>
      <c r="M1717" s="18">
        <v>0.1484352265845896</v>
      </c>
    </row>
    <row r="1718" spans="1:13" x14ac:dyDescent="0.45">
      <c r="A1718" t="s">
        <v>2476</v>
      </c>
      <c r="B1718" s="18">
        <v>16.64</v>
      </c>
      <c r="C1718" s="18">
        <v>17.32</v>
      </c>
      <c r="D1718" s="18">
        <v>16.66</v>
      </c>
      <c r="E1718" s="18">
        <v>15.43</v>
      </c>
      <c r="F1718" s="18">
        <v>14.33</v>
      </c>
      <c r="G1718" s="18">
        <v>17.331800000000001</v>
      </c>
      <c r="H1718" s="18">
        <v>16.110749999999999</v>
      </c>
      <c r="I1718" s="8">
        <v>-3.9260969976905313E-2</v>
      </c>
      <c r="J1718" s="8">
        <v>-1.200480192076858E-3</v>
      </c>
      <c r="K1718" s="8">
        <v>7.8418664938431748E-2</v>
      </c>
      <c r="L1718" s="8">
        <v>0.16120027913468249</v>
      </c>
      <c r="M1718" s="18">
        <v>0.19915749390413209</v>
      </c>
    </row>
    <row r="1719" spans="1:13" x14ac:dyDescent="0.45">
      <c r="A1719" t="s">
        <v>633</v>
      </c>
      <c r="B1719" s="18">
        <v>13.76</v>
      </c>
      <c r="C1719" s="18">
        <v>14.83</v>
      </c>
      <c r="D1719" s="18">
        <v>14.31</v>
      </c>
      <c r="E1719" s="18">
        <v>12.76</v>
      </c>
      <c r="F1719" s="18">
        <v>15.34</v>
      </c>
      <c r="G1719" s="18">
        <v>14.4628</v>
      </c>
      <c r="H1719" s="18">
        <v>14.390305</v>
      </c>
      <c r="I1719" s="8">
        <v>-7.2151045178691864E-2</v>
      </c>
      <c r="J1719" s="8">
        <v>-3.8434661076170551E-2</v>
      </c>
      <c r="K1719" s="8">
        <v>7.8369905956112929E-2</v>
      </c>
      <c r="L1719" s="8">
        <v>-0.10299869621903519</v>
      </c>
      <c r="M1719" s="18">
        <v>-0.13521449651778469</v>
      </c>
    </row>
    <row r="1720" spans="1:13" x14ac:dyDescent="0.45">
      <c r="A1720" t="s">
        <v>1509</v>
      </c>
      <c r="B1720" s="18">
        <v>18.849900000000002</v>
      </c>
      <c r="C1720" s="18">
        <v>18.920000000000002</v>
      </c>
      <c r="D1720" s="18">
        <v>19</v>
      </c>
      <c r="E1720" s="18">
        <v>17.48</v>
      </c>
      <c r="F1720" s="18">
        <v>18.57</v>
      </c>
      <c r="G1720" s="18">
        <v>18.855798</v>
      </c>
      <c r="H1720" s="18">
        <v>18.557102</v>
      </c>
      <c r="I1720" s="8">
        <v>-3.7050739957716901E-3</v>
      </c>
      <c r="J1720" s="8">
        <v>-7.8999999999999071E-3</v>
      </c>
      <c r="K1720" s="8">
        <v>7.8369565217391468E-2</v>
      </c>
      <c r="L1720" s="8">
        <v>1.5072697899838561E-2</v>
      </c>
      <c r="M1720" s="18">
        <v>8.1837189121458431E-2</v>
      </c>
    </row>
    <row r="1721" spans="1:13" x14ac:dyDescent="0.45">
      <c r="A1721" t="s">
        <v>2078</v>
      </c>
      <c r="B1721" s="18">
        <v>14.07</v>
      </c>
      <c r="C1721" s="18">
        <v>13.77</v>
      </c>
      <c r="D1721" s="18">
        <v>13.53</v>
      </c>
      <c r="E1721" s="18">
        <v>13.05</v>
      </c>
      <c r="F1721" s="18">
        <v>15.91</v>
      </c>
      <c r="G1721" s="18">
        <v>13.793108</v>
      </c>
      <c r="H1721" s="18">
        <v>14.067940999999999</v>
      </c>
      <c r="I1721" s="8">
        <v>2.1786492374727739E-2</v>
      </c>
      <c r="J1721" s="8">
        <v>3.9911308203991247E-2</v>
      </c>
      <c r="K1721" s="8">
        <v>7.8160919540229745E-2</v>
      </c>
      <c r="L1721" s="8">
        <v>-0.1156505342551855</v>
      </c>
      <c r="M1721" s="18">
        <v>2.420818586376328E-2</v>
      </c>
    </row>
    <row r="1722" spans="1:13" x14ac:dyDescent="0.45">
      <c r="A1722" t="s">
        <v>2138</v>
      </c>
      <c r="B1722" s="18">
        <v>48.78</v>
      </c>
      <c r="C1722" s="18">
        <v>48.79</v>
      </c>
      <c r="D1722" s="18">
        <v>59.75</v>
      </c>
      <c r="E1722" s="18">
        <v>45.26</v>
      </c>
      <c r="F1722" s="18">
        <v>77.239999999999995</v>
      </c>
      <c r="G1722" s="18">
        <v>49.178600000000003</v>
      </c>
      <c r="H1722" s="18">
        <v>55.390799999999999</v>
      </c>
      <c r="I1722" s="8">
        <v>-2.0496003279357741E-4</v>
      </c>
      <c r="J1722" s="8">
        <v>-0.18359832635983259</v>
      </c>
      <c r="K1722" s="8">
        <v>7.7772867874502882E-2</v>
      </c>
      <c r="L1722" s="8">
        <v>-0.36846193682030032</v>
      </c>
      <c r="M1722" s="18">
        <v>-0.4744923553384236</v>
      </c>
    </row>
    <row r="1723" spans="1:13" x14ac:dyDescent="0.45">
      <c r="A1723" t="s">
        <v>846</v>
      </c>
      <c r="B1723" s="18">
        <v>74.45</v>
      </c>
      <c r="C1723" s="18">
        <v>78.8</v>
      </c>
      <c r="D1723" s="18">
        <v>86.3</v>
      </c>
      <c r="E1723" s="18">
        <v>69.08</v>
      </c>
      <c r="F1723" s="18">
        <v>106.18</v>
      </c>
      <c r="G1723" s="18">
        <v>77.204800000000006</v>
      </c>
      <c r="H1723" s="18">
        <v>81.137999999999991</v>
      </c>
      <c r="I1723" s="8">
        <v>-5.5203045685279117E-2</v>
      </c>
      <c r="J1723" s="8">
        <v>-0.13731170336037071</v>
      </c>
      <c r="K1723" s="8">
        <v>7.7735958309206765E-2</v>
      </c>
      <c r="L1723" s="8">
        <v>-0.29883217178376342</v>
      </c>
      <c r="M1723" s="18">
        <v>-0.41361096252020652</v>
      </c>
    </row>
    <row r="1724" spans="1:13" x14ac:dyDescent="0.45">
      <c r="A1724" t="s">
        <v>1959</v>
      </c>
      <c r="B1724" s="18">
        <v>8.32</v>
      </c>
      <c r="C1724" s="18">
        <v>8.33</v>
      </c>
      <c r="D1724" s="18">
        <v>8.07</v>
      </c>
      <c r="E1724" s="18">
        <v>7.72</v>
      </c>
      <c r="F1724" s="18">
        <v>7.9349999999999996</v>
      </c>
      <c r="G1724" s="18">
        <v>8.2387999999999995</v>
      </c>
      <c r="H1724" s="18">
        <v>7.91404</v>
      </c>
      <c r="I1724" s="8">
        <v>-1.200480192076858E-3</v>
      </c>
      <c r="J1724" s="8">
        <v>3.097893432465915E-2</v>
      </c>
      <c r="K1724" s="8">
        <v>7.7720207253886064E-2</v>
      </c>
      <c r="L1724" s="8">
        <v>4.8519218651543961E-2</v>
      </c>
      <c r="M1724" s="18">
        <v>0.15601788003801231</v>
      </c>
    </row>
    <row r="1725" spans="1:13" x14ac:dyDescent="0.45">
      <c r="A1725" t="s">
        <v>2463</v>
      </c>
      <c r="B1725" s="18">
        <v>79.55</v>
      </c>
      <c r="C1725" s="18">
        <v>85.24</v>
      </c>
      <c r="D1725" s="18">
        <v>76.09</v>
      </c>
      <c r="E1725" s="18">
        <v>73.84</v>
      </c>
      <c r="F1725" s="18">
        <v>110.83</v>
      </c>
      <c r="G1725" s="18">
        <v>83.129400000000004</v>
      </c>
      <c r="H1725" s="18">
        <v>81.382099999999994</v>
      </c>
      <c r="I1725" s="8">
        <v>-6.6752698263725874E-2</v>
      </c>
      <c r="J1725" s="8">
        <v>4.5472466815613011E-2</v>
      </c>
      <c r="K1725" s="8">
        <v>7.7329360780064915E-2</v>
      </c>
      <c r="L1725" s="8">
        <v>-0.28223405215194441</v>
      </c>
      <c r="M1725" s="18">
        <v>-0.22618492281999239</v>
      </c>
    </row>
    <row r="1726" spans="1:13" x14ac:dyDescent="0.45">
      <c r="A1726" t="s">
        <v>132</v>
      </c>
      <c r="B1726" s="18">
        <v>93.1</v>
      </c>
      <c r="C1726" s="18">
        <v>89.61</v>
      </c>
      <c r="D1726" s="18">
        <v>88.56</v>
      </c>
      <c r="E1726" s="18">
        <v>86.42</v>
      </c>
      <c r="F1726" s="18">
        <v>114.86</v>
      </c>
      <c r="G1726" s="18">
        <v>90.296800000000005</v>
      </c>
      <c r="H1726" s="18">
        <v>91.397099999999995</v>
      </c>
      <c r="I1726" s="8">
        <v>3.8946546144403398E-2</v>
      </c>
      <c r="J1726" s="8">
        <v>5.1264679313459682E-2</v>
      </c>
      <c r="K1726" s="8">
        <v>7.7296922008794233E-2</v>
      </c>
      <c r="L1726" s="8">
        <v>-0.189448023681003</v>
      </c>
      <c r="M1726" s="18">
        <v>-2.1939876214345681E-2</v>
      </c>
    </row>
    <row r="1727" spans="1:13" x14ac:dyDescent="0.45">
      <c r="A1727" t="s">
        <v>1743</v>
      </c>
      <c r="B1727" s="18">
        <v>11.08</v>
      </c>
      <c r="C1727" s="18">
        <v>10.91</v>
      </c>
      <c r="D1727" s="18">
        <v>10.52</v>
      </c>
      <c r="E1727" s="18">
        <v>10.29</v>
      </c>
      <c r="F1727" s="18">
        <v>11.93</v>
      </c>
      <c r="G1727" s="18">
        <v>10.7254</v>
      </c>
      <c r="H1727" s="18">
        <v>10.744899999999999</v>
      </c>
      <c r="I1727" s="8">
        <v>1.558203483043075E-2</v>
      </c>
      <c r="J1727" s="8">
        <v>5.323193916349811E-2</v>
      </c>
      <c r="K1727" s="8">
        <v>7.6773566569485086E-2</v>
      </c>
      <c r="L1727" s="8">
        <v>-7.1248952221290796E-2</v>
      </c>
      <c r="M1727" s="18">
        <v>7.4338588342123146E-2</v>
      </c>
    </row>
    <row r="1728" spans="1:13" x14ac:dyDescent="0.45">
      <c r="A1728" t="s">
        <v>438</v>
      </c>
      <c r="B1728" s="18">
        <v>337.57</v>
      </c>
      <c r="C1728" s="18">
        <v>361.38</v>
      </c>
      <c r="D1728" s="18">
        <v>351.83</v>
      </c>
      <c r="E1728" s="18">
        <v>313.51</v>
      </c>
      <c r="F1728" s="18">
        <v>371.3</v>
      </c>
      <c r="G1728" s="18">
        <v>354.48259999999999</v>
      </c>
      <c r="H1728" s="18">
        <v>349.45924999999988</v>
      </c>
      <c r="I1728" s="8">
        <v>-6.588632464441857E-2</v>
      </c>
      <c r="J1728" s="8">
        <v>-4.0530938237216763E-2</v>
      </c>
      <c r="K1728" s="8">
        <v>7.6743963509935842E-2</v>
      </c>
      <c r="L1728" s="8">
        <v>-9.0842984109884228E-2</v>
      </c>
      <c r="M1728" s="18">
        <v>-0.12051628348158371</v>
      </c>
    </row>
    <row r="1729" spans="1:13" x14ac:dyDescent="0.45">
      <c r="A1729" t="s">
        <v>1332</v>
      </c>
      <c r="B1729" s="18">
        <v>15.73</v>
      </c>
      <c r="C1729" s="18">
        <v>14.88</v>
      </c>
      <c r="D1729" s="18">
        <v>22.8</v>
      </c>
      <c r="E1729" s="18">
        <v>14.61</v>
      </c>
      <c r="F1729" s="18">
        <v>16.100000000000001</v>
      </c>
      <c r="G1729" s="18">
        <v>15.929399999999999</v>
      </c>
      <c r="H1729" s="18">
        <v>17.114100000000001</v>
      </c>
      <c r="I1729" s="8">
        <v>5.7123655913978499E-2</v>
      </c>
      <c r="J1729" s="8">
        <v>-0.31008771929824558</v>
      </c>
      <c r="K1729" s="8">
        <v>7.665982203969901E-2</v>
      </c>
      <c r="L1729" s="8">
        <v>-2.2981366459627339E-2</v>
      </c>
      <c r="M1729" s="18">
        <v>-0.19928560780419549</v>
      </c>
    </row>
    <row r="1730" spans="1:13" x14ac:dyDescent="0.45">
      <c r="A1730" t="s">
        <v>2432</v>
      </c>
      <c r="B1730" s="18">
        <v>9.6999999999999993</v>
      </c>
      <c r="C1730" s="18">
        <v>9.3800000000000008</v>
      </c>
      <c r="D1730" s="18">
        <v>9.2100000000000009</v>
      </c>
      <c r="E1730" s="18">
        <v>9.01</v>
      </c>
      <c r="F1730" s="18">
        <v>10.210000000000001</v>
      </c>
      <c r="G1730" s="18">
        <v>9.3575999999999997</v>
      </c>
      <c r="H1730" s="18">
        <v>9.4038500000000003</v>
      </c>
      <c r="I1730" s="8">
        <v>3.4115138592750283E-2</v>
      </c>
      <c r="J1730" s="8">
        <v>5.3203040173724007E-2</v>
      </c>
      <c r="K1730" s="8">
        <v>7.6581576026637066E-2</v>
      </c>
      <c r="L1730" s="8">
        <v>-4.9951028403526047E-2</v>
      </c>
      <c r="M1730" s="18">
        <v>0.11394872638958529</v>
      </c>
    </row>
    <row r="1731" spans="1:13" x14ac:dyDescent="0.45">
      <c r="A1731" t="s">
        <v>170</v>
      </c>
      <c r="B1731" s="18">
        <v>59.8</v>
      </c>
      <c r="C1731" s="18">
        <v>63.47</v>
      </c>
      <c r="D1731" s="18">
        <v>76.77</v>
      </c>
      <c r="E1731" s="18">
        <v>55.55</v>
      </c>
      <c r="F1731" s="18">
        <v>80.8</v>
      </c>
      <c r="G1731" s="18">
        <v>63.514000000000003</v>
      </c>
      <c r="H1731" s="18">
        <v>67.232250000000008</v>
      </c>
      <c r="I1731" s="8">
        <v>-5.7822593351189562E-2</v>
      </c>
      <c r="J1731" s="8">
        <v>-0.22104988927966651</v>
      </c>
      <c r="K1731" s="8">
        <v>7.6507650765076596E-2</v>
      </c>
      <c r="L1731" s="8">
        <v>-0.25990099009900991</v>
      </c>
      <c r="M1731" s="18">
        <v>-0.46226582196478938</v>
      </c>
    </row>
    <row r="1732" spans="1:13" x14ac:dyDescent="0.45">
      <c r="A1732" t="s">
        <v>815</v>
      </c>
      <c r="B1732" s="18">
        <v>7.61</v>
      </c>
      <c r="C1732" s="18">
        <v>8.26</v>
      </c>
      <c r="D1732" s="18">
        <v>8.11</v>
      </c>
      <c r="E1732" s="18">
        <v>7.07</v>
      </c>
      <c r="F1732" s="18">
        <v>7.51</v>
      </c>
      <c r="G1732" s="18">
        <v>8.1324000000000005</v>
      </c>
      <c r="H1732" s="18">
        <v>7.8597799999999998</v>
      </c>
      <c r="I1732" s="8">
        <v>-7.8692493946731168E-2</v>
      </c>
      <c r="J1732" s="8">
        <v>-6.1652281134401909E-2</v>
      </c>
      <c r="K1732" s="8">
        <v>7.6379066478076352E-2</v>
      </c>
      <c r="L1732" s="8">
        <v>1.3315579227696441E-2</v>
      </c>
      <c r="M1732" s="18">
        <v>-5.0650129375360287E-2</v>
      </c>
    </row>
    <row r="1733" spans="1:13" x14ac:dyDescent="0.45">
      <c r="A1733" t="s">
        <v>1699</v>
      </c>
      <c r="B1733" s="18">
        <v>5.39</v>
      </c>
      <c r="C1733" s="18">
        <v>4.5999999999999996</v>
      </c>
      <c r="D1733" s="18">
        <v>4.17</v>
      </c>
      <c r="E1733" s="18">
        <v>5.01</v>
      </c>
      <c r="F1733" s="18">
        <v>5.72</v>
      </c>
      <c r="G1733" s="18">
        <v>4.6016000000000004</v>
      </c>
      <c r="H1733" s="18">
        <v>4.7736499999999999</v>
      </c>
      <c r="I1733" s="8">
        <v>0.17173913043478259</v>
      </c>
      <c r="J1733" s="8">
        <v>0.29256594724220619</v>
      </c>
      <c r="K1733" s="8">
        <v>7.5848303393213579E-2</v>
      </c>
      <c r="L1733" s="8">
        <v>-5.7692307692307709E-2</v>
      </c>
      <c r="M1733" s="18">
        <v>0.48246107337789468</v>
      </c>
    </row>
    <row r="1734" spans="1:13" x14ac:dyDescent="0.45">
      <c r="A1734" t="s">
        <v>1517</v>
      </c>
      <c r="B1734" s="18">
        <v>5.27</v>
      </c>
      <c r="C1734" s="18">
        <v>5.48</v>
      </c>
      <c r="D1734" s="18">
        <v>5.47</v>
      </c>
      <c r="E1734" s="18">
        <v>4.9000000000000004</v>
      </c>
      <c r="F1734" s="18">
        <v>5.72</v>
      </c>
      <c r="G1734" s="18">
        <v>5.4309999999999992</v>
      </c>
      <c r="H1734" s="18">
        <v>5.4204999999999997</v>
      </c>
      <c r="I1734" s="8">
        <v>-3.8321167883211833E-2</v>
      </c>
      <c r="J1734" s="8">
        <v>-3.656307129798908E-2</v>
      </c>
      <c r="K1734" s="8">
        <v>7.5510204081632448E-2</v>
      </c>
      <c r="L1734" s="8">
        <v>-7.8671328671328755E-2</v>
      </c>
      <c r="M1734" s="18">
        <v>-7.8045363770897214E-2</v>
      </c>
    </row>
    <row r="1735" spans="1:13" x14ac:dyDescent="0.45">
      <c r="A1735" t="s">
        <v>1146</v>
      </c>
      <c r="B1735" s="18">
        <v>44.19</v>
      </c>
      <c r="C1735" s="18">
        <v>47.92</v>
      </c>
      <c r="D1735" s="18">
        <v>47.31</v>
      </c>
      <c r="E1735" s="18">
        <v>41.09</v>
      </c>
      <c r="F1735" s="18">
        <v>42.34</v>
      </c>
      <c r="G1735" s="18">
        <v>46.684199999999997</v>
      </c>
      <c r="H1735" s="18">
        <v>47.112650000000002</v>
      </c>
      <c r="I1735" s="8">
        <v>-7.7838063439065186E-2</v>
      </c>
      <c r="J1735" s="8">
        <v>-6.5948002536461714E-2</v>
      </c>
      <c r="K1735" s="8">
        <v>7.5444146994402494E-2</v>
      </c>
      <c r="L1735" s="8">
        <v>4.3693906471421677E-2</v>
      </c>
      <c r="M1735" s="18">
        <v>-2.4648012509702721E-2</v>
      </c>
    </row>
    <row r="1736" spans="1:13" x14ac:dyDescent="0.45">
      <c r="A1736" t="s">
        <v>2059</v>
      </c>
      <c r="B1736" s="18">
        <v>13.14</v>
      </c>
      <c r="C1736" s="18">
        <v>12.84</v>
      </c>
      <c r="D1736" s="18">
        <v>12.705</v>
      </c>
      <c r="E1736" s="18">
        <v>12.22</v>
      </c>
      <c r="F1736" s="18">
        <v>14.55</v>
      </c>
      <c r="G1736" s="18">
        <v>12.81282</v>
      </c>
      <c r="H1736" s="18">
        <v>13.1020529</v>
      </c>
      <c r="I1736" s="8">
        <v>2.3364485981308469E-2</v>
      </c>
      <c r="J1736" s="8">
        <v>3.4238488783943311E-2</v>
      </c>
      <c r="K1736" s="8">
        <v>7.5286415711947718E-2</v>
      </c>
      <c r="L1736" s="8">
        <v>-9.690721649484535E-2</v>
      </c>
      <c r="M1736" s="18">
        <v>3.5982173982354149E-2</v>
      </c>
    </row>
    <row r="1737" spans="1:13" x14ac:dyDescent="0.45">
      <c r="A1737" t="s">
        <v>1147</v>
      </c>
      <c r="B1737" s="18">
        <v>21.82</v>
      </c>
      <c r="C1737" s="18">
        <v>21.950500000000002</v>
      </c>
      <c r="D1737" s="18">
        <v>20.83</v>
      </c>
      <c r="E1737" s="18">
        <v>20.3</v>
      </c>
      <c r="F1737" s="18">
        <v>23.14</v>
      </c>
      <c r="G1737" s="18">
        <v>21.78831928</v>
      </c>
      <c r="H1737" s="18">
        <v>21.141109825000001</v>
      </c>
      <c r="I1737" s="8">
        <v>-5.945194870276338E-3</v>
      </c>
      <c r="J1737" s="8">
        <v>4.7527604416706781E-2</v>
      </c>
      <c r="K1737" s="8">
        <v>7.487684729064048E-2</v>
      </c>
      <c r="L1737" s="8">
        <v>-5.7044079515989672E-2</v>
      </c>
      <c r="M1737" s="18">
        <v>5.9415177321081258E-2</v>
      </c>
    </row>
    <row r="1738" spans="1:13" x14ac:dyDescent="0.45">
      <c r="A1738" t="s">
        <v>1121</v>
      </c>
      <c r="B1738" s="18">
        <v>11.92</v>
      </c>
      <c r="C1738" s="18">
        <v>12.0275</v>
      </c>
      <c r="D1738" s="18">
        <v>12.6</v>
      </c>
      <c r="E1738" s="18">
        <v>11.09</v>
      </c>
      <c r="F1738" s="18">
        <v>12.84</v>
      </c>
      <c r="G1738" s="18">
        <v>12.01703</v>
      </c>
      <c r="H1738" s="18">
        <v>12.4520815</v>
      </c>
      <c r="I1738" s="8">
        <v>-8.9378507586780342E-3</v>
      </c>
      <c r="J1738" s="8">
        <v>-5.3968253968253999E-2</v>
      </c>
      <c r="K1738" s="8">
        <v>7.48422001803426E-2</v>
      </c>
      <c r="L1738" s="8">
        <v>-7.1651090342679136E-2</v>
      </c>
      <c r="M1738" s="18">
        <v>-5.9714994889268569E-2</v>
      </c>
    </row>
    <row r="1739" spans="1:13" x14ac:dyDescent="0.45">
      <c r="A1739" t="s">
        <v>23</v>
      </c>
      <c r="B1739" s="18">
        <v>156.91999999999999</v>
      </c>
      <c r="C1739" s="18">
        <v>168.95</v>
      </c>
      <c r="D1739" s="18">
        <v>179.7</v>
      </c>
      <c r="E1739" s="18">
        <v>146.03</v>
      </c>
      <c r="F1739" s="18">
        <v>221.69</v>
      </c>
      <c r="G1739" s="18">
        <v>164.5812</v>
      </c>
      <c r="H1739" s="18">
        <v>173.28614999999999</v>
      </c>
      <c r="I1739" s="8">
        <v>-7.1204498372299474E-2</v>
      </c>
      <c r="J1739" s="8">
        <v>-0.12676683361157479</v>
      </c>
      <c r="K1739" s="8">
        <v>7.4573717729233602E-2</v>
      </c>
      <c r="L1739" s="8">
        <v>-0.29216473453922148</v>
      </c>
      <c r="M1739" s="18">
        <v>-0.41556234879386222</v>
      </c>
    </row>
    <row r="1740" spans="1:13" x14ac:dyDescent="0.45">
      <c r="A1740" t="s">
        <v>1870</v>
      </c>
      <c r="B1740" s="18">
        <v>6.06</v>
      </c>
      <c r="C1740" s="18">
        <v>5.89</v>
      </c>
      <c r="D1740" s="18">
        <v>5.76</v>
      </c>
      <c r="E1740" s="18">
        <v>5.64</v>
      </c>
      <c r="F1740" s="18">
        <v>6.86</v>
      </c>
      <c r="G1740" s="18">
        <v>5.8257000000000003</v>
      </c>
      <c r="H1740" s="18">
        <v>5.872255</v>
      </c>
      <c r="I1740" s="8">
        <v>2.886247877758907E-2</v>
      </c>
      <c r="J1740" s="8">
        <v>5.2083333333333259E-2</v>
      </c>
      <c r="K1740" s="8">
        <v>7.4468085106383031E-2</v>
      </c>
      <c r="L1740" s="8">
        <v>-0.11661807580174929</v>
      </c>
      <c r="M1740" s="18">
        <v>3.8795821415556042E-2</v>
      </c>
    </row>
    <row r="1741" spans="1:13" x14ac:dyDescent="0.45">
      <c r="A1741" t="s">
        <v>2393</v>
      </c>
      <c r="B1741" s="18">
        <v>23.76</v>
      </c>
      <c r="C1741" s="18">
        <v>23.25</v>
      </c>
      <c r="D1741" s="18">
        <v>24.59</v>
      </c>
      <c r="E1741" s="18">
        <v>22.12</v>
      </c>
      <c r="F1741" s="18">
        <v>23.01</v>
      </c>
      <c r="G1741" s="18">
        <v>23.863</v>
      </c>
      <c r="H1741" s="18">
        <v>24.959599999999998</v>
      </c>
      <c r="I1741" s="8">
        <v>2.1935483870967779E-2</v>
      </c>
      <c r="J1741" s="8">
        <v>-3.3753558357055617E-2</v>
      </c>
      <c r="K1741" s="8">
        <v>7.4141048824593048E-2</v>
      </c>
      <c r="L1741" s="8">
        <v>3.2594524119947899E-2</v>
      </c>
      <c r="M1741" s="18">
        <v>9.4917498458453098E-2</v>
      </c>
    </row>
    <row r="1742" spans="1:13" x14ac:dyDescent="0.45">
      <c r="A1742" t="s">
        <v>916</v>
      </c>
      <c r="B1742" s="18">
        <v>9.32</v>
      </c>
      <c r="C1742" s="18">
        <v>10.01</v>
      </c>
      <c r="D1742" s="18">
        <v>9.7899999999999991</v>
      </c>
      <c r="E1742" s="18">
        <v>8.68</v>
      </c>
      <c r="F1742" s="18">
        <v>11.87</v>
      </c>
      <c r="G1742" s="18">
        <v>10.084199999999999</v>
      </c>
      <c r="H1742" s="18">
        <v>10.39785</v>
      </c>
      <c r="I1742" s="8">
        <v>-6.8931068931068928E-2</v>
      </c>
      <c r="J1742" s="8">
        <v>-4.8008171603677097E-2</v>
      </c>
      <c r="K1742" s="8">
        <v>7.3732718894009341E-2</v>
      </c>
      <c r="L1742" s="8">
        <v>-0.21482729570345399</v>
      </c>
      <c r="M1742" s="18">
        <v>-0.25803381734419067</v>
      </c>
    </row>
    <row r="1743" spans="1:13" x14ac:dyDescent="0.45">
      <c r="A1743" t="s">
        <v>1538</v>
      </c>
      <c r="B1743" s="18">
        <v>18.5</v>
      </c>
      <c r="C1743" s="18">
        <v>18.98</v>
      </c>
      <c r="D1743" s="18">
        <v>18.05</v>
      </c>
      <c r="E1743" s="18">
        <v>17.23</v>
      </c>
      <c r="F1743" s="18">
        <v>20.5</v>
      </c>
      <c r="G1743" s="18">
        <v>18.488683999999999</v>
      </c>
      <c r="H1743" s="18">
        <v>18.133618500000001</v>
      </c>
      <c r="I1743" s="8">
        <v>-2.5289778714436269E-2</v>
      </c>
      <c r="J1743" s="8">
        <v>2.4930747922437661E-2</v>
      </c>
      <c r="K1743" s="8">
        <v>7.3708647707486863E-2</v>
      </c>
      <c r="L1743" s="8">
        <v>-9.7560975609756073E-2</v>
      </c>
      <c r="M1743" s="18">
        <v>-2.421135869426783E-2</v>
      </c>
    </row>
    <row r="1744" spans="1:13" x14ac:dyDescent="0.45">
      <c r="A1744" t="s">
        <v>1643</v>
      </c>
      <c r="B1744" s="18">
        <v>13.13</v>
      </c>
      <c r="C1744" s="18">
        <v>14.4</v>
      </c>
      <c r="D1744" s="18">
        <v>16.5</v>
      </c>
      <c r="E1744" s="18">
        <v>12.23</v>
      </c>
      <c r="F1744" s="18">
        <v>20.05</v>
      </c>
      <c r="G1744" s="18">
        <v>14.411</v>
      </c>
      <c r="H1744" s="18">
        <v>14.79285</v>
      </c>
      <c r="I1744" s="8">
        <v>-8.8194444444444464E-2</v>
      </c>
      <c r="J1744" s="8">
        <v>-0.2042424242424242</v>
      </c>
      <c r="K1744" s="8">
        <v>7.3589533932951756E-2</v>
      </c>
      <c r="L1744" s="8">
        <v>-0.34513715710723192</v>
      </c>
      <c r="M1744" s="18">
        <v>-0.56398449186114885</v>
      </c>
    </row>
    <row r="1745" spans="1:13" x14ac:dyDescent="0.45">
      <c r="A1745" t="s">
        <v>486</v>
      </c>
      <c r="B1745" s="18">
        <v>68</v>
      </c>
      <c r="C1745" s="18">
        <v>68.260000000000005</v>
      </c>
      <c r="D1745" s="18">
        <v>63.28</v>
      </c>
      <c r="E1745" s="18">
        <v>63.34</v>
      </c>
      <c r="F1745" s="18">
        <v>62.53</v>
      </c>
      <c r="G1745" s="18">
        <v>68.335399999999993</v>
      </c>
      <c r="H1745" s="18">
        <v>65.324750000000009</v>
      </c>
      <c r="I1745" s="8">
        <v>-3.8089657193085551E-3</v>
      </c>
      <c r="J1745" s="8">
        <v>7.4589127686472745E-2</v>
      </c>
      <c r="K1745" s="8">
        <v>7.3571203031259857E-2</v>
      </c>
      <c r="L1745" s="8">
        <v>8.7478010554933539E-2</v>
      </c>
      <c r="M1745" s="18">
        <v>0.23182937555335759</v>
      </c>
    </row>
    <row r="1746" spans="1:13" x14ac:dyDescent="0.45">
      <c r="A1746" t="s">
        <v>1075</v>
      </c>
      <c r="B1746" s="18">
        <v>12.27</v>
      </c>
      <c r="C1746" s="18">
        <v>12.6</v>
      </c>
      <c r="D1746" s="18">
        <v>12.16</v>
      </c>
      <c r="E1746" s="18">
        <v>11.43</v>
      </c>
      <c r="F1746" s="18">
        <v>12.98</v>
      </c>
      <c r="G1746" s="18">
        <v>12.339</v>
      </c>
      <c r="H1746" s="18">
        <v>12.32925</v>
      </c>
      <c r="I1746" s="8">
        <v>-2.6190476190476208E-2</v>
      </c>
      <c r="J1746" s="8">
        <v>9.0460526315789824E-3</v>
      </c>
      <c r="K1746" s="8">
        <v>7.3490813648293907E-2</v>
      </c>
      <c r="L1746" s="8">
        <v>-5.4699537750385267E-2</v>
      </c>
      <c r="M1746" s="18">
        <v>1.6468523390114061E-3</v>
      </c>
    </row>
    <row r="1747" spans="1:13" x14ac:dyDescent="0.45">
      <c r="A1747" t="s">
        <v>2092</v>
      </c>
      <c r="B1747" s="18">
        <v>281.25</v>
      </c>
      <c r="C1747" s="18">
        <v>293.07</v>
      </c>
      <c r="D1747" s="18">
        <v>332.56</v>
      </c>
      <c r="E1747" s="18">
        <v>262.08</v>
      </c>
      <c r="F1747" s="18">
        <v>281.38</v>
      </c>
      <c r="G1747" s="18">
        <v>288.20960000000002</v>
      </c>
      <c r="H1747" s="18">
        <v>292.5942</v>
      </c>
      <c r="I1747" s="8">
        <v>-4.0331661377827843E-2</v>
      </c>
      <c r="J1747" s="8">
        <v>-0.15428794803945159</v>
      </c>
      <c r="K1747" s="8">
        <v>7.3145604395604469E-2</v>
      </c>
      <c r="L1747" s="8">
        <v>-4.620086715473315E-4</v>
      </c>
      <c r="M1747" s="18">
        <v>-0.12193601369322229</v>
      </c>
    </row>
    <row r="1748" spans="1:13" x14ac:dyDescent="0.45">
      <c r="A1748" t="s">
        <v>1019</v>
      </c>
      <c r="B1748" s="18">
        <v>7.64</v>
      </c>
      <c r="C1748" s="18">
        <v>7.85</v>
      </c>
      <c r="D1748" s="18">
        <v>9.0399999999999991</v>
      </c>
      <c r="E1748" s="18">
        <v>7.12</v>
      </c>
      <c r="F1748" s="18">
        <v>7.46</v>
      </c>
      <c r="G1748" s="18">
        <v>8.1375999999999991</v>
      </c>
      <c r="H1748" s="18">
        <v>8.3886000000000003</v>
      </c>
      <c r="I1748" s="8">
        <v>-2.6751592356687889E-2</v>
      </c>
      <c r="J1748" s="8">
        <v>-0.15486725663716799</v>
      </c>
      <c r="K1748" s="8">
        <v>7.3033707865168385E-2</v>
      </c>
      <c r="L1748" s="8">
        <v>2.4128686327077761E-2</v>
      </c>
      <c r="M1748" s="18">
        <v>-8.4456454801609793E-2</v>
      </c>
    </row>
    <row r="1749" spans="1:13" x14ac:dyDescent="0.45">
      <c r="A1749" t="s">
        <v>1223</v>
      </c>
      <c r="B1749" s="18">
        <v>26.39</v>
      </c>
      <c r="C1749" s="18">
        <v>26.27</v>
      </c>
      <c r="D1749" s="18">
        <v>26.09</v>
      </c>
      <c r="E1749" s="18">
        <v>24.6</v>
      </c>
      <c r="F1749" s="18">
        <v>26.95</v>
      </c>
      <c r="G1749" s="18">
        <v>26.599076</v>
      </c>
      <c r="H1749" s="18">
        <v>26.162443499999998</v>
      </c>
      <c r="I1749" s="8">
        <v>4.5679482299201268E-3</v>
      </c>
      <c r="J1749" s="8">
        <v>1.149865848984288E-2</v>
      </c>
      <c r="K1749" s="8">
        <v>7.2764227642276413E-2</v>
      </c>
      <c r="L1749" s="8">
        <v>-2.077922077922079E-2</v>
      </c>
      <c r="M1749" s="18">
        <v>6.8051613582818637E-2</v>
      </c>
    </row>
    <row r="1750" spans="1:13" x14ac:dyDescent="0.45">
      <c r="A1750" t="s">
        <v>1752</v>
      </c>
      <c r="B1750" s="18">
        <v>16.32</v>
      </c>
      <c r="C1750" s="18">
        <v>16.22</v>
      </c>
      <c r="D1750" s="18">
        <v>15.72</v>
      </c>
      <c r="E1750" s="18">
        <v>15.22</v>
      </c>
      <c r="F1750" s="18">
        <v>16.46</v>
      </c>
      <c r="G1750" s="18">
        <v>15.9999</v>
      </c>
      <c r="H1750" s="18">
        <v>15.70495</v>
      </c>
      <c r="I1750" s="8">
        <v>6.1652281134403353E-3</v>
      </c>
      <c r="J1750" s="8">
        <v>3.8167938931297662E-2</v>
      </c>
      <c r="K1750" s="8">
        <v>7.2273324572930342E-2</v>
      </c>
      <c r="L1750" s="8">
        <v>-8.5054678007290274E-3</v>
      </c>
      <c r="M1750" s="18">
        <v>0.1081010238169393</v>
      </c>
    </row>
    <row r="1751" spans="1:13" x14ac:dyDescent="0.45">
      <c r="A1751" t="s">
        <v>2377</v>
      </c>
      <c r="B1751" s="18">
        <v>32.36</v>
      </c>
      <c r="C1751" s="18">
        <v>34.229999999999997</v>
      </c>
      <c r="D1751" s="18">
        <v>35.799999999999997</v>
      </c>
      <c r="E1751" s="18">
        <v>30.18</v>
      </c>
      <c r="F1751" s="18">
        <v>24.16</v>
      </c>
      <c r="G1751" s="18">
        <v>34.311400000000013</v>
      </c>
      <c r="H1751" s="18">
        <v>33.442100000000003</v>
      </c>
      <c r="I1751" s="8">
        <v>-5.4630441133508567E-2</v>
      </c>
      <c r="J1751" s="8">
        <v>-9.6089385474860234E-2</v>
      </c>
      <c r="K1751" s="8">
        <v>7.2233267064280904E-2</v>
      </c>
      <c r="L1751" s="8">
        <v>0.33940397350993368</v>
      </c>
      <c r="M1751" s="18">
        <v>0.26091741396584578</v>
      </c>
    </row>
    <row r="1752" spans="1:13" x14ac:dyDescent="0.45">
      <c r="A1752" t="s">
        <v>1637</v>
      </c>
      <c r="B1752" s="18">
        <v>6.39</v>
      </c>
      <c r="C1752" s="18">
        <v>6.44</v>
      </c>
      <c r="D1752" s="18">
        <v>6.37</v>
      </c>
      <c r="E1752" s="18">
        <v>5.96</v>
      </c>
      <c r="F1752" s="18">
        <v>6.5</v>
      </c>
      <c r="G1752" s="18">
        <v>6.3997339999999996</v>
      </c>
      <c r="H1752" s="18">
        <v>6.3082364999999996</v>
      </c>
      <c r="I1752" s="8">
        <v>-7.763975155279601E-3</v>
      </c>
      <c r="J1752" s="8">
        <v>3.1397174254317321E-3</v>
      </c>
      <c r="K1752" s="8">
        <v>7.2147651006711389E-2</v>
      </c>
      <c r="L1752" s="8">
        <v>-1.692307692307693E-2</v>
      </c>
      <c r="M1752" s="18">
        <v>5.060031635378659E-2</v>
      </c>
    </row>
    <row r="1753" spans="1:13" x14ac:dyDescent="0.45">
      <c r="A1753" t="s">
        <v>778</v>
      </c>
      <c r="B1753" s="18">
        <v>10.44</v>
      </c>
      <c r="C1753" s="18">
        <v>10.23</v>
      </c>
      <c r="D1753" s="18">
        <v>9.9700000000000006</v>
      </c>
      <c r="E1753" s="18">
        <v>9.74</v>
      </c>
      <c r="F1753" s="18">
        <v>11.17</v>
      </c>
      <c r="G1753" s="18">
        <v>10.118</v>
      </c>
      <c r="H1753" s="18">
        <v>10.214975000000001</v>
      </c>
      <c r="I1753" s="8">
        <v>2.0527859237536639E-2</v>
      </c>
      <c r="J1753" s="8">
        <v>4.7141424272818311E-2</v>
      </c>
      <c r="K1753" s="8">
        <v>7.186858316221767E-2</v>
      </c>
      <c r="L1753" s="8">
        <v>-6.5353625783348246E-2</v>
      </c>
      <c r="M1753" s="18">
        <v>7.4184240889224373E-2</v>
      </c>
    </row>
    <row r="1754" spans="1:13" x14ac:dyDescent="0.45">
      <c r="A1754" t="s">
        <v>601</v>
      </c>
      <c r="B1754" s="18">
        <v>2.84</v>
      </c>
      <c r="C1754" s="18">
        <v>2.81</v>
      </c>
      <c r="D1754" s="18">
        <v>3</v>
      </c>
      <c r="E1754" s="18">
        <v>2.65</v>
      </c>
      <c r="F1754" s="18">
        <v>4.4000000000000004</v>
      </c>
      <c r="G1754" s="18">
        <v>2.8879999999999999</v>
      </c>
      <c r="H1754" s="18">
        <v>3.1067</v>
      </c>
      <c r="I1754" s="8">
        <v>1.067615658362975E-2</v>
      </c>
      <c r="J1754" s="8">
        <v>-5.3333333333333337E-2</v>
      </c>
      <c r="K1754" s="8">
        <v>7.1698113207547154E-2</v>
      </c>
      <c r="L1754" s="8">
        <v>-0.35454545454545461</v>
      </c>
      <c r="M1754" s="18">
        <v>-0.32550451808761099</v>
      </c>
    </row>
    <row r="1755" spans="1:13" x14ac:dyDescent="0.45">
      <c r="A1755" t="s">
        <v>1588</v>
      </c>
      <c r="B1755" s="18">
        <v>6.28</v>
      </c>
      <c r="C1755" s="18">
        <v>6.1</v>
      </c>
      <c r="D1755" s="18">
        <v>5.93</v>
      </c>
      <c r="E1755" s="18">
        <v>5.86</v>
      </c>
      <c r="F1755" s="18">
        <v>6.5</v>
      </c>
      <c r="G1755" s="18">
        <v>6.0423999999999998</v>
      </c>
      <c r="H1755" s="18">
        <v>6.0026500000000009</v>
      </c>
      <c r="I1755" s="8">
        <v>2.9508196721311549E-2</v>
      </c>
      <c r="J1755" s="8">
        <v>5.9021922428330598E-2</v>
      </c>
      <c r="K1755" s="8">
        <v>7.1672354948805417E-2</v>
      </c>
      <c r="L1755" s="8">
        <v>-3.3846153846153859E-2</v>
      </c>
      <c r="M1755" s="18">
        <v>0.12635632025229371</v>
      </c>
    </row>
    <row r="1756" spans="1:13" x14ac:dyDescent="0.45">
      <c r="A1756" t="s">
        <v>847</v>
      </c>
      <c r="B1756" s="18">
        <v>18.399999999999999</v>
      </c>
      <c r="C1756" s="18">
        <v>19.87</v>
      </c>
      <c r="D1756" s="18">
        <v>20.12</v>
      </c>
      <c r="E1756" s="18">
        <v>17.170000000000002</v>
      </c>
      <c r="F1756" s="18">
        <v>18.11</v>
      </c>
      <c r="G1756" s="18">
        <v>19.078600000000002</v>
      </c>
      <c r="H1756" s="18">
        <v>19.122900000000001</v>
      </c>
      <c r="I1756" s="8">
        <v>-7.3980875691998071E-2</v>
      </c>
      <c r="J1756" s="8">
        <v>-8.5487077534791345E-2</v>
      </c>
      <c r="K1756" s="8">
        <v>7.1636575422247883E-2</v>
      </c>
      <c r="L1756" s="8">
        <v>1.6013252346769761E-2</v>
      </c>
      <c r="M1756" s="18">
        <v>-7.1818125457771775E-2</v>
      </c>
    </row>
    <row r="1757" spans="1:13" x14ac:dyDescent="0.45">
      <c r="A1757" t="s">
        <v>1203</v>
      </c>
      <c r="B1757" s="18">
        <v>52.01</v>
      </c>
      <c r="C1757" s="18">
        <v>58.75</v>
      </c>
      <c r="D1757" s="18">
        <v>54.84</v>
      </c>
      <c r="E1757" s="18">
        <v>48.55</v>
      </c>
      <c r="F1757" s="18">
        <v>86.84</v>
      </c>
      <c r="G1757" s="18">
        <v>56.7714</v>
      </c>
      <c r="H1757" s="18">
        <v>58.75535</v>
      </c>
      <c r="I1757" s="8">
        <v>-0.1147234042553191</v>
      </c>
      <c r="J1757" s="8">
        <v>-5.1604668125455937E-2</v>
      </c>
      <c r="K1757" s="8">
        <v>7.1266735324407859E-2</v>
      </c>
      <c r="L1757" s="8">
        <v>-0.4010824504836481</v>
      </c>
      <c r="M1757" s="18">
        <v>-0.49614378754001531</v>
      </c>
    </row>
    <row r="1758" spans="1:13" x14ac:dyDescent="0.45">
      <c r="A1758" t="s">
        <v>1648</v>
      </c>
      <c r="B1758" s="18">
        <v>9.17</v>
      </c>
      <c r="C1758" s="18">
        <v>10.199999999999999</v>
      </c>
      <c r="D1758" s="18">
        <v>9.48</v>
      </c>
      <c r="E1758" s="18">
        <v>8.56</v>
      </c>
      <c r="F1758" s="18">
        <v>12.22</v>
      </c>
      <c r="G1758" s="18">
        <v>9.686399999999999</v>
      </c>
      <c r="H1758" s="18">
        <v>9.8507999999999996</v>
      </c>
      <c r="I1758" s="8">
        <v>-0.10098039215686271</v>
      </c>
      <c r="J1758" s="8">
        <v>-3.270042194092837E-2</v>
      </c>
      <c r="K1758" s="8">
        <v>7.1261682242990565E-2</v>
      </c>
      <c r="L1758" s="8">
        <v>-0.24959083469721779</v>
      </c>
      <c r="M1758" s="18">
        <v>-0.31200996655201829</v>
      </c>
    </row>
    <row r="1759" spans="1:13" x14ac:dyDescent="0.45">
      <c r="A1759" t="s">
        <v>771</v>
      </c>
      <c r="B1759" s="18">
        <v>11.32</v>
      </c>
      <c r="C1759" s="18">
        <v>11.13</v>
      </c>
      <c r="D1759" s="18">
        <v>10.89</v>
      </c>
      <c r="E1759" s="18">
        <v>10.57</v>
      </c>
      <c r="F1759" s="18">
        <v>12.94</v>
      </c>
      <c r="G1759" s="18">
        <v>11.002840000000001</v>
      </c>
      <c r="H1759" s="18">
        <v>11.0756815</v>
      </c>
      <c r="I1759" s="8">
        <v>1.707097933513024E-2</v>
      </c>
      <c r="J1759" s="8">
        <v>3.9485766758494023E-2</v>
      </c>
      <c r="K1759" s="8">
        <v>7.0955534531693454E-2</v>
      </c>
      <c r="L1759" s="8">
        <v>-0.1251931993817619</v>
      </c>
      <c r="M1759" s="18">
        <v>2.3190812435558432E-3</v>
      </c>
    </row>
    <row r="1760" spans="1:13" x14ac:dyDescent="0.45">
      <c r="A1760" t="s">
        <v>1834</v>
      </c>
      <c r="B1760" s="18">
        <v>14.34</v>
      </c>
      <c r="C1760" s="18">
        <v>14.05</v>
      </c>
      <c r="D1760" s="18">
        <v>13.75</v>
      </c>
      <c r="E1760" s="18">
        <v>13.39</v>
      </c>
      <c r="F1760" s="18">
        <v>14.25</v>
      </c>
      <c r="G1760" s="18">
        <v>13.887639999999999</v>
      </c>
      <c r="H1760" s="18">
        <v>13.723183000000001</v>
      </c>
      <c r="I1760" s="8">
        <v>2.064056939501779E-2</v>
      </c>
      <c r="J1760" s="8">
        <v>4.2909090909091008E-2</v>
      </c>
      <c r="K1760" s="8">
        <v>7.0948469006721471E-2</v>
      </c>
      <c r="L1760" s="8">
        <v>6.3157894736842746E-3</v>
      </c>
      <c r="M1760" s="18">
        <v>0.14081391878451449</v>
      </c>
    </row>
    <row r="1761" spans="1:13" x14ac:dyDescent="0.45">
      <c r="A1761" t="s">
        <v>2165</v>
      </c>
      <c r="B1761" s="18">
        <v>13.01</v>
      </c>
      <c r="C1761" s="18">
        <v>14.98</v>
      </c>
      <c r="D1761" s="18">
        <v>1.61</v>
      </c>
      <c r="E1761" s="18">
        <v>12.15</v>
      </c>
      <c r="F1761" s="18">
        <v>92.57</v>
      </c>
      <c r="G1761" s="18">
        <v>13.550800000000001</v>
      </c>
      <c r="H1761" s="18">
        <v>19.054300000000001</v>
      </c>
      <c r="I1761" s="8">
        <v>-0.1315086782376502</v>
      </c>
      <c r="J1761" s="8">
        <v>7.0807453416149064</v>
      </c>
      <c r="K1761" s="8">
        <v>7.0781893004115082E-2</v>
      </c>
      <c r="L1761" s="8">
        <v>-0.85945770768067409</v>
      </c>
      <c r="M1761" s="18">
        <v>6.1605608487006966</v>
      </c>
    </row>
    <row r="1762" spans="1:13" x14ac:dyDescent="0.45">
      <c r="A1762" t="s">
        <v>746</v>
      </c>
      <c r="B1762" s="18">
        <v>12.01</v>
      </c>
      <c r="C1762" s="18">
        <v>12.44</v>
      </c>
      <c r="D1762" s="18">
        <v>12.49</v>
      </c>
      <c r="E1762" s="18">
        <v>11.22</v>
      </c>
      <c r="F1762" s="18">
        <v>12.75</v>
      </c>
      <c r="G1762" s="18">
        <v>12.348800000000001</v>
      </c>
      <c r="H1762" s="18">
        <v>12.3847</v>
      </c>
      <c r="I1762" s="8">
        <v>-3.4565916398713759E-2</v>
      </c>
      <c r="J1762" s="8">
        <v>-3.8430744595676518E-2</v>
      </c>
      <c r="K1762" s="8">
        <v>7.0409982174687968E-2</v>
      </c>
      <c r="L1762" s="8">
        <v>-5.803921568627457E-2</v>
      </c>
      <c r="M1762" s="18">
        <v>-6.0625894505976892E-2</v>
      </c>
    </row>
    <row r="1763" spans="1:13" x14ac:dyDescent="0.45">
      <c r="A1763" t="s">
        <v>761</v>
      </c>
      <c r="B1763" s="18">
        <v>17.07</v>
      </c>
      <c r="C1763" s="18">
        <v>17.64</v>
      </c>
      <c r="D1763" s="18">
        <v>16.59</v>
      </c>
      <c r="E1763" s="18">
        <v>15.96</v>
      </c>
      <c r="F1763" s="18">
        <v>19.690000000000001</v>
      </c>
      <c r="G1763" s="18">
        <v>17.252782</v>
      </c>
      <c r="H1763" s="18">
        <v>17.111945500000001</v>
      </c>
      <c r="I1763" s="8">
        <v>-3.2312925170068008E-2</v>
      </c>
      <c r="J1763" s="8">
        <v>2.893309222423146E-2</v>
      </c>
      <c r="K1763" s="8">
        <v>6.9548872180451138E-2</v>
      </c>
      <c r="L1763" s="8">
        <v>-0.13306246825799911</v>
      </c>
      <c r="M1763" s="18">
        <v>-6.6893429023384465E-2</v>
      </c>
    </row>
    <row r="1764" spans="1:13" x14ac:dyDescent="0.45">
      <c r="A1764" t="s">
        <v>1657</v>
      </c>
      <c r="B1764" s="18">
        <v>21.92</v>
      </c>
      <c r="C1764" s="18">
        <v>22.3</v>
      </c>
      <c r="D1764" s="18">
        <v>21.14</v>
      </c>
      <c r="E1764" s="18">
        <v>20.5</v>
      </c>
      <c r="F1764" s="18">
        <v>24.8</v>
      </c>
      <c r="G1764" s="18">
        <v>22.003356</v>
      </c>
      <c r="H1764" s="18">
        <v>21.630952000000001</v>
      </c>
      <c r="I1764" s="8">
        <v>-1.7040358744394579E-2</v>
      </c>
      <c r="J1764" s="8">
        <v>3.6896877956480667E-2</v>
      </c>
      <c r="K1764" s="8">
        <v>6.9268292682926891E-2</v>
      </c>
      <c r="L1764" s="8">
        <v>-0.11612903225806449</v>
      </c>
      <c r="M1764" s="18">
        <v>-2.7004220363051501E-2</v>
      </c>
    </row>
    <row r="1765" spans="1:13" x14ac:dyDescent="0.45">
      <c r="A1765" t="s">
        <v>1943</v>
      </c>
      <c r="B1765" s="18">
        <v>18.336400000000001</v>
      </c>
      <c r="C1765" s="18">
        <v>18.3</v>
      </c>
      <c r="D1765" s="18">
        <v>17.95</v>
      </c>
      <c r="E1765" s="18">
        <v>17.149999999999999</v>
      </c>
      <c r="F1765" s="18">
        <v>20.8</v>
      </c>
      <c r="G1765" s="18">
        <v>18.128399999999999</v>
      </c>
      <c r="H1765" s="18">
        <v>17.850280000000001</v>
      </c>
      <c r="I1765" s="8">
        <v>1.9890710382512999E-3</v>
      </c>
      <c r="J1765" s="8">
        <v>2.1526462395543341E-2</v>
      </c>
      <c r="K1765" s="8">
        <v>6.917784256559778E-2</v>
      </c>
      <c r="L1765" s="8">
        <v>-0.11844230769230769</v>
      </c>
      <c r="M1765" s="18">
        <v>-2.5748931692915259E-2</v>
      </c>
    </row>
    <row r="1766" spans="1:13" x14ac:dyDescent="0.45">
      <c r="A1766" t="s">
        <v>1660</v>
      </c>
      <c r="B1766" s="18">
        <v>24.75</v>
      </c>
      <c r="C1766" s="18">
        <v>24.85</v>
      </c>
      <c r="D1766" s="18">
        <v>24.43</v>
      </c>
      <c r="E1766" s="18">
        <v>23.15</v>
      </c>
      <c r="F1766" s="18">
        <v>25.94</v>
      </c>
      <c r="G1766" s="18">
        <v>24.825009999999999</v>
      </c>
      <c r="H1766" s="18">
        <v>24.3238825</v>
      </c>
      <c r="I1766" s="8">
        <v>-4.0241448692153181E-3</v>
      </c>
      <c r="J1766" s="8">
        <v>1.309864920180104E-2</v>
      </c>
      <c r="K1766" s="8">
        <v>6.9114470842332576E-2</v>
      </c>
      <c r="L1766" s="8">
        <v>-4.5875096376252977E-2</v>
      </c>
      <c r="M1766" s="18">
        <v>3.2313878798665319E-2</v>
      </c>
    </row>
    <row r="1767" spans="1:13" x14ac:dyDescent="0.45">
      <c r="A1767" t="s">
        <v>1702</v>
      </c>
      <c r="B1767" s="18">
        <v>11.61</v>
      </c>
      <c r="C1767" s="18">
        <v>11.49</v>
      </c>
      <c r="D1767" s="18">
        <v>11.1</v>
      </c>
      <c r="E1767" s="18">
        <v>10.86</v>
      </c>
      <c r="F1767" s="18">
        <v>13.08</v>
      </c>
      <c r="G1767" s="18">
        <v>11.321400000000001</v>
      </c>
      <c r="H1767" s="18">
        <v>11.3751</v>
      </c>
      <c r="I1767" s="8">
        <v>1.044386422976484E-2</v>
      </c>
      <c r="J1767" s="8">
        <v>4.5945945945945921E-2</v>
      </c>
      <c r="K1767" s="8">
        <v>6.9060773480662974E-2</v>
      </c>
      <c r="L1767" s="8">
        <v>-0.11238532110091751</v>
      </c>
      <c r="M1767" s="18">
        <v>1.306526255545626E-2</v>
      </c>
    </row>
    <row r="1768" spans="1:13" x14ac:dyDescent="0.45">
      <c r="A1768" t="s">
        <v>491</v>
      </c>
      <c r="B1768" s="18">
        <v>31.43</v>
      </c>
      <c r="C1768" s="18">
        <v>33.119999999999997</v>
      </c>
      <c r="D1768" s="18">
        <v>33.630000000000003</v>
      </c>
      <c r="E1768" s="18">
        <v>29.41</v>
      </c>
      <c r="F1768" s="18">
        <v>32.42</v>
      </c>
      <c r="G1768" s="18">
        <v>32.825600000000001</v>
      </c>
      <c r="H1768" s="18">
        <v>31.786100000000001</v>
      </c>
      <c r="I1768" s="8">
        <v>-5.1026570048309128E-2</v>
      </c>
      <c r="J1768" s="8">
        <v>-6.5417781742491909E-2</v>
      </c>
      <c r="K1768" s="8">
        <v>6.8684121047262847E-2</v>
      </c>
      <c r="L1768" s="8">
        <v>-3.0536705737199351E-2</v>
      </c>
      <c r="M1768" s="18">
        <v>-7.8296936480737545E-2</v>
      </c>
    </row>
    <row r="1769" spans="1:13" x14ac:dyDescent="0.45">
      <c r="A1769" t="s">
        <v>1209</v>
      </c>
      <c r="B1769" s="18">
        <v>163.35</v>
      </c>
      <c r="C1769" s="18">
        <v>167.17</v>
      </c>
      <c r="D1769" s="18">
        <v>164.55</v>
      </c>
      <c r="E1769" s="18">
        <v>152.87</v>
      </c>
      <c r="F1769" s="18">
        <v>225.4</v>
      </c>
      <c r="G1769" s="18">
        <v>165.2774</v>
      </c>
      <c r="H1769" s="18">
        <v>170.23365000000001</v>
      </c>
      <c r="I1769" s="8">
        <v>-2.2850990010169211E-2</v>
      </c>
      <c r="J1769" s="8">
        <v>-7.2926162260712468E-3</v>
      </c>
      <c r="K1769" s="8">
        <v>6.8554981356708344E-2</v>
      </c>
      <c r="L1769" s="8">
        <v>-0.27528837622005331</v>
      </c>
      <c r="M1769" s="18">
        <v>-0.2368770010995854</v>
      </c>
    </row>
    <row r="1770" spans="1:13" x14ac:dyDescent="0.45">
      <c r="A1770" t="s">
        <v>1500</v>
      </c>
      <c r="B1770" s="18">
        <v>8.1199999999999992</v>
      </c>
      <c r="C1770" s="18">
        <v>8.41</v>
      </c>
      <c r="D1770" s="18">
        <v>8.56</v>
      </c>
      <c r="E1770" s="18">
        <v>7.6</v>
      </c>
      <c r="F1770" s="18">
        <v>8.92</v>
      </c>
      <c r="G1770" s="18">
        <v>8.3458000000000006</v>
      </c>
      <c r="H1770" s="18">
        <v>8.3988499999999995</v>
      </c>
      <c r="I1770" s="8">
        <v>-3.4482758620689717E-2</v>
      </c>
      <c r="J1770" s="8">
        <v>-5.1401869158878677E-2</v>
      </c>
      <c r="K1770" s="8">
        <v>6.8421052631578938E-2</v>
      </c>
      <c r="L1770" s="8">
        <v>-8.9686098654708557E-2</v>
      </c>
      <c r="M1770" s="18">
        <v>-0.10714967380269801</v>
      </c>
    </row>
    <row r="1771" spans="1:13" x14ac:dyDescent="0.45">
      <c r="A1771" t="s">
        <v>1804</v>
      </c>
      <c r="B1771" s="18">
        <v>10.95</v>
      </c>
      <c r="C1771" s="18">
        <v>11.1</v>
      </c>
      <c r="D1771" s="18">
        <v>10.38</v>
      </c>
      <c r="E1771" s="18">
        <v>10.25</v>
      </c>
      <c r="F1771" s="18">
        <v>10.8</v>
      </c>
      <c r="G1771" s="18">
        <v>10.983449999999999</v>
      </c>
      <c r="H1771" s="18">
        <v>10.857642500000001</v>
      </c>
      <c r="I1771" s="8">
        <v>-1.3513513513513599E-2</v>
      </c>
      <c r="J1771" s="8">
        <v>5.4913294797687813E-2</v>
      </c>
      <c r="K1771" s="8">
        <v>6.8292682926829107E-2</v>
      </c>
      <c r="L1771" s="8">
        <v>1.388888888888884E-2</v>
      </c>
      <c r="M1771" s="18">
        <v>0.1235813530998922</v>
      </c>
    </row>
    <row r="1772" spans="1:13" x14ac:dyDescent="0.45">
      <c r="A1772" t="s">
        <v>1283</v>
      </c>
      <c r="B1772" s="18">
        <v>15.66</v>
      </c>
      <c r="C1772" s="18">
        <v>15.76</v>
      </c>
      <c r="D1772" s="18">
        <v>15.28</v>
      </c>
      <c r="E1772" s="18">
        <v>14.66</v>
      </c>
      <c r="F1772" s="18">
        <v>17.29</v>
      </c>
      <c r="G1772" s="18">
        <v>15.43488</v>
      </c>
      <c r="H1772" s="18">
        <v>15.278115</v>
      </c>
      <c r="I1772" s="8">
        <v>-6.345177664974555E-3</v>
      </c>
      <c r="J1772" s="8">
        <v>2.486910994764413E-2</v>
      </c>
      <c r="K1772" s="8">
        <v>6.8212824010914108E-2</v>
      </c>
      <c r="L1772" s="8">
        <v>-9.4274146905725775E-2</v>
      </c>
      <c r="M1772" s="18">
        <v>-7.5373906121420919E-3</v>
      </c>
    </row>
    <row r="1773" spans="1:13" x14ac:dyDescent="0.45">
      <c r="A1773" t="s">
        <v>1757</v>
      </c>
      <c r="B1773" s="18">
        <v>8.9499999999999993</v>
      </c>
      <c r="C1773" s="18">
        <v>8.65</v>
      </c>
      <c r="D1773" s="18">
        <v>8.6</v>
      </c>
      <c r="E1773" s="18">
        <v>8.3800000000000008</v>
      </c>
      <c r="F1773" s="18">
        <v>9.09</v>
      </c>
      <c r="G1773" s="18">
        <v>8.6418339999999993</v>
      </c>
      <c r="H1773" s="18">
        <v>8.5523034999999989</v>
      </c>
      <c r="I1773" s="8">
        <v>3.4682080924855363E-2</v>
      </c>
      <c r="J1773" s="8">
        <v>4.0697674418604501E-2</v>
      </c>
      <c r="K1773" s="8">
        <v>6.8019093078758752E-2</v>
      </c>
      <c r="L1773" s="8">
        <v>-1.540154015401551E-2</v>
      </c>
      <c r="M1773" s="18">
        <v>0.1279973082682031</v>
      </c>
    </row>
    <row r="1774" spans="1:13" x14ac:dyDescent="0.45">
      <c r="A1774" t="s">
        <v>154</v>
      </c>
      <c r="B1774" s="18">
        <v>96.79</v>
      </c>
      <c r="C1774" s="18">
        <v>108.09</v>
      </c>
      <c r="D1774" s="18">
        <v>103.86</v>
      </c>
      <c r="E1774" s="18">
        <v>90.64</v>
      </c>
      <c r="F1774" s="18">
        <v>84.54</v>
      </c>
      <c r="G1774" s="18">
        <v>102.3798</v>
      </c>
      <c r="H1774" s="18">
        <v>101.2063</v>
      </c>
      <c r="I1774" s="8">
        <v>-0.1045425108705708</v>
      </c>
      <c r="J1774" s="8">
        <v>-6.807240516079327E-2</v>
      </c>
      <c r="K1774" s="8">
        <v>6.7850838481906539E-2</v>
      </c>
      <c r="L1774" s="8">
        <v>0.1449018216229003</v>
      </c>
      <c r="M1774" s="18">
        <v>4.0137744073442838E-2</v>
      </c>
    </row>
    <row r="1775" spans="1:13" x14ac:dyDescent="0.45">
      <c r="A1775" t="s">
        <v>650</v>
      </c>
      <c r="B1775" s="18">
        <v>24.96</v>
      </c>
      <c r="C1775" s="18">
        <v>24.81</v>
      </c>
      <c r="D1775" s="18">
        <v>24.47</v>
      </c>
      <c r="E1775" s="18">
        <v>23.38</v>
      </c>
      <c r="F1775" s="18">
        <v>24.779699999999998</v>
      </c>
      <c r="G1775" s="18">
        <v>24.803768000000002</v>
      </c>
      <c r="H1775" s="18">
        <v>24.43854</v>
      </c>
      <c r="I1775" s="8">
        <v>6.0459492140267912E-3</v>
      </c>
      <c r="J1775" s="8">
        <v>2.002451982018805E-2</v>
      </c>
      <c r="K1775" s="8">
        <v>6.7579127459367117E-2</v>
      </c>
      <c r="L1775" s="8">
        <v>7.2761171442754513E-3</v>
      </c>
      <c r="M1775" s="18">
        <v>0.10092571363785741</v>
      </c>
    </row>
    <row r="1776" spans="1:13" x14ac:dyDescent="0.45">
      <c r="A1776" t="s">
        <v>936</v>
      </c>
      <c r="B1776" s="18">
        <v>23.71</v>
      </c>
      <c r="C1776" s="18">
        <v>24.14</v>
      </c>
      <c r="D1776" s="18">
        <v>22.59</v>
      </c>
      <c r="E1776" s="18">
        <v>22.21</v>
      </c>
      <c r="F1776" s="18">
        <v>24.7</v>
      </c>
      <c r="G1776" s="18">
        <v>23.716007999999999</v>
      </c>
      <c r="H1776" s="18">
        <v>22.969769500000002</v>
      </c>
      <c r="I1776" s="8">
        <v>-1.7812758906379459E-2</v>
      </c>
      <c r="J1776" s="8">
        <v>4.9579459938025712E-2</v>
      </c>
      <c r="K1776" s="8">
        <v>6.7537145429986456E-2</v>
      </c>
      <c r="L1776" s="8">
        <v>-4.0080971659918967E-2</v>
      </c>
      <c r="M1776" s="18">
        <v>5.9222874801713732E-2</v>
      </c>
    </row>
    <row r="1777" spans="1:13" x14ac:dyDescent="0.45">
      <c r="A1777" t="s">
        <v>567</v>
      </c>
      <c r="B1777" s="18">
        <v>82.49</v>
      </c>
      <c r="C1777" s="18">
        <v>82.05</v>
      </c>
      <c r="D1777" s="18">
        <v>83.22</v>
      </c>
      <c r="E1777" s="18">
        <v>77.31</v>
      </c>
      <c r="F1777" s="18">
        <v>82.82</v>
      </c>
      <c r="G1777" s="18">
        <v>82.808799999999991</v>
      </c>
      <c r="H1777" s="18">
        <v>85.957250000000002</v>
      </c>
      <c r="I1777" s="8">
        <v>5.3625837903716889E-3</v>
      </c>
      <c r="J1777" s="8">
        <v>-8.7719298245614308E-3</v>
      </c>
      <c r="K1777" s="8">
        <v>6.7002975035570955E-2</v>
      </c>
      <c r="L1777" s="8">
        <v>-3.9845447959430116E-3</v>
      </c>
      <c r="M1777" s="18">
        <v>5.9609084205438201E-2</v>
      </c>
    </row>
    <row r="1778" spans="1:13" x14ac:dyDescent="0.45">
      <c r="A1778" t="s">
        <v>1192</v>
      </c>
      <c r="B1778" s="18">
        <v>11.21</v>
      </c>
      <c r="C1778" s="18">
        <v>11.41</v>
      </c>
      <c r="D1778" s="18">
        <v>11.21</v>
      </c>
      <c r="E1778" s="18">
        <v>10.5114</v>
      </c>
      <c r="F1778" s="18">
        <v>11.3317</v>
      </c>
      <c r="G1778" s="18">
        <v>11.269696</v>
      </c>
      <c r="H1778" s="18">
        <v>11.0246485</v>
      </c>
      <c r="I1778" s="8">
        <v>-1.752848378615246E-2</v>
      </c>
      <c r="J1778" s="8">
        <v>0</v>
      </c>
      <c r="K1778" s="8">
        <v>6.6461175485663215E-2</v>
      </c>
      <c r="L1778" s="8">
        <v>-1.0739783086385899E-2</v>
      </c>
      <c r="M1778" s="18">
        <v>3.8192908613124847E-2</v>
      </c>
    </row>
    <row r="1779" spans="1:13" x14ac:dyDescent="0.45">
      <c r="A1779" t="s">
        <v>1741</v>
      </c>
      <c r="B1779" s="18">
        <v>10.64</v>
      </c>
      <c r="C1779" s="18">
        <v>10.42</v>
      </c>
      <c r="D1779" s="18">
        <v>10.01</v>
      </c>
      <c r="E1779" s="18">
        <v>9.98</v>
      </c>
      <c r="F1779" s="18">
        <v>11.46</v>
      </c>
      <c r="G1779" s="18">
        <v>10.271599999999999</v>
      </c>
      <c r="H1779" s="18">
        <v>10.304650000000001</v>
      </c>
      <c r="I1779" s="8">
        <v>2.11132437619963E-2</v>
      </c>
      <c r="J1779" s="8">
        <v>6.2937062937062915E-2</v>
      </c>
      <c r="K1779" s="8">
        <v>6.6132264529058071E-2</v>
      </c>
      <c r="L1779" s="8">
        <v>-7.1553228621291431E-2</v>
      </c>
      <c r="M1779" s="18">
        <v>7.8629342606825858E-2</v>
      </c>
    </row>
    <row r="1780" spans="1:13" x14ac:dyDescent="0.45">
      <c r="A1780" t="s">
        <v>1338</v>
      </c>
      <c r="B1780" s="18">
        <v>15.02</v>
      </c>
      <c r="C1780" s="18">
        <v>15.14</v>
      </c>
      <c r="D1780" s="18">
        <v>15.08</v>
      </c>
      <c r="E1780" s="18">
        <v>14.09</v>
      </c>
      <c r="F1780" s="18">
        <v>15.93</v>
      </c>
      <c r="G1780" s="18">
        <v>14.962</v>
      </c>
      <c r="H1780" s="18">
        <v>15.028499999999999</v>
      </c>
      <c r="I1780" s="8">
        <v>-7.9260237780713894E-3</v>
      </c>
      <c r="J1780" s="8">
        <v>-3.9787798408488229E-3</v>
      </c>
      <c r="K1780" s="8">
        <v>6.6004258339247723E-2</v>
      </c>
      <c r="L1780" s="8">
        <v>-5.7124921531701227E-2</v>
      </c>
      <c r="M1780" s="18">
        <v>-3.0254668113737231E-3</v>
      </c>
    </row>
    <row r="1781" spans="1:13" x14ac:dyDescent="0.45">
      <c r="A1781" t="s">
        <v>1727</v>
      </c>
      <c r="B1781" s="18">
        <v>10.83</v>
      </c>
      <c r="C1781" s="18">
        <v>10.64</v>
      </c>
      <c r="D1781" s="18">
        <v>10.35</v>
      </c>
      <c r="E1781" s="18">
        <v>10.16</v>
      </c>
      <c r="F1781" s="18">
        <v>11.51</v>
      </c>
      <c r="G1781" s="18">
        <v>10.4848</v>
      </c>
      <c r="H1781" s="18">
        <v>10.539652999999999</v>
      </c>
      <c r="I1781" s="8">
        <v>1.785714285714279E-2</v>
      </c>
      <c r="J1781" s="8">
        <v>4.6376811594202927E-2</v>
      </c>
      <c r="K1781" s="8">
        <v>6.5944881889763662E-2</v>
      </c>
      <c r="L1781" s="8">
        <v>-5.9079061685490819E-2</v>
      </c>
      <c r="M1781" s="18">
        <v>7.1099774655618564E-2</v>
      </c>
    </row>
    <row r="1782" spans="1:13" x14ac:dyDescent="0.45">
      <c r="A1782" t="s">
        <v>1974</v>
      </c>
      <c r="B1782" s="18">
        <v>7.93</v>
      </c>
      <c r="C1782" s="18">
        <v>7.46</v>
      </c>
      <c r="D1782" s="18">
        <v>7.43</v>
      </c>
      <c r="E1782" s="18">
        <v>7.44</v>
      </c>
      <c r="F1782" s="18">
        <v>9.34</v>
      </c>
      <c r="G1782" s="18">
        <v>7.4554000000000009</v>
      </c>
      <c r="H1782" s="18">
        <v>7.7510499999999993</v>
      </c>
      <c r="I1782" s="8">
        <v>6.3002680965147384E-2</v>
      </c>
      <c r="J1782" s="8">
        <v>6.7294751009421283E-2</v>
      </c>
      <c r="K1782" s="8">
        <v>6.5860215053763271E-2</v>
      </c>
      <c r="L1782" s="8">
        <v>-0.15096359743040691</v>
      </c>
      <c r="M1782" s="18">
        <v>4.5194049597925057E-2</v>
      </c>
    </row>
    <row r="1783" spans="1:13" x14ac:dyDescent="0.45">
      <c r="A1783" t="s">
        <v>21</v>
      </c>
      <c r="B1783" s="18">
        <v>87.21</v>
      </c>
      <c r="C1783" s="18">
        <v>91.45</v>
      </c>
      <c r="D1783" s="18">
        <v>95.45</v>
      </c>
      <c r="E1783" s="18">
        <v>81.84</v>
      </c>
      <c r="F1783" s="18">
        <v>78.010000000000005</v>
      </c>
      <c r="G1783" s="18">
        <v>90.644199999999998</v>
      </c>
      <c r="H1783" s="18">
        <v>87.613549999999989</v>
      </c>
      <c r="I1783" s="8">
        <v>-4.6364133406233021E-2</v>
      </c>
      <c r="J1783" s="8">
        <v>-8.6327920377160861E-2</v>
      </c>
      <c r="K1783" s="8">
        <v>6.561583577712593E-2</v>
      </c>
      <c r="L1783" s="8">
        <v>0.1179335982566336</v>
      </c>
      <c r="M1783" s="18">
        <v>5.085738025036568E-2</v>
      </c>
    </row>
    <row r="1784" spans="1:13" x14ac:dyDescent="0.45">
      <c r="A1784" t="s">
        <v>725</v>
      </c>
      <c r="B1784" s="18">
        <v>3.9</v>
      </c>
      <c r="C1784" s="18">
        <v>4.28</v>
      </c>
      <c r="D1784" s="18">
        <v>4.3</v>
      </c>
      <c r="E1784" s="18">
        <v>3.66</v>
      </c>
      <c r="F1784" s="18">
        <v>5.73</v>
      </c>
      <c r="G1784" s="18">
        <v>4.1879999999999997</v>
      </c>
      <c r="H1784" s="18">
        <v>4.4584000000000001</v>
      </c>
      <c r="I1784" s="8">
        <v>-8.8785046728972028E-2</v>
      </c>
      <c r="J1784" s="8">
        <v>-9.3023255813953432E-2</v>
      </c>
      <c r="K1784" s="8">
        <v>6.5573770491803129E-2</v>
      </c>
      <c r="L1784" s="8">
        <v>-0.31937172774869121</v>
      </c>
      <c r="M1784" s="18">
        <v>-0.43560625979981349</v>
      </c>
    </row>
    <row r="1785" spans="1:13" x14ac:dyDescent="0.45">
      <c r="A1785" t="s">
        <v>1961</v>
      </c>
      <c r="B1785" s="18">
        <v>3.42</v>
      </c>
      <c r="C1785" s="18">
        <v>3.46</v>
      </c>
      <c r="D1785" s="18">
        <v>3.35</v>
      </c>
      <c r="E1785" s="18">
        <v>3.21</v>
      </c>
      <c r="F1785" s="18">
        <v>3.3854000000000002</v>
      </c>
      <c r="G1785" s="18">
        <v>3.3878840000000001</v>
      </c>
      <c r="H1785" s="18">
        <v>3.3239755</v>
      </c>
      <c r="I1785" s="8">
        <v>-1.156069364161849E-2</v>
      </c>
      <c r="J1785" s="8">
        <v>2.0895522388059581E-2</v>
      </c>
      <c r="K1785" s="8">
        <v>6.5420560747663448E-2</v>
      </c>
      <c r="L1785" s="8">
        <v>1.0220358007916319E-2</v>
      </c>
      <c r="M1785" s="18">
        <v>8.497574750202086E-2</v>
      </c>
    </row>
    <row r="1786" spans="1:13" x14ac:dyDescent="0.45">
      <c r="A1786" t="s">
        <v>1663</v>
      </c>
      <c r="B1786" s="18">
        <v>11.76</v>
      </c>
      <c r="C1786" s="18">
        <v>11.47</v>
      </c>
      <c r="D1786" s="18">
        <v>11.21</v>
      </c>
      <c r="E1786" s="18">
        <v>11.04</v>
      </c>
      <c r="F1786" s="18">
        <v>12.7</v>
      </c>
      <c r="G1786" s="18">
        <v>11.3986</v>
      </c>
      <c r="H1786" s="18">
        <v>11.494788</v>
      </c>
      <c r="I1786" s="8">
        <v>2.5283347863992889E-2</v>
      </c>
      <c r="J1786" s="8">
        <v>4.9063336306868877E-2</v>
      </c>
      <c r="K1786" s="8">
        <v>6.5217391304347894E-2</v>
      </c>
      <c r="L1786" s="8">
        <v>-7.401574803149602E-2</v>
      </c>
      <c r="M1786" s="18">
        <v>6.5548327443713639E-2</v>
      </c>
    </row>
    <row r="1787" spans="1:13" x14ac:dyDescent="0.45">
      <c r="A1787" t="s">
        <v>1179</v>
      </c>
      <c r="B1787" s="18">
        <v>16.670000000000002</v>
      </c>
      <c r="C1787" s="18">
        <v>17.170000000000002</v>
      </c>
      <c r="D1787" s="18">
        <v>17.440000000000001</v>
      </c>
      <c r="E1787" s="18">
        <v>15.65</v>
      </c>
      <c r="F1787" s="18">
        <v>16.3</v>
      </c>
      <c r="G1787" s="18">
        <v>17.396599999999999</v>
      </c>
      <c r="H1787" s="18">
        <v>18.133749999999999</v>
      </c>
      <c r="I1787" s="8">
        <v>-2.912055911473499E-2</v>
      </c>
      <c r="J1787" s="8">
        <v>-4.415137614678899E-2</v>
      </c>
      <c r="K1787" s="8">
        <v>6.5175718849840303E-2</v>
      </c>
      <c r="L1787" s="8">
        <v>2.2699386503067579E-2</v>
      </c>
      <c r="M1787" s="18">
        <v>1.4603170091383901E-2</v>
      </c>
    </row>
    <row r="1788" spans="1:13" x14ac:dyDescent="0.45">
      <c r="A1788" t="s">
        <v>502</v>
      </c>
      <c r="B1788" s="18">
        <v>327.64999999999998</v>
      </c>
      <c r="C1788" s="18">
        <v>300.52</v>
      </c>
      <c r="D1788" s="18">
        <v>353.28</v>
      </c>
      <c r="E1788" s="18">
        <v>307.70999999999998</v>
      </c>
      <c r="F1788" s="18">
        <v>352.51</v>
      </c>
      <c r="G1788" s="18">
        <v>298.14780000000002</v>
      </c>
      <c r="H1788" s="18">
        <v>343.83864999999997</v>
      </c>
      <c r="I1788" s="8">
        <v>9.027685345401304E-2</v>
      </c>
      <c r="J1788" s="8">
        <v>-7.2548686594202882E-2</v>
      </c>
      <c r="K1788" s="8">
        <v>6.480127392674917E-2</v>
      </c>
      <c r="L1788" s="8">
        <v>-7.0522822047601519E-2</v>
      </c>
      <c r="M1788" s="18">
        <v>1.200661873895781E-2</v>
      </c>
    </row>
    <row r="1789" spans="1:13" x14ac:dyDescent="0.45">
      <c r="A1789" t="s">
        <v>1325</v>
      </c>
      <c r="B1789" s="18">
        <v>87.59</v>
      </c>
      <c r="C1789" s="18">
        <v>90.91</v>
      </c>
      <c r="D1789" s="18">
        <v>106.55</v>
      </c>
      <c r="E1789" s="18">
        <v>82.27</v>
      </c>
      <c r="F1789" s="18">
        <v>130.97999999999999</v>
      </c>
      <c r="G1789" s="18">
        <v>87.950199999999981</v>
      </c>
      <c r="H1789" s="18">
        <v>107.0412</v>
      </c>
      <c r="I1789" s="8">
        <v>-3.6519634803651828E-2</v>
      </c>
      <c r="J1789" s="8">
        <v>-0.17794462693571089</v>
      </c>
      <c r="K1789" s="8">
        <v>6.4665127020785418E-2</v>
      </c>
      <c r="L1789" s="8">
        <v>-0.33127194991601761</v>
      </c>
      <c r="M1789" s="18">
        <v>-0.48107108463459491</v>
      </c>
    </row>
    <row r="1790" spans="1:13" x14ac:dyDescent="0.45">
      <c r="A1790" t="s">
        <v>1920</v>
      </c>
      <c r="B1790" s="18">
        <v>12.2</v>
      </c>
      <c r="C1790" s="18">
        <v>12.33</v>
      </c>
      <c r="D1790" s="18">
        <v>12.83</v>
      </c>
      <c r="E1790" s="18">
        <v>11.46</v>
      </c>
      <c r="F1790" s="18">
        <v>15.19</v>
      </c>
      <c r="G1790" s="18">
        <v>12.515599999999999</v>
      </c>
      <c r="H1790" s="18">
        <v>12.7569</v>
      </c>
      <c r="I1790" s="8">
        <v>-1.054339010543393E-2</v>
      </c>
      <c r="J1790" s="8">
        <v>-4.9103663289166037E-2</v>
      </c>
      <c r="K1790" s="8">
        <v>6.4572425828970159E-2</v>
      </c>
      <c r="L1790" s="8">
        <v>-0.1968400263331139</v>
      </c>
      <c r="M1790" s="18">
        <v>-0.19191465389874371</v>
      </c>
    </row>
    <row r="1791" spans="1:13" x14ac:dyDescent="0.45">
      <c r="A1791" t="s">
        <v>2440</v>
      </c>
      <c r="B1791" s="18">
        <v>10.42</v>
      </c>
      <c r="C1791" s="18">
        <v>10.199999999999999</v>
      </c>
      <c r="D1791" s="18">
        <v>10.1</v>
      </c>
      <c r="E1791" s="18">
        <v>9.7899999999999991</v>
      </c>
      <c r="F1791" s="18">
        <v>11.26</v>
      </c>
      <c r="G1791" s="18">
        <v>10.16764</v>
      </c>
      <c r="H1791" s="18">
        <v>10.1276115</v>
      </c>
      <c r="I1791" s="8">
        <v>2.1568627450980541E-2</v>
      </c>
      <c r="J1791" s="8">
        <v>3.1683168316831711E-2</v>
      </c>
      <c r="K1791" s="8">
        <v>6.4351378958120709E-2</v>
      </c>
      <c r="L1791" s="8">
        <v>-7.4600355239786809E-2</v>
      </c>
      <c r="M1791" s="18">
        <v>4.3002819486146149E-2</v>
      </c>
    </row>
    <row r="1792" spans="1:13" x14ac:dyDescent="0.45">
      <c r="A1792" t="s">
        <v>2480</v>
      </c>
      <c r="B1792" s="18">
        <v>8.94</v>
      </c>
      <c r="C1792" s="18">
        <v>8.8800000000000008</v>
      </c>
      <c r="D1792" s="18">
        <v>8.7899999999999991</v>
      </c>
      <c r="E1792" s="18">
        <v>8.4</v>
      </c>
      <c r="F1792" s="18">
        <v>8.82</v>
      </c>
      <c r="G1792" s="18">
        <v>8.8778000000000006</v>
      </c>
      <c r="H1792" s="18">
        <v>8.6721500000000002</v>
      </c>
      <c r="I1792" s="8">
        <v>6.7567567567565767E-3</v>
      </c>
      <c r="J1792" s="8">
        <v>1.7064846416382281E-2</v>
      </c>
      <c r="K1792" s="8">
        <v>6.4285714285714279E-2</v>
      </c>
      <c r="L1792" s="8">
        <v>1.360544217687076E-2</v>
      </c>
      <c r="M1792" s="18">
        <v>0.1017127596357239</v>
      </c>
    </row>
    <row r="1793" spans="1:13" x14ac:dyDescent="0.45">
      <c r="A1793" t="s">
        <v>2129</v>
      </c>
      <c r="B1793" s="18">
        <v>7.96</v>
      </c>
      <c r="C1793" s="18">
        <v>7.78</v>
      </c>
      <c r="D1793" s="18">
        <v>7.66</v>
      </c>
      <c r="E1793" s="18">
        <v>7.48</v>
      </c>
      <c r="F1793" s="18">
        <v>8.15</v>
      </c>
      <c r="G1793" s="18">
        <v>7.7546939999999998</v>
      </c>
      <c r="H1793" s="18">
        <v>7.6926100000000011</v>
      </c>
      <c r="I1793" s="8">
        <v>2.313624678663229E-2</v>
      </c>
      <c r="J1793" s="8">
        <v>3.9164490861618877E-2</v>
      </c>
      <c r="K1793" s="8">
        <v>6.4171122994652441E-2</v>
      </c>
      <c r="L1793" s="8">
        <v>-2.331288343558291E-2</v>
      </c>
      <c r="M1793" s="18">
        <v>0.1031589772073207</v>
      </c>
    </row>
    <row r="1794" spans="1:13" x14ac:dyDescent="0.45">
      <c r="A1794" t="s">
        <v>1160</v>
      </c>
      <c r="B1794" s="18">
        <v>16.79</v>
      </c>
      <c r="C1794" s="18">
        <v>16.57</v>
      </c>
      <c r="D1794" s="18">
        <v>16.309999999999999</v>
      </c>
      <c r="E1794" s="18">
        <v>15.79</v>
      </c>
      <c r="F1794" s="18">
        <v>17.760000000000002</v>
      </c>
      <c r="G1794" s="18">
        <v>16.437100000000001</v>
      </c>
      <c r="H1794" s="18">
        <v>16.490218500000001</v>
      </c>
      <c r="I1794" s="8">
        <v>1.3277006638503289E-2</v>
      </c>
      <c r="J1794" s="8">
        <v>2.9429797670140981E-2</v>
      </c>
      <c r="K1794" s="8">
        <v>6.3331222292590361E-2</v>
      </c>
      <c r="L1794" s="8">
        <v>-5.4617117117117253E-2</v>
      </c>
      <c r="M1794" s="18">
        <v>5.1420909484117372E-2</v>
      </c>
    </row>
    <row r="1795" spans="1:13" x14ac:dyDescent="0.45">
      <c r="A1795" t="s">
        <v>1791</v>
      </c>
      <c r="B1795" s="18">
        <v>10.08</v>
      </c>
      <c r="C1795" s="18">
        <v>9.7850000000000001</v>
      </c>
      <c r="D1795" s="18">
        <v>10.050000000000001</v>
      </c>
      <c r="E1795" s="18">
        <v>9.48</v>
      </c>
      <c r="F1795" s="18">
        <v>10.01</v>
      </c>
      <c r="G1795" s="18">
        <v>9.83657</v>
      </c>
      <c r="H1795" s="18">
        <v>9.7980684999999994</v>
      </c>
      <c r="I1795" s="8">
        <v>3.0148185998978061E-2</v>
      </c>
      <c r="J1795" s="8">
        <v>2.985074626865591E-3</v>
      </c>
      <c r="K1795" s="8">
        <v>6.3291139240506222E-2</v>
      </c>
      <c r="L1795" s="8">
        <v>6.9930069930070893E-3</v>
      </c>
      <c r="M1795" s="18">
        <v>0.10341740685935701</v>
      </c>
    </row>
    <row r="1796" spans="1:13" x14ac:dyDescent="0.45">
      <c r="A1796" t="s">
        <v>434</v>
      </c>
      <c r="B1796" s="18">
        <v>33.97</v>
      </c>
      <c r="C1796" s="18">
        <v>35.78</v>
      </c>
      <c r="D1796" s="18">
        <v>36.65</v>
      </c>
      <c r="E1796" s="18">
        <v>31.95</v>
      </c>
      <c r="F1796" s="18">
        <v>45.46</v>
      </c>
      <c r="G1796" s="18">
        <v>34.514800000000001</v>
      </c>
      <c r="H1796" s="18">
        <v>36.71555</v>
      </c>
      <c r="I1796" s="8">
        <v>-5.0586920067076657E-2</v>
      </c>
      <c r="J1796" s="8">
        <v>-7.3124147339699852E-2</v>
      </c>
      <c r="K1796" s="8">
        <v>6.322378716744903E-2</v>
      </c>
      <c r="L1796" s="8">
        <v>-0.25274967003959531</v>
      </c>
      <c r="M1796" s="18">
        <v>-0.31323695027892268</v>
      </c>
    </row>
    <row r="1797" spans="1:13" x14ac:dyDescent="0.45">
      <c r="A1797" t="s">
        <v>1269</v>
      </c>
      <c r="B1797" s="18">
        <v>14.32</v>
      </c>
      <c r="C1797" s="18">
        <v>14.74</v>
      </c>
      <c r="D1797" s="18">
        <v>14.63</v>
      </c>
      <c r="E1797" s="18">
        <v>13.47</v>
      </c>
      <c r="F1797" s="18">
        <v>15</v>
      </c>
      <c r="G1797" s="18">
        <v>14.585000000000001</v>
      </c>
      <c r="H1797" s="18">
        <v>14.457535</v>
      </c>
      <c r="I1797" s="8">
        <v>-2.8493894165535941E-2</v>
      </c>
      <c r="J1797" s="8">
        <v>-2.118933697881065E-2</v>
      </c>
      <c r="K1797" s="8">
        <v>6.3103192279138742E-2</v>
      </c>
      <c r="L1797" s="8">
        <v>-4.5333333333333337E-2</v>
      </c>
      <c r="M1797" s="18">
        <v>-3.1913372198541179E-2</v>
      </c>
    </row>
    <row r="1798" spans="1:13" x14ac:dyDescent="0.45">
      <c r="A1798" t="s">
        <v>1258</v>
      </c>
      <c r="B1798" s="18">
        <v>10.48</v>
      </c>
      <c r="C1798" s="18">
        <v>10.71</v>
      </c>
      <c r="D1798" s="18">
        <v>11.1</v>
      </c>
      <c r="E1798" s="18">
        <v>9.86</v>
      </c>
      <c r="F1798" s="18">
        <v>10.74</v>
      </c>
      <c r="G1798" s="18">
        <v>10.806800000000001</v>
      </c>
      <c r="H1798" s="18">
        <v>11.06535</v>
      </c>
      <c r="I1798" s="8">
        <v>-2.1475256769374451E-2</v>
      </c>
      <c r="J1798" s="8">
        <v>-5.585585585585584E-2</v>
      </c>
      <c r="K1798" s="8">
        <v>6.2880324543610699E-2</v>
      </c>
      <c r="L1798" s="8">
        <v>-2.4208566108007479E-2</v>
      </c>
      <c r="M1798" s="18">
        <v>-3.8659354189627071E-2</v>
      </c>
    </row>
    <row r="1799" spans="1:13" x14ac:dyDescent="0.45">
      <c r="A1799" t="s">
        <v>1990</v>
      </c>
      <c r="B1799" s="18">
        <v>25.56</v>
      </c>
      <c r="C1799" s="18">
        <v>25.74</v>
      </c>
      <c r="D1799" s="18">
        <v>25.56</v>
      </c>
      <c r="E1799" s="18">
        <v>24.05</v>
      </c>
      <c r="F1799" s="18">
        <v>26.47</v>
      </c>
      <c r="G1799" s="18">
        <v>25.636900000000001</v>
      </c>
      <c r="H1799" s="18">
        <v>25.130315</v>
      </c>
      <c r="I1799" s="8">
        <v>-6.9930069930069783E-3</v>
      </c>
      <c r="J1799" s="8">
        <v>0</v>
      </c>
      <c r="K1799" s="8">
        <v>6.2785862785862623E-2</v>
      </c>
      <c r="L1799" s="8">
        <v>-3.4378541745372138E-2</v>
      </c>
      <c r="M1799" s="18">
        <v>2.141431404748351E-2</v>
      </c>
    </row>
    <row r="1800" spans="1:13" x14ac:dyDescent="0.45">
      <c r="A1800" t="s">
        <v>1975</v>
      </c>
      <c r="B1800" s="18">
        <v>6.13</v>
      </c>
      <c r="C1800" s="18">
        <v>6</v>
      </c>
      <c r="D1800" s="18">
        <v>5.94</v>
      </c>
      <c r="E1800" s="18">
        <v>5.77</v>
      </c>
      <c r="F1800" s="18">
        <v>6.42</v>
      </c>
      <c r="G1800" s="18">
        <v>5.9644599999999999</v>
      </c>
      <c r="H1800" s="18">
        <v>6.0165900000000008</v>
      </c>
      <c r="I1800" s="8">
        <v>2.1666666666666719E-2</v>
      </c>
      <c r="J1800" s="8">
        <v>3.1986531986532007E-2</v>
      </c>
      <c r="K1800" s="8">
        <v>6.2391681109185582E-2</v>
      </c>
      <c r="L1800" s="8">
        <v>-4.5171339563862989E-2</v>
      </c>
      <c r="M1800" s="18">
        <v>7.0873540198521323E-2</v>
      </c>
    </row>
    <row r="1801" spans="1:13" x14ac:dyDescent="0.45">
      <c r="A1801" t="s">
        <v>397</v>
      </c>
      <c r="B1801" s="18">
        <v>205.08</v>
      </c>
      <c r="C1801" s="18">
        <v>222.49</v>
      </c>
      <c r="D1801" s="18">
        <v>229.36</v>
      </c>
      <c r="E1801" s="18">
        <v>193.07</v>
      </c>
      <c r="F1801" s="18">
        <v>167.97</v>
      </c>
      <c r="G1801" s="18">
        <v>220.2758</v>
      </c>
      <c r="H1801" s="18">
        <v>223.19659999999999</v>
      </c>
      <c r="I1801" s="8">
        <v>-7.8250707896984073E-2</v>
      </c>
      <c r="J1801" s="8">
        <v>-0.1058597837460761</v>
      </c>
      <c r="K1801" s="8">
        <v>6.2205417724141572E-2</v>
      </c>
      <c r="L1801" s="8">
        <v>0.2209323093409539</v>
      </c>
      <c r="M1801" s="18">
        <v>9.9027235422035287E-2</v>
      </c>
    </row>
    <row r="1802" spans="1:13" x14ac:dyDescent="0.45">
      <c r="A1802" t="s">
        <v>1161</v>
      </c>
      <c r="B1802" s="18">
        <v>39.79</v>
      </c>
      <c r="C1802" s="18">
        <v>41.13</v>
      </c>
      <c r="D1802" s="18">
        <v>38.11</v>
      </c>
      <c r="E1802" s="18">
        <v>37.47</v>
      </c>
      <c r="F1802" s="18">
        <v>42.66</v>
      </c>
      <c r="G1802" s="18">
        <v>41.360799999999998</v>
      </c>
      <c r="H1802" s="18">
        <v>42.195700000000009</v>
      </c>
      <c r="I1802" s="8">
        <v>-3.2579625577437432E-2</v>
      </c>
      <c r="J1802" s="8">
        <v>4.4082917869325611E-2</v>
      </c>
      <c r="K1802" s="8">
        <v>6.1916199626367741E-2</v>
      </c>
      <c r="L1802" s="8">
        <v>-6.7276136896390004E-2</v>
      </c>
      <c r="M1802" s="18">
        <v>6.143355021865915E-3</v>
      </c>
    </row>
    <row r="1803" spans="1:13" x14ac:dyDescent="0.45">
      <c r="A1803" t="s">
        <v>2058</v>
      </c>
      <c r="B1803" s="18">
        <v>14.42</v>
      </c>
      <c r="C1803" s="18">
        <v>14.11</v>
      </c>
      <c r="D1803" s="18">
        <v>14.07</v>
      </c>
      <c r="E1803" s="18">
        <v>13.58</v>
      </c>
      <c r="F1803" s="18">
        <v>16.297899999999998</v>
      </c>
      <c r="G1803" s="18">
        <v>14.097178</v>
      </c>
      <c r="H1803" s="18">
        <v>14.470036</v>
      </c>
      <c r="I1803" s="8">
        <v>2.197023387668318E-2</v>
      </c>
      <c r="J1803" s="8">
        <v>2.4875621890547261E-2</v>
      </c>
      <c r="K1803" s="8">
        <v>6.1855670103092793E-2</v>
      </c>
      <c r="L1803" s="8">
        <v>-0.1152234336939114</v>
      </c>
      <c r="M1803" s="18">
        <v>-6.5219078235881911E-3</v>
      </c>
    </row>
    <row r="1804" spans="1:13" x14ac:dyDescent="0.45">
      <c r="A1804" t="s">
        <v>1002</v>
      </c>
      <c r="B1804" s="18">
        <v>22.85</v>
      </c>
      <c r="C1804" s="18">
        <v>22.51</v>
      </c>
      <c r="D1804" s="18">
        <v>22.6</v>
      </c>
      <c r="E1804" s="18">
        <v>21.52</v>
      </c>
      <c r="F1804" s="18">
        <v>23.44</v>
      </c>
      <c r="G1804" s="18">
        <v>22.490600000000001</v>
      </c>
      <c r="H1804" s="18">
        <v>23.182500000000001</v>
      </c>
      <c r="I1804" s="8">
        <v>1.5104398045313159E-2</v>
      </c>
      <c r="J1804" s="8">
        <v>1.106194690265494E-2</v>
      </c>
      <c r="K1804" s="8">
        <v>6.1802973977695297E-2</v>
      </c>
      <c r="L1804" s="8">
        <v>-2.517064846416384E-2</v>
      </c>
      <c r="M1804" s="18">
        <v>6.2798670461499562E-2</v>
      </c>
    </row>
    <row r="1805" spans="1:13" x14ac:dyDescent="0.45">
      <c r="A1805" t="s">
        <v>1451</v>
      </c>
      <c r="B1805" s="18">
        <v>14.96</v>
      </c>
      <c r="C1805" s="18">
        <v>15.15</v>
      </c>
      <c r="D1805" s="18">
        <v>16.100000000000001</v>
      </c>
      <c r="E1805" s="18">
        <v>14.09</v>
      </c>
      <c r="F1805" s="18">
        <v>18.63</v>
      </c>
      <c r="G1805" s="18">
        <v>15.146000000000001</v>
      </c>
      <c r="H1805" s="18">
        <v>15.638125</v>
      </c>
      <c r="I1805" s="8">
        <v>-1.2541254125412521E-2</v>
      </c>
      <c r="J1805" s="8">
        <v>-7.0807453416149135E-2</v>
      </c>
      <c r="K1805" s="8">
        <v>6.1745919091554358E-2</v>
      </c>
      <c r="L1805" s="8">
        <v>-0.19699409554482011</v>
      </c>
      <c r="M1805" s="18">
        <v>-0.21859688399482741</v>
      </c>
    </row>
    <row r="1806" spans="1:13" x14ac:dyDescent="0.45">
      <c r="A1806" t="s">
        <v>2132</v>
      </c>
      <c r="B1806" s="18">
        <v>28.25</v>
      </c>
      <c r="C1806" s="18">
        <v>30.45</v>
      </c>
      <c r="D1806" s="18">
        <v>31.13</v>
      </c>
      <c r="E1806" s="18">
        <v>26.61</v>
      </c>
      <c r="F1806" s="18">
        <v>32.4</v>
      </c>
      <c r="G1806" s="18">
        <v>29.7712</v>
      </c>
      <c r="H1806" s="18">
        <v>29.7883</v>
      </c>
      <c r="I1806" s="8">
        <v>-7.2249589490968824E-2</v>
      </c>
      <c r="J1806" s="8">
        <v>-9.2515258592997029E-2</v>
      </c>
      <c r="K1806" s="8">
        <v>6.1630965802329962E-2</v>
      </c>
      <c r="L1806" s="8">
        <v>-0.12808641975308641</v>
      </c>
      <c r="M1806" s="18">
        <v>-0.2312203020347223</v>
      </c>
    </row>
    <row r="1807" spans="1:13" x14ac:dyDescent="0.45">
      <c r="A1807" t="s">
        <v>1191</v>
      </c>
      <c r="B1807" s="18">
        <v>5.52</v>
      </c>
      <c r="C1807" s="18">
        <v>5.55</v>
      </c>
      <c r="D1807" s="18">
        <v>5.69</v>
      </c>
      <c r="E1807" s="18">
        <v>5.2</v>
      </c>
      <c r="F1807" s="18">
        <v>6.2215999999999996</v>
      </c>
      <c r="G1807" s="18">
        <v>5.5387200000000014</v>
      </c>
      <c r="H1807" s="18">
        <v>5.7659339999999997</v>
      </c>
      <c r="I1807" s="8">
        <v>-5.4054054054054612E-3</v>
      </c>
      <c r="J1807" s="8">
        <v>-2.9876977152899942E-2</v>
      </c>
      <c r="K1807" s="8">
        <v>6.153846153846132E-2</v>
      </c>
      <c r="L1807" s="8">
        <v>-0.1127684196991128</v>
      </c>
      <c r="M1807" s="18">
        <v>-8.6512340718956859E-2</v>
      </c>
    </row>
    <row r="1808" spans="1:13" x14ac:dyDescent="0.45">
      <c r="A1808" t="s">
        <v>2206</v>
      </c>
      <c r="B1808" s="18">
        <v>22.95</v>
      </c>
      <c r="C1808" s="18">
        <v>23.4</v>
      </c>
      <c r="D1808" s="18">
        <v>22.21</v>
      </c>
      <c r="E1808" s="18">
        <v>21.62</v>
      </c>
      <c r="F1808" s="18">
        <v>24.71</v>
      </c>
      <c r="G1808" s="18">
        <v>23.187306</v>
      </c>
      <c r="H1808" s="18">
        <v>22.189632499999998</v>
      </c>
      <c r="I1808" s="8">
        <v>-1.9230769230769159E-2</v>
      </c>
      <c r="J1808" s="8">
        <v>3.3318325078793183E-2</v>
      </c>
      <c r="K1808" s="8">
        <v>6.151711378353375E-2</v>
      </c>
      <c r="L1808" s="8">
        <v>-7.122622420072855E-2</v>
      </c>
      <c r="M1808" s="18">
        <v>4.3784454308292142E-3</v>
      </c>
    </row>
    <row r="1809" spans="1:13" x14ac:dyDescent="0.45">
      <c r="A1809" t="s">
        <v>1952</v>
      </c>
      <c r="B1809" s="18">
        <v>10.401999999999999</v>
      </c>
      <c r="C1809" s="18">
        <v>10.53</v>
      </c>
      <c r="D1809" s="18">
        <v>10.45</v>
      </c>
      <c r="E1809" s="18">
        <v>9.8000000000000007</v>
      </c>
      <c r="F1809" s="18">
        <v>10.9</v>
      </c>
      <c r="G1809" s="18">
        <v>10.458492</v>
      </c>
      <c r="H1809" s="18">
        <v>10.3495005</v>
      </c>
      <c r="I1809" s="8">
        <v>-1.215574548907883E-2</v>
      </c>
      <c r="J1809" s="8">
        <v>-4.5933014354067048E-3</v>
      </c>
      <c r="K1809" s="8">
        <v>6.1428571428571173E-2</v>
      </c>
      <c r="L1809" s="8">
        <v>-4.5688073394495543E-2</v>
      </c>
      <c r="M1809" s="18">
        <v>-1.00854889040991E-3</v>
      </c>
    </row>
    <row r="1810" spans="1:13" x14ac:dyDescent="0.45">
      <c r="A1810" t="s">
        <v>2263</v>
      </c>
      <c r="B1810" s="18">
        <v>9</v>
      </c>
      <c r="C1810" s="18">
        <v>9.56</v>
      </c>
      <c r="D1810" s="18">
        <v>8.99</v>
      </c>
      <c r="E1810" s="18">
        <v>8.48</v>
      </c>
      <c r="F1810" s="18">
        <v>10.25</v>
      </c>
      <c r="G1810" s="18">
        <v>9.5638000000000005</v>
      </c>
      <c r="H1810" s="18">
        <v>9.5557499999999997</v>
      </c>
      <c r="I1810" s="8">
        <v>-5.8577405857740628E-2</v>
      </c>
      <c r="J1810" s="8">
        <v>1.112347052280249E-3</v>
      </c>
      <c r="K1810" s="8">
        <v>6.1320754716981167E-2</v>
      </c>
      <c r="L1810" s="8">
        <v>-0.12195121951219511</v>
      </c>
      <c r="M1810" s="18">
        <v>-0.1180955236006743</v>
      </c>
    </row>
    <row r="1811" spans="1:13" x14ac:dyDescent="0.45">
      <c r="A1811" t="s">
        <v>1152</v>
      </c>
      <c r="B1811" s="18">
        <v>23.24</v>
      </c>
      <c r="C1811" s="18">
        <v>23.2</v>
      </c>
      <c r="D1811" s="18">
        <v>22.2</v>
      </c>
      <c r="E1811" s="18">
        <v>21.9</v>
      </c>
      <c r="F1811" s="18">
        <v>24.82</v>
      </c>
      <c r="G1811" s="18">
        <v>22.968385999999999</v>
      </c>
      <c r="H1811" s="18">
        <v>22.339264499999999</v>
      </c>
      <c r="I1811" s="8">
        <v>1.7241379310344309E-3</v>
      </c>
      <c r="J1811" s="8">
        <v>4.6846846846846812E-2</v>
      </c>
      <c r="K1811" s="8">
        <v>6.1187214611872147E-2</v>
      </c>
      <c r="L1811" s="8">
        <v>-6.3658340048348139E-2</v>
      </c>
      <c r="M1811" s="18">
        <v>4.6099859341405258E-2</v>
      </c>
    </row>
    <row r="1812" spans="1:13" x14ac:dyDescent="0.45">
      <c r="A1812" t="s">
        <v>1487</v>
      </c>
      <c r="B1812" s="18">
        <v>27.55</v>
      </c>
      <c r="C1812" s="18">
        <v>29.07</v>
      </c>
      <c r="D1812" s="18">
        <v>27</v>
      </c>
      <c r="E1812" s="18">
        <v>25.97</v>
      </c>
      <c r="F1812" s="18">
        <v>29.47</v>
      </c>
      <c r="G1812" s="18">
        <v>28.724599999999999</v>
      </c>
      <c r="H1812" s="18">
        <v>28.557749999999999</v>
      </c>
      <c r="I1812" s="8">
        <v>-5.2287581699346442E-2</v>
      </c>
      <c r="J1812" s="8">
        <v>2.0370370370370369E-2</v>
      </c>
      <c r="K1812" s="8">
        <v>6.0839430111667481E-2</v>
      </c>
      <c r="L1812" s="8">
        <v>-6.5151001017984322E-2</v>
      </c>
      <c r="M1812" s="18">
        <v>-3.6228782235292911E-2</v>
      </c>
    </row>
    <row r="1813" spans="1:13" x14ac:dyDescent="0.45">
      <c r="A1813" t="s">
        <v>1653</v>
      </c>
      <c r="B1813" s="18">
        <v>5.42</v>
      </c>
      <c r="C1813" s="18">
        <v>5.26</v>
      </c>
      <c r="D1813" s="18">
        <v>5.15</v>
      </c>
      <c r="E1813" s="18">
        <v>5.1100000000000003</v>
      </c>
      <c r="F1813" s="18">
        <v>5.67</v>
      </c>
      <c r="G1813" s="18">
        <v>5.2321859999999996</v>
      </c>
      <c r="H1813" s="18">
        <v>5.2545264999999999</v>
      </c>
      <c r="I1813" s="8">
        <v>3.041825095057038E-2</v>
      </c>
      <c r="J1813" s="8">
        <v>5.242718446601935E-2</v>
      </c>
      <c r="K1813" s="8">
        <v>6.0665362035224879E-2</v>
      </c>
      <c r="L1813" s="8">
        <v>-4.4091710758377478E-2</v>
      </c>
      <c r="M1813" s="18">
        <v>9.9419086693437131E-2</v>
      </c>
    </row>
    <row r="1814" spans="1:13" x14ac:dyDescent="0.45">
      <c r="A1814" t="s">
        <v>2337</v>
      </c>
      <c r="B1814" s="18">
        <v>53.57</v>
      </c>
      <c r="C1814" s="18">
        <v>59.96</v>
      </c>
      <c r="D1814" s="18">
        <v>64.11</v>
      </c>
      <c r="E1814" s="18">
        <v>50.52</v>
      </c>
      <c r="F1814" s="18">
        <v>66.25</v>
      </c>
      <c r="G1814" s="18">
        <v>59.146799999999992</v>
      </c>
      <c r="H1814" s="18">
        <v>60.941600000000008</v>
      </c>
      <c r="I1814" s="8">
        <v>-0.10657104736490999</v>
      </c>
      <c r="J1814" s="8">
        <v>-0.1644049290282327</v>
      </c>
      <c r="K1814" s="8">
        <v>6.0372129849564533E-2</v>
      </c>
      <c r="L1814" s="8">
        <v>-0.19139622641509441</v>
      </c>
      <c r="M1814" s="18">
        <v>-0.40200007295867252</v>
      </c>
    </row>
    <row r="1815" spans="1:13" x14ac:dyDescent="0.45">
      <c r="A1815" t="s">
        <v>1734</v>
      </c>
      <c r="B1815" s="18">
        <v>7.03</v>
      </c>
      <c r="C1815" s="18">
        <v>6.83</v>
      </c>
      <c r="D1815" s="18">
        <v>6.6</v>
      </c>
      <c r="E1815" s="18">
        <v>6.63</v>
      </c>
      <c r="F1815" s="18">
        <v>7.53</v>
      </c>
      <c r="G1815" s="18">
        <v>6.7535999999999996</v>
      </c>
      <c r="H1815" s="18">
        <v>6.8728109999999996</v>
      </c>
      <c r="I1815" s="8">
        <v>2.9282576866764391E-2</v>
      </c>
      <c r="J1815" s="8">
        <v>6.5151515151515182E-2</v>
      </c>
      <c r="K1815" s="8">
        <v>6.0331825037707398E-2</v>
      </c>
      <c r="L1815" s="8">
        <v>-6.6401062416998724E-2</v>
      </c>
      <c r="M1815" s="18">
        <v>8.8364854638988244E-2</v>
      </c>
    </row>
    <row r="1816" spans="1:13" x14ac:dyDescent="0.45">
      <c r="A1816" t="s">
        <v>792</v>
      </c>
      <c r="B1816" s="18">
        <v>15.89</v>
      </c>
      <c r="C1816" s="18">
        <v>15.93</v>
      </c>
      <c r="D1816" s="18">
        <v>15.52</v>
      </c>
      <c r="E1816" s="18">
        <v>14.988</v>
      </c>
      <c r="F1816" s="18">
        <v>17.91</v>
      </c>
      <c r="G1816" s="18">
        <v>15.808278</v>
      </c>
      <c r="H1816" s="18">
        <v>15.665570000000001</v>
      </c>
      <c r="I1816" s="8">
        <v>-2.5109855618329351E-3</v>
      </c>
      <c r="J1816" s="8">
        <v>2.3840206185567151E-2</v>
      </c>
      <c r="K1816" s="8">
        <v>6.0181478516146303E-2</v>
      </c>
      <c r="L1816" s="8">
        <v>-0.11278615298715799</v>
      </c>
      <c r="M1816" s="18">
        <v>-3.1275453847277479E-2</v>
      </c>
    </row>
    <row r="1817" spans="1:13" x14ac:dyDescent="0.45">
      <c r="A1817" t="s">
        <v>1983</v>
      </c>
      <c r="B1817" s="18">
        <v>43.9</v>
      </c>
      <c r="C1817" s="18">
        <v>42.38</v>
      </c>
      <c r="D1817" s="18">
        <v>41.47</v>
      </c>
      <c r="E1817" s="18">
        <v>41.42</v>
      </c>
      <c r="F1817" s="18">
        <v>46.58</v>
      </c>
      <c r="G1817" s="18">
        <v>42.633999999999993</v>
      </c>
      <c r="H1817" s="18">
        <v>42.357600000000012</v>
      </c>
      <c r="I1817" s="8">
        <v>3.5865974516281263E-2</v>
      </c>
      <c r="J1817" s="8">
        <v>5.8596575837955189E-2</v>
      </c>
      <c r="K1817" s="8">
        <v>5.9874456784162262E-2</v>
      </c>
      <c r="L1817" s="8">
        <v>-5.7535422928295388E-2</v>
      </c>
      <c r="M1817" s="18">
        <v>9.680158421010332E-2</v>
      </c>
    </row>
    <row r="1818" spans="1:13" x14ac:dyDescent="0.45">
      <c r="A1818" t="s">
        <v>1305</v>
      </c>
      <c r="B1818" s="18">
        <v>45.92</v>
      </c>
      <c r="C1818" s="18">
        <v>47.83</v>
      </c>
      <c r="D1818" s="18">
        <v>47.35</v>
      </c>
      <c r="E1818" s="18">
        <v>43.33</v>
      </c>
      <c r="F1818" s="18">
        <v>40.65</v>
      </c>
      <c r="G1818" s="18">
        <v>48.412000000000013</v>
      </c>
      <c r="H1818" s="18">
        <v>47.494800000000012</v>
      </c>
      <c r="I1818" s="8">
        <v>-3.9933096383023108E-2</v>
      </c>
      <c r="J1818" s="8">
        <v>-3.020063357972547E-2</v>
      </c>
      <c r="K1818" s="8">
        <v>5.97738287560583E-2</v>
      </c>
      <c r="L1818" s="8">
        <v>0.12964329643296441</v>
      </c>
      <c r="M1818" s="18">
        <v>0.1192833952262741</v>
      </c>
    </row>
    <row r="1819" spans="1:13" x14ac:dyDescent="0.45">
      <c r="A1819" t="s">
        <v>570</v>
      </c>
      <c r="B1819" s="18">
        <v>6.75</v>
      </c>
      <c r="C1819" s="18">
        <v>7.24</v>
      </c>
      <c r="D1819" s="18">
        <v>7.04</v>
      </c>
      <c r="E1819" s="18">
        <v>6.37</v>
      </c>
      <c r="F1819" s="18">
        <v>10.84</v>
      </c>
      <c r="G1819" s="18">
        <v>7.0817999999999994</v>
      </c>
      <c r="H1819" s="18">
        <v>7.7614500000000008</v>
      </c>
      <c r="I1819" s="8">
        <v>-6.7679558011049745E-2</v>
      </c>
      <c r="J1819" s="8">
        <v>-4.1193181818181768E-2</v>
      </c>
      <c r="K1819" s="8">
        <v>5.9654631083202458E-2</v>
      </c>
      <c r="L1819" s="8">
        <v>-0.37730627306273062</v>
      </c>
      <c r="M1819" s="18">
        <v>-0.42652438180875962</v>
      </c>
    </row>
    <row r="1820" spans="1:13" x14ac:dyDescent="0.45">
      <c r="A1820" t="s">
        <v>1859</v>
      </c>
      <c r="B1820" s="18">
        <v>133.84</v>
      </c>
      <c r="C1820" s="18">
        <v>149.12</v>
      </c>
      <c r="D1820" s="18">
        <v>150.22999999999999</v>
      </c>
      <c r="E1820" s="18">
        <v>126.32</v>
      </c>
      <c r="F1820" s="18">
        <v>172.01</v>
      </c>
      <c r="G1820" s="18">
        <v>146.71279999999999</v>
      </c>
      <c r="H1820" s="18">
        <v>150.29695000000001</v>
      </c>
      <c r="I1820" s="8">
        <v>-0.1024678111587983</v>
      </c>
      <c r="J1820" s="8">
        <v>-0.10909938094921109</v>
      </c>
      <c r="K1820" s="8">
        <v>5.9531348955034868E-2</v>
      </c>
      <c r="L1820" s="8">
        <v>-0.22190570315679309</v>
      </c>
      <c r="M1820" s="18">
        <v>-0.37394154630976773</v>
      </c>
    </row>
    <row r="1821" spans="1:13" x14ac:dyDescent="0.45">
      <c r="A1821" t="s">
        <v>1658</v>
      </c>
      <c r="B1821" s="18">
        <v>17.98</v>
      </c>
      <c r="C1821" s="18">
        <v>18.57</v>
      </c>
      <c r="D1821" s="18">
        <v>17.64</v>
      </c>
      <c r="E1821" s="18">
        <v>16.97</v>
      </c>
      <c r="F1821" s="18">
        <v>20.46</v>
      </c>
      <c r="G1821" s="18">
        <v>18.173805999999999</v>
      </c>
      <c r="H1821" s="18">
        <v>17.754390999999998</v>
      </c>
      <c r="I1821" s="8">
        <v>-3.1771674744211047E-2</v>
      </c>
      <c r="J1821" s="8">
        <v>1.9274376417233618E-2</v>
      </c>
      <c r="K1821" s="8">
        <v>5.9516794342958201E-2</v>
      </c>
      <c r="L1821" s="8">
        <v>-0.1212121212121212</v>
      </c>
      <c r="M1821" s="18">
        <v>-7.4192625196140449E-2</v>
      </c>
    </row>
    <row r="1822" spans="1:13" x14ac:dyDescent="0.45">
      <c r="A1822" t="s">
        <v>1126</v>
      </c>
      <c r="B1822" s="18">
        <v>8.2100000000000009</v>
      </c>
      <c r="C1822" s="18">
        <v>7.87</v>
      </c>
      <c r="D1822" s="18">
        <v>7.41</v>
      </c>
      <c r="E1822" s="18">
        <v>7.75</v>
      </c>
      <c r="F1822" s="18">
        <v>7.48</v>
      </c>
      <c r="G1822" s="18">
        <v>7.7702</v>
      </c>
      <c r="H1822" s="18">
        <v>8.3359500000000004</v>
      </c>
      <c r="I1822" s="8">
        <v>4.3202033036848997E-2</v>
      </c>
      <c r="J1822" s="8">
        <v>0.10796221322537131</v>
      </c>
      <c r="K1822" s="8">
        <v>5.9354838709677622E-2</v>
      </c>
      <c r="L1822" s="8">
        <v>9.7593582887700592E-2</v>
      </c>
      <c r="M1822" s="18">
        <v>0.30811266785959851</v>
      </c>
    </row>
    <row r="1823" spans="1:13" x14ac:dyDescent="0.45">
      <c r="A1823" t="s">
        <v>2427</v>
      </c>
      <c r="B1823" s="18">
        <v>9.65</v>
      </c>
      <c r="C1823" s="18">
        <v>9.41</v>
      </c>
      <c r="D1823" s="18">
        <v>9.1999999999999993</v>
      </c>
      <c r="E1823" s="18">
        <v>9.11</v>
      </c>
      <c r="F1823" s="18">
        <v>10.24</v>
      </c>
      <c r="G1823" s="18">
        <v>9.3432000000000013</v>
      </c>
      <c r="H1823" s="18">
        <v>9.4526250000000012</v>
      </c>
      <c r="I1823" s="8">
        <v>2.5504782146652531E-2</v>
      </c>
      <c r="J1823" s="8">
        <v>4.8913043478260983E-2</v>
      </c>
      <c r="K1823" s="8">
        <v>5.9275521405049547E-2</v>
      </c>
      <c r="L1823" s="8">
        <v>-5.76171875E-2</v>
      </c>
      <c r="M1823" s="18">
        <v>7.607615952996305E-2</v>
      </c>
    </row>
    <row r="1824" spans="1:13" x14ac:dyDescent="0.45">
      <c r="A1824" t="s">
        <v>631</v>
      </c>
      <c r="B1824" s="18">
        <v>34.15</v>
      </c>
      <c r="C1824" s="18">
        <v>32.18</v>
      </c>
      <c r="D1824" s="18">
        <v>35.85</v>
      </c>
      <c r="E1824" s="18">
        <v>32.24</v>
      </c>
      <c r="F1824" s="18">
        <v>29.99</v>
      </c>
      <c r="G1824" s="18">
        <v>32.616999999999997</v>
      </c>
      <c r="H1824" s="18">
        <v>36.250100000000003</v>
      </c>
      <c r="I1824" s="8">
        <v>6.121814791796143E-2</v>
      </c>
      <c r="J1824" s="8">
        <v>-4.7419804741980598E-2</v>
      </c>
      <c r="K1824" s="8">
        <v>5.924317617866004E-2</v>
      </c>
      <c r="L1824" s="8">
        <v>0.1387129043014339</v>
      </c>
      <c r="M1824" s="18">
        <v>0.2117544236560748</v>
      </c>
    </row>
    <row r="1825" spans="1:13" x14ac:dyDescent="0.45">
      <c r="A1825" t="s">
        <v>1971</v>
      </c>
      <c r="B1825" s="18">
        <v>95.91</v>
      </c>
      <c r="C1825" s="18">
        <v>102.58</v>
      </c>
      <c r="D1825" s="18">
        <v>108.28</v>
      </c>
      <c r="E1825" s="18">
        <v>90.58</v>
      </c>
      <c r="F1825" s="18">
        <v>83.37</v>
      </c>
      <c r="G1825" s="18">
        <v>104.10680000000001</v>
      </c>
      <c r="H1825" s="18">
        <v>102.23505</v>
      </c>
      <c r="I1825" s="8">
        <v>-6.5022421524663643E-2</v>
      </c>
      <c r="J1825" s="8">
        <v>-0.1142408570373107</v>
      </c>
      <c r="K1825" s="8">
        <v>5.8843011702362613E-2</v>
      </c>
      <c r="L1825" s="8">
        <v>0.1504138179201151</v>
      </c>
      <c r="M1825" s="18">
        <v>2.9993551060503391E-2</v>
      </c>
    </row>
    <row r="1826" spans="1:13" x14ac:dyDescent="0.45">
      <c r="A1826" t="s">
        <v>1212</v>
      </c>
      <c r="B1826" s="18">
        <v>9.9</v>
      </c>
      <c r="C1826" s="18">
        <v>9.9600000000000009</v>
      </c>
      <c r="D1826" s="18">
        <v>10.130000000000001</v>
      </c>
      <c r="E1826" s="18">
        <v>9.35</v>
      </c>
      <c r="F1826" s="18">
        <v>10.3</v>
      </c>
      <c r="G1826" s="18">
        <v>10.030659999999999</v>
      </c>
      <c r="H1826" s="18">
        <v>10.08447</v>
      </c>
      <c r="I1826" s="8">
        <v>-6.0240963855422436E-3</v>
      </c>
      <c r="J1826" s="8">
        <v>-2.2704837117472839E-2</v>
      </c>
      <c r="K1826" s="8">
        <v>5.8823529411764719E-2</v>
      </c>
      <c r="L1826" s="8">
        <v>-3.8834951456310662E-2</v>
      </c>
      <c r="M1826" s="18">
        <v>-8.7403555475610295E-3</v>
      </c>
    </row>
    <row r="1827" spans="1:13" x14ac:dyDescent="0.45">
      <c r="A1827" t="s">
        <v>1084</v>
      </c>
      <c r="B1827" s="18">
        <v>22.37</v>
      </c>
      <c r="C1827" s="18">
        <v>22.94</v>
      </c>
      <c r="D1827" s="18">
        <v>21.8</v>
      </c>
      <c r="E1827" s="18">
        <v>21.134599999999999</v>
      </c>
      <c r="F1827" s="18">
        <v>24.79</v>
      </c>
      <c r="G1827" s="18">
        <v>22.747575999999999</v>
      </c>
      <c r="H1827" s="18">
        <v>22.03772</v>
      </c>
      <c r="I1827" s="8">
        <v>-2.484742807323459E-2</v>
      </c>
      <c r="J1827" s="8">
        <v>2.614678899082579E-2</v>
      </c>
      <c r="K1827" s="8">
        <v>5.8453909702573137E-2</v>
      </c>
      <c r="L1827" s="8">
        <v>-9.762000806776916E-2</v>
      </c>
      <c r="M1827" s="18">
        <v>-3.7866737447604833E-2</v>
      </c>
    </row>
    <row r="1828" spans="1:13" x14ac:dyDescent="0.45">
      <c r="A1828" t="s">
        <v>1120</v>
      </c>
      <c r="B1828" s="18">
        <v>11.49</v>
      </c>
      <c r="C1828" s="18">
        <v>11.62</v>
      </c>
      <c r="D1828" s="18">
        <v>12.15</v>
      </c>
      <c r="E1828" s="18">
        <v>10.86</v>
      </c>
      <c r="F1828" s="18">
        <v>12.565</v>
      </c>
      <c r="G1828" s="18">
        <v>11.626258</v>
      </c>
      <c r="H1828" s="18">
        <v>12.134606</v>
      </c>
      <c r="I1828" s="8">
        <v>-1.1187607573149631E-2</v>
      </c>
      <c r="J1828" s="8">
        <v>-5.4320987654321029E-2</v>
      </c>
      <c r="K1828" s="8">
        <v>5.8011049723756918E-2</v>
      </c>
      <c r="L1828" s="8">
        <v>-8.5555113410266559E-2</v>
      </c>
      <c r="M1828" s="18">
        <v>-9.3052658913980291E-2</v>
      </c>
    </row>
    <row r="1829" spans="1:13" x14ac:dyDescent="0.45">
      <c r="A1829" t="s">
        <v>1683</v>
      </c>
      <c r="B1829" s="18">
        <v>15.07</v>
      </c>
      <c r="C1829" s="18">
        <v>15.2</v>
      </c>
      <c r="D1829" s="18">
        <v>14.8</v>
      </c>
      <c r="E1829" s="18">
        <v>14.25</v>
      </c>
      <c r="F1829" s="18">
        <v>16.84</v>
      </c>
      <c r="G1829" s="18">
        <v>14.903</v>
      </c>
      <c r="H1829" s="18">
        <v>14.886035</v>
      </c>
      <c r="I1829" s="8">
        <v>-8.5526315789472562E-3</v>
      </c>
      <c r="J1829" s="8">
        <v>1.8243243243243109E-2</v>
      </c>
      <c r="K1829" s="8">
        <v>5.7543859649122897E-2</v>
      </c>
      <c r="L1829" s="8">
        <v>-0.10510688836104511</v>
      </c>
      <c r="M1829" s="18">
        <v>-3.7872417047626339E-2</v>
      </c>
    </row>
    <row r="1830" spans="1:13" x14ac:dyDescent="0.45">
      <c r="A1830" t="s">
        <v>299</v>
      </c>
      <c r="B1830" s="18">
        <v>298.04000000000002</v>
      </c>
      <c r="C1830" s="18">
        <v>273.02</v>
      </c>
      <c r="D1830" s="18">
        <v>232.18</v>
      </c>
      <c r="E1830" s="18">
        <v>281.95</v>
      </c>
      <c r="F1830" s="18">
        <v>240.03</v>
      </c>
      <c r="G1830" s="18">
        <v>277.05560000000003</v>
      </c>
      <c r="H1830" s="18">
        <v>261.02384999999998</v>
      </c>
      <c r="I1830" s="8">
        <v>9.1641637975240053E-2</v>
      </c>
      <c r="J1830" s="8">
        <v>0.28365922990783021</v>
      </c>
      <c r="K1830" s="8">
        <v>5.7066855825501188E-2</v>
      </c>
      <c r="L1830" s="8">
        <v>0.24167812356788751</v>
      </c>
      <c r="M1830" s="18">
        <v>0.674045847276459</v>
      </c>
    </row>
    <row r="1831" spans="1:13" x14ac:dyDescent="0.45">
      <c r="A1831" t="s">
        <v>1575</v>
      </c>
      <c r="B1831" s="18">
        <v>10.58</v>
      </c>
      <c r="C1831" s="18">
        <v>11.73</v>
      </c>
      <c r="D1831" s="18">
        <v>11.17</v>
      </c>
      <c r="E1831" s="18">
        <v>10.01</v>
      </c>
      <c r="F1831" s="18">
        <v>11.35</v>
      </c>
      <c r="G1831" s="18">
        <v>11.250400000000001</v>
      </c>
      <c r="H1831" s="18">
        <v>11.0572</v>
      </c>
      <c r="I1831" s="8">
        <v>-9.8039215686274495E-2</v>
      </c>
      <c r="J1831" s="8">
        <v>-5.2820053715308853E-2</v>
      </c>
      <c r="K1831" s="8">
        <v>5.6943056943056902E-2</v>
      </c>
      <c r="L1831" s="8">
        <v>-6.7841409691629884E-2</v>
      </c>
      <c r="M1831" s="18">
        <v>-0.16175762215015629</v>
      </c>
    </row>
    <row r="1832" spans="1:13" x14ac:dyDescent="0.45">
      <c r="A1832" t="s">
        <v>1852</v>
      </c>
      <c r="B1832" s="18">
        <v>14.51</v>
      </c>
      <c r="C1832" s="18">
        <v>14.26</v>
      </c>
      <c r="D1832" s="18">
        <v>14.01</v>
      </c>
      <c r="E1832" s="18">
        <v>13.73</v>
      </c>
      <c r="F1832" s="18">
        <v>14.93</v>
      </c>
      <c r="G1832" s="18">
        <v>14.1828</v>
      </c>
      <c r="H1832" s="18">
        <v>14.2757735</v>
      </c>
      <c r="I1832" s="8">
        <v>1.7531556802244049E-2</v>
      </c>
      <c r="J1832" s="8">
        <v>3.5688793718772198E-2</v>
      </c>
      <c r="K1832" s="8">
        <v>5.6809905316824498E-2</v>
      </c>
      <c r="L1832" s="8">
        <v>-2.8131279303415972E-2</v>
      </c>
      <c r="M1832" s="18">
        <v>8.1898976534424794E-2</v>
      </c>
    </row>
    <row r="1833" spans="1:13" x14ac:dyDescent="0.45">
      <c r="A1833" t="s">
        <v>2419</v>
      </c>
      <c r="B1833" s="18">
        <v>10.07</v>
      </c>
      <c r="C1833" s="18">
        <v>9.84</v>
      </c>
      <c r="D1833" s="18">
        <v>9.66</v>
      </c>
      <c r="E1833" s="18">
        <v>9.5299999999999994</v>
      </c>
      <c r="F1833" s="18">
        <v>10.51</v>
      </c>
      <c r="G1833" s="18">
        <v>9.7973999999999997</v>
      </c>
      <c r="H1833" s="18">
        <v>9.8052499999999991</v>
      </c>
      <c r="I1833" s="8">
        <v>2.337398373983746E-2</v>
      </c>
      <c r="J1833" s="8">
        <v>4.2443064182194679E-2</v>
      </c>
      <c r="K1833" s="8">
        <v>5.6663168940189079E-2</v>
      </c>
      <c r="L1833" s="8">
        <v>-4.186489058039955E-2</v>
      </c>
      <c r="M1833" s="18">
        <v>8.0615326281821664E-2</v>
      </c>
    </row>
    <row r="1834" spans="1:13" x14ac:dyDescent="0.45">
      <c r="A1834" t="s">
        <v>852</v>
      </c>
      <c r="B1834" s="18">
        <v>10.96</v>
      </c>
      <c r="C1834" s="18">
        <v>10.83</v>
      </c>
      <c r="D1834" s="18">
        <v>10.49</v>
      </c>
      <c r="E1834" s="18">
        <v>10.38</v>
      </c>
      <c r="F1834" s="18">
        <v>11.96</v>
      </c>
      <c r="G1834" s="18">
        <v>10.716801999999999</v>
      </c>
      <c r="H1834" s="18">
        <v>10.725462500000001</v>
      </c>
      <c r="I1834" s="8">
        <v>1.200369344413676E-2</v>
      </c>
      <c r="J1834" s="8">
        <v>4.4804575786463463E-2</v>
      </c>
      <c r="K1834" s="8">
        <v>5.5876685934489467E-2</v>
      </c>
      <c r="L1834" s="8">
        <v>-8.3612040133779209E-2</v>
      </c>
      <c r="M1834" s="18">
        <v>2.907291503131049E-2</v>
      </c>
    </row>
    <row r="1835" spans="1:13" x14ac:dyDescent="0.45">
      <c r="A1835" t="s">
        <v>1243</v>
      </c>
      <c r="B1835" s="18">
        <v>10.97</v>
      </c>
      <c r="C1835" s="18">
        <v>10.9</v>
      </c>
      <c r="D1835" s="18">
        <v>10.71</v>
      </c>
      <c r="E1835" s="18">
        <v>10.39</v>
      </c>
      <c r="F1835" s="18">
        <v>12.43</v>
      </c>
      <c r="G1835" s="18">
        <v>10.813496000000001</v>
      </c>
      <c r="H1835" s="18">
        <v>10.7961565</v>
      </c>
      <c r="I1835" s="8">
        <v>6.4220183486238813E-3</v>
      </c>
      <c r="J1835" s="8">
        <v>2.4276377217553598E-2</v>
      </c>
      <c r="K1835" s="8">
        <v>5.582290664100098E-2</v>
      </c>
      <c r="L1835" s="8">
        <v>-0.11745776347546261</v>
      </c>
      <c r="M1835" s="18">
        <v>-3.0936461268284091E-2</v>
      </c>
    </row>
    <row r="1836" spans="1:13" x14ac:dyDescent="0.45">
      <c r="A1836" t="s">
        <v>708</v>
      </c>
      <c r="B1836" s="18">
        <v>16.68</v>
      </c>
      <c r="C1836" s="18">
        <v>16.55</v>
      </c>
      <c r="D1836" s="18">
        <v>16.02</v>
      </c>
      <c r="E1836" s="18">
        <v>15.8</v>
      </c>
      <c r="F1836" s="18">
        <v>17.350000000000001</v>
      </c>
      <c r="G1836" s="18">
        <v>16.405000000000001</v>
      </c>
      <c r="H1836" s="18">
        <v>16.207139999999999</v>
      </c>
      <c r="I1836" s="8">
        <v>7.8549848942597311E-3</v>
      </c>
      <c r="J1836" s="8">
        <v>4.1198501872659277E-2</v>
      </c>
      <c r="K1836" s="8">
        <v>5.5696202531645422E-2</v>
      </c>
      <c r="L1836" s="8">
        <v>-3.8616714697406462E-2</v>
      </c>
      <c r="M1836" s="18">
        <v>6.6132974601157968E-2</v>
      </c>
    </row>
    <row r="1837" spans="1:13" x14ac:dyDescent="0.45">
      <c r="A1837" t="s">
        <v>1136</v>
      </c>
      <c r="B1837" s="18">
        <v>21.53</v>
      </c>
      <c r="C1837" s="18">
        <v>21.4178</v>
      </c>
      <c r="D1837" s="18">
        <v>20.738800000000001</v>
      </c>
      <c r="E1837" s="18">
        <v>20.395</v>
      </c>
      <c r="F1837" s="18">
        <v>23.19</v>
      </c>
      <c r="G1837" s="18">
        <v>21.455317999999998</v>
      </c>
      <c r="H1837" s="18">
        <v>20.950593999999999</v>
      </c>
      <c r="I1837" s="8">
        <v>5.2386332863318952E-3</v>
      </c>
      <c r="J1837" s="8">
        <v>3.8150712673828753E-2</v>
      </c>
      <c r="K1837" s="8">
        <v>5.5650894827163677E-2</v>
      </c>
      <c r="L1837" s="8">
        <v>-7.1582578697714561E-2</v>
      </c>
      <c r="M1837" s="18">
        <v>2.7457662089609761E-2</v>
      </c>
    </row>
    <row r="1838" spans="1:13" x14ac:dyDescent="0.45">
      <c r="A1838" t="s">
        <v>2247</v>
      </c>
      <c r="B1838" s="18">
        <v>67.650000000000006</v>
      </c>
      <c r="C1838" s="18">
        <v>73.11</v>
      </c>
      <c r="D1838" s="18">
        <v>60.3</v>
      </c>
      <c r="E1838" s="18">
        <v>64.099999999999994</v>
      </c>
      <c r="F1838" s="18">
        <v>71.39</v>
      </c>
      <c r="G1838" s="18">
        <v>71.621000000000009</v>
      </c>
      <c r="H1838" s="18">
        <v>67.133150000000001</v>
      </c>
      <c r="I1838" s="8">
        <v>-7.4681986048420135E-2</v>
      </c>
      <c r="J1838" s="8">
        <v>0.1218905472636818</v>
      </c>
      <c r="K1838" s="8">
        <v>5.5382215288611647E-2</v>
      </c>
      <c r="L1838" s="8">
        <v>-5.238828967642517E-2</v>
      </c>
      <c r="M1838" s="18">
        <v>5.0202486827448101E-2</v>
      </c>
    </row>
    <row r="1839" spans="1:13" x14ac:dyDescent="0.45">
      <c r="A1839" t="s">
        <v>728</v>
      </c>
      <c r="B1839" s="18">
        <v>18.5</v>
      </c>
      <c r="C1839" s="18">
        <v>19.91</v>
      </c>
      <c r="D1839" s="18">
        <v>19.45</v>
      </c>
      <c r="E1839" s="18">
        <v>17.53</v>
      </c>
      <c r="F1839" s="18">
        <v>25.8</v>
      </c>
      <c r="G1839" s="18">
        <v>18.745799999999999</v>
      </c>
      <c r="H1839" s="18">
        <v>19.206150000000001</v>
      </c>
      <c r="I1839" s="8">
        <v>-7.0818684078352567E-2</v>
      </c>
      <c r="J1839" s="8">
        <v>-4.8843187660668308E-2</v>
      </c>
      <c r="K1839" s="8">
        <v>5.5333713633770598E-2</v>
      </c>
      <c r="L1839" s="8">
        <v>-0.28294573643410859</v>
      </c>
      <c r="M1839" s="18">
        <v>-0.34727389453935892</v>
      </c>
    </row>
    <row r="1840" spans="1:13" x14ac:dyDescent="0.45">
      <c r="A1840" t="s">
        <v>1778</v>
      </c>
      <c r="B1840" s="18">
        <v>9.35</v>
      </c>
      <c r="C1840" s="18">
        <v>9.2899999999999991</v>
      </c>
      <c r="D1840" s="18">
        <v>9.1300000000000008</v>
      </c>
      <c r="E1840" s="18">
        <v>8.86</v>
      </c>
      <c r="F1840" s="18">
        <v>9.3000000000000007</v>
      </c>
      <c r="G1840" s="18">
        <v>9.210265999999999</v>
      </c>
      <c r="H1840" s="18">
        <v>9.0923630000000006</v>
      </c>
      <c r="I1840" s="8">
        <v>6.4585575888052027E-3</v>
      </c>
      <c r="J1840" s="8">
        <v>2.409638554216853E-2</v>
      </c>
      <c r="K1840" s="8">
        <v>5.5304740406320503E-2</v>
      </c>
      <c r="L1840" s="8">
        <v>5.3763440860215006E-3</v>
      </c>
      <c r="M1840" s="18">
        <v>9.123602762331573E-2</v>
      </c>
    </row>
    <row r="1841" spans="1:13" x14ac:dyDescent="0.45">
      <c r="A1841" t="s">
        <v>1851</v>
      </c>
      <c r="B1841" s="18">
        <v>12.04</v>
      </c>
      <c r="C1841" s="18">
        <v>11.7776</v>
      </c>
      <c r="D1841" s="18">
        <v>11.53</v>
      </c>
      <c r="E1841" s="18">
        <v>11.41</v>
      </c>
      <c r="F1841" s="18">
        <v>12.04</v>
      </c>
      <c r="G1841" s="18">
        <v>11.810817999999999</v>
      </c>
      <c r="H1841" s="18">
        <v>11.63274</v>
      </c>
      <c r="I1841" s="8">
        <v>2.2279581578589891E-2</v>
      </c>
      <c r="J1841" s="8">
        <v>4.4232437120555128E-2</v>
      </c>
      <c r="K1841" s="8">
        <v>5.5214723926380271E-2</v>
      </c>
      <c r="L1841" s="8">
        <v>0</v>
      </c>
      <c r="M1841" s="18">
        <v>0.1217267426255253</v>
      </c>
    </row>
    <row r="1842" spans="1:13" x14ac:dyDescent="0.45">
      <c r="A1842" t="s">
        <v>2467</v>
      </c>
      <c r="B1842" s="18">
        <v>11.15</v>
      </c>
      <c r="C1842" s="18">
        <v>11.13</v>
      </c>
      <c r="D1842" s="18">
        <v>10.84</v>
      </c>
      <c r="E1842" s="18">
        <v>10.567500000000001</v>
      </c>
      <c r="F1842" s="18">
        <v>11.22</v>
      </c>
      <c r="G1842" s="18">
        <v>11.08724</v>
      </c>
      <c r="H1842" s="18">
        <v>10.886297000000001</v>
      </c>
      <c r="I1842" s="8">
        <v>1.79694519317164E-3</v>
      </c>
      <c r="J1842" s="8">
        <v>2.8597785977859891E-2</v>
      </c>
      <c r="K1842" s="8">
        <v>5.5121835817364413E-2</v>
      </c>
      <c r="L1842" s="8">
        <v>-6.2388591800356394E-3</v>
      </c>
      <c r="M1842" s="18">
        <v>7.9277707808360298E-2</v>
      </c>
    </row>
    <row r="1843" spans="1:13" x14ac:dyDescent="0.45">
      <c r="A1843" t="s">
        <v>1832</v>
      </c>
      <c r="B1843" s="18">
        <v>9</v>
      </c>
      <c r="C1843" s="18">
        <v>8.84</v>
      </c>
      <c r="D1843" s="18">
        <v>8.69</v>
      </c>
      <c r="E1843" s="18">
        <v>8.5299999999999994</v>
      </c>
      <c r="F1843" s="18">
        <v>9.0399999999999991</v>
      </c>
      <c r="G1843" s="18">
        <v>8.7788000000000004</v>
      </c>
      <c r="H1843" s="18">
        <v>8.692064499999999</v>
      </c>
      <c r="I1843" s="8">
        <v>1.8099547511312149E-2</v>
      </c>
      <c r="J1843" s="8">
        <v>3.5673187571921838E-2</v>
      </c>
      <c r="K1843" s="8">
        <v>5.5099648300117383E-2</v>
      </c>
      <c r="L1843" s="8">
        <v>-4.4247787610618428E-3</v>
      </c>
      <c r="M1843" s="18">
        <v>0.1044476046222895</v>
      </c>
    </row>
    <row r="1844" spans="1:13" x14ac:dyDescent="0.45">
      <c r="A1844" t="s">
        <v>1062</v>
      </c>
      <c r="B1844" s="18">
        <v>11.92</v>
      </c>
      <c r="C1844" s="18">
        <v>11.96</v>
      </c>
      <c r="D1844" s="18">
        <v>11.88</v>
      </c>
      <c r="E1844" s="18">
        <v>11.3</v>
      </c>
      <c r="F1844" s="18">
        <v>12.03</v>
      </c>
      <c r="G1844" s="18">
        <v>11.879072000000001</v>
      </c>
      <c r="H1844" s="18">
        <v>11.782849499999999</v>
      </c>
      <c r="I1844" s="8">
        <v>-3.3444816053512789E-3</v>
      </c>
      <c r="J1844" s="8">
        <v>3.3670033670032411E-3</v>
      </c>
      <c r="K1844" s="8">
        <v>5.486725663716796E-2</v>
      </c>
      <c r="L1844" s="8">
        <v>-9.1438071487945916E-3</v>
      </c>
      <c r="M1844" s="18">
        <v>4.574597125002533E-2</v>
      </c>
    </row>
    <row r="1845" spans="1:13" x14ac:dyDescent="0.45">
      <c r="A1845" t="s">
        <v>2414</v>
      </c>
      <c r="B1845" s="18">
        <v>18.13</v>
      </c>
      <c r="C1845" s="18">
        <v>18.670000000000002</v>
      </c>
      <c r="D1845" s="18">
        <v>18.28</v>
      </c>
      <c r="E1845" s="18">
        <v>17.190000000000001</v>
      </c>
      <c r="F1845" s="18">
        <v>19.53</v>
      </c>
      <c r="G1845" s="18">
        <v>18.3504</v>
      </c>
      <c r="H1845" s="18">
        <v>18.25085</v>
      </c>
      <c r="I1845" s="8">
        <v>-2.8923406534547499E-2</v>
      </c>
      <c r="J1845" s="8">
        <v>-8.2056892778994417E-3</v>
      </c>
      <c r="K1845" s="8">
        <v>5.4682955206515338E-2</v>
      </c>
      <c r="L1845" s="8">
        <v>-7.1684587813620193E-2</v>
      </c>
      <c r="M1845" s="18">
        <v>-5.4130728419551799E-2</v>
      </c>
    </row>
    <row r="1846" spans="1:13" x14ac:dyDescent="0.45">
      <c r="A1846" t="s">
        <v>237</v>
      </c>
      <c r="B1846" s="18">
        <v>151.06</v>
      </c>
      <c r="C1846" s="18">
        <v>165.02</v>
      </c>
      <c r="D1846" s="18">
        <v>177.75</v>
      </c>
      <c r="E1846" s="18">
        <v>143.33000000000001</v>
      </c>
      <c r="F1846" s="18">
        <v>198.35</v>
      </c>
      <c r="G1846" s="18">
        <v>159.51599999999999</v>
      </c>
      <c r="H1846" s="18">
        <v>184.7302</v>
      </c>
      <c r="I1846" s="8">
        <v>-8.4595806568900755E-2</v>
      </c>
      <c r="J1846" s="8">
        <v>-0.15015471167369901</v>
      </c>
      <c r="K1846" s="8">
        <v>5.3931486778762139E-2</v>
      </c>
      <c r="L1846" s="8">
        <v>-0.23841693975296191</v>
      </c>
      <c r="M1846" s="18">
        <v>-0.41923597121679951</v>
      </c>
    </row>
    <row r="1847" spans="1:13" x14ac:dyDescent="0.45">
      <c r="A1847" t="s">
        <v>2000</v>
      </c>
      <c r="B1847" s="18">
        <v>3.91</v>
      </c>
      <c r="C1847" s="18">
        <v>3.86</v>
      </c>
      <c r="D1847" s="18">
        <v>3.97</v>
      </c>
      <c r="E1847" s="18">
        <v>3.71</v>
      </c>
      <c r="F1847" s="18">
        <v>3.9</v>
      </c>
      <c r="G1847" s="18">
        <v>3.9502999999999999</v>
      </c>
      <c r="H1847" s="18">
        <v>4.0005329999999999</v>
      </c>
      <c r="I1847" s="8">
        <v>1.2953367875647709E-2</v>
      </c>
      <c r="J1847" s="8">
        <v>-1.511335012594461E-2</v>
      </c>
      <c r="K1847" s="8">
        <v>5.3908355795148299E-2</v>
      </c>
      <c r="L1847" s="8">
        <v>2.564102564102555E-3</v>
      </c>
      <c r="M1847" s="18">
        <v>5.4312476108953962E-2</v>
      </c>
    </row>
    <row r="1848" spans="1:13" x14ac:dyDescent="0.45">
      <c r="A1848" t="s">
        <v>2176</v>
      </c>
      <c r="B1848" s="18">
        <v>21.56</v>
      </c>
      <c r="C1848" s="18">
        <v>21.47</v>
      </c>
      <c r="D1848" s="18">
        <v>22.3</v>
      </c>
      <c r="E1848" s="18">
        <v>20.46</v>
      </c>
      <c r="F1848" s="18">
        <v>23.31</v>
      </c>
      <c r="G1848" s="18">
        <v>21.975999999999999</v>
      </c>
      <c r="H1848" s="18">
        <v>21.748049999999999</v>
      </c>
      <c r="I1848" s="8">
        <v>4.1918956683744124E-3</v>
      </c>
      <c r="J1848" s="8">
        <v>-3.3183856502242197E-2</v>
      </c>
      <c r="K1848" s="8">
        <v>5.3763440860215013E-2</v>
      </c>
      <c r="L1848" s="8">
        <v>-7.5075075075075048E-2</v>
      </c>
      <c r="M1848" s="18">
        <v>-5.0303595048727827E-2</v>
      </c>
    </row>
    <row r="1849" spans="1:13" x14ac:dyDescent="0.45">
      <c r="A1849" t="s">
        <v>1343</v>
      </c>
      <c r="B1849" s="18">
        <v>23.414300000000001</v>
      </c>
      <c r="C1849" s="18">
        <v>23.27</v>
      </c>
      <c r="D1849" s="18">
        <v>21.48</v>
      </c>
      <c r="E1849" s="18">
        <v>22.22</v>
      </c>
      <c r="F1849" s="18">
        <v>24.34</v>
      </c>
      <c r="G1849" s="18">
        <v>23.069996</v>
      </c>
      <c r="H1849" s="18">
        <v>22.342946000000001</v>
      </c>
      <c r="I1849" s="8">
        <v>6.201117318435756E-3</v>
      </c>
      <c r="J1849" s="8">
        <v>9.0051210428305328E-2</v>
      </c>
      <c r="K1849" s="8">
        <v>5.3748874887488807E-2</v>
      </c>
      <c r="L1849" s="8">
        <v>-3.8032046014790377E-2</v>
      </c>
      <c r="M1849" s="18">
        <v>0.1119691566194395</v>
      </c>
    </row>
    <row r="1850" spans="1:13" x14ac:dyDescent="0.45">
      <c r="A1850" t="s">
        <v>1511</v>
      </c>
      <c r="B1850" s="18">
        <v>6.31</v>
      </c>
      <c r="C1850" s="18">
        <v>6.37</v>
      </c>
      <c r="D1850" s="18">
        <v>6.28</v>
      </c>
      <c r="E1850" s="18">
        <v>5.99</v>
      </c>
      <c r="F1850" s="18">
        <v>6.3209999999999997</v>
      </c>
      <c r="G1850" s="18">
        <v>6.3430219999999986</v>
      </c>
      <c r="H1850" s="18">
        <v>6.1845149700000004</v>
      </c>
      <c r="I1850" s="8">
        <v>-9.4191522762951951E-3</v>
      </c>
      <c r="J1850" s="8">
        <v>4.7770700636942109E-3</v>
      </c>
      <c r="K1850" s="8">
        <v>5.3422370617695947E-2</v>
      </c>
      <c r="L1850" s="8">
        <v>-1.740230976111423E-3</v>
      </c>
      <c r="M1850" s="18">
        <v>4.7040057428983539E-2</v>
      </c>
    </row>
    <row r="1851" spans="1:13" x14ac:dyDescent="0.45">
      <c r="A1851" t="s">
        <v>1608</v>
      </c>
      <c r="B1851" s="18">
        <v>34.57</v>
      </c>
      <c r="C1851" s="18">
        <v>36.56</v>
      </c>
      <c r="D1851" s="18">
        <v>34.950000000000003</v>
      </c>
      <c r="E1851" s="18">
        <v>32.83</v>
      </c>
      <c r="F1851" s="18">
        <v>35.840000000000003</v>
      </c>
      <c r="G1851" s="18">
        <v>35.8748</v>
      </c>
      <c r="H1851" s="18">
        <v>35.209949999999999</v>
      </c>
      <c r="I1851" s="8">
        <v>-5.4431072210065712E-2</v>
      </c>
      <c r="J1851" s="8">
        <v>-1.0872675250357729E-2</v>
      </c>
      <c r="K1851" s="8">
        <v>5.300030459945182E-2</v>
      </c>
      <c r="L1851" s="8">
        <v>-3.5435267857142898E-2</v>
      </c>
      <c r="M1851" s="18">
        <v>-4.773871071811453E-2</v>
      </c>
    </row>
    <row r="1852" spans="1:13" x14ac:dyDescent="0.45">
      <c r="A1852" t="s">
        <v>236</v>
      </c>
      <c r="B1852" s="18">
        <v>110.5</v>
      </c>
      <c r="C1852" s="18">
        <v>117.31</v>
      </c>
      <c r="D1852" s="18">
        <v>121.73</v>
      </c>
      <c r="E1852" s="18">
        <v>104.96</v>
      </c>
      <c r="F1852" s="18">
        <v>133.12</v>
      </c>
      <c r="G1852" s="18">
        <v>117.7256</v>
      </c>
      <c r="H1852" s="18">
        <v>120.32375</v>
      </c>
      <c r="I1852" s="8">
        <v>-5.8051317023271709E-2</v>
      </c>
      <c r="J1852" s="8">
        <v>-9.2253347572496591E-2</v>
      </c>
      <c r="K1852" s="8">
        <v>5.2782012195121908E-2</v>
      </c>
      <c r="L1852" s="8">
        <v>-0.169921875</v>
      </c>
      <c r="M1852" s="18">
        <v>-0.26744452740064639</v>
      </c>
    </row>
    <row r="1853" spans="1:13" x14ac:dyDescent="0.45">
      <c r="A1853" t="s">
        <v>413</v>
      </c>
      <c r="B1853" s="18">
        <v>81.8</v>
      </c>
      <c r="C1853" s="18">
        <v>79.989999999999995</v>
      </c>
      <c r="D1853" s="18">
        <v>82.16</v>
      </c>
      <c r="E1853" s="18">
        <v>77.7</v>
      </c>
      <c r="F1853" s="18">
        <v>92.03</v>
      </c>
      <c r="G1853" s="18">
        <v>83.6434</v>
      </c>
      <c r="H1853" s="18">
        <v>82.717100000000016</v>
      </c>
      <c r="I1853" s="8">
        <v>2.262782847855993E-2</v>
      </c>
      <c r="J1853" s="8">
        <v>-4.3816942551119231E-3</v>
      </c>
      <c r="K1853" s="8">
        <v>5.2767052767052743E-2</v>
      </c>
      <c r="L1853" s="8">
        <v>-0.1111594045419972</v>
      </c>
      <c r="M1853" s="18">
        <v>-4.0146217551496499E-2</v>
      </c>
    </row>
    <row r="1854" spans="1:13" x14ac:dyDescent="0.45">
      <c r="A1854" t="s">
        <v>1823</v>
      </c>
      <c r="B1854" s="18">
        <v>23.79</v>
      </c>
      <c r="C1854" s="18">
        <v>24.13</v>
      </c>
      <c r="D1854" s="18">
        <v>24.45</v>
      </c>
      <c r="E1854" s="18">
        <v>22.6</v>
      </c>
      <c r="F1854" s="18">
        <v>25.084800000000001</v>
      </c>
      <c r="G1854" s="18">
        <v>24.199922000000001</v>
      </c>
      <c r="H1854" s="18">
        <v>23.762453499999999</v>
      </c>
      <c r="I1854" s="8">
        <v>-1.4090343970161619E-2</v>
      </c>
      <c r="J1854" s="8">
        <v>-2.6993865030674798E-2</v>
      </c>
      <c r="K1854" s="8">
        <v>5.265486725663715E-2</v>
      </c>
      <c r="L1854" s="8">
        <v>-5.1616915422885601E-2</v>
      </c>
      <c r="M1854" s="18">
        <v>-4.0046257167084882E-2</v>
      </c>
    </row>
    <row r="1855" spans="1:13" x14ac:dyDescent="0.45">
      <c r="A1855" t="s">
        <v>1728</v>
      </c>
      <c r="B1855" s="18">
        <v>10.029999999999999</v>
      </c>
      <c r="C1855" s="18">
        <v>9.84</v>
      </c>
      <c r="D1855" s="18">
        <v>9.58</v>
      </c>
      <c r="E1855" s="18">
        <v>9.5299999999999994</v>
      </c>
      <c r="F1855" s="18">
        <v>10.7</v>
      </c>
      <c r="G1855" s="18">
        <v>9.7290120000000009</v>
      </c>
      <c r="H1855" s="18">
        <v>9.8231164999999994</v>
      </c>
      <c r="I1855" s="8">
        <v>1.9308943089430871E-2</v>
      </c>
      <c r="J1855" s="8">
        <v>4.6972860125260807E-2</v>
      </c>
      <c r="K1855" s="8">
        <v>5.2465897166841469E-2</v>
      </c>
      <c r="L1855" s="8">
        <v>-6.2616822429906516E-2</v>
      </c>
      <c r="M1855" s="18">
        <v>5.6130877951626627E-2</v>
      </c>
    </row>
    <row r="1856" spans="1:13" x14ac:dyDescent="0.45">
      <c r="A1856" t="s">
        <v>587</v>
      </c>
      <c r="B1856" s="18">
        <v>17.03</v>
      </c>
      <c r="C1856" s="18">
        <v>18.79</v>
      </c>
      <c r="D1856" s="18">
        <v>17.850000000000001</v>
      </c>
      <c r="E1856" s="18">
        <v>16.190000000000001</v>
      </c>
      <c r="F1856" s="18">
        <v>18.809999999999999</v>
      </c>
      <c r="G1856" s="18">
        <v>18.433599999999998</v>
      </c>
      <c r="H1856" s="18">
        <v>17.798850000000002</v>
      </c>
      <c r="I1856" s="8">
        <v>-9.3666844065992461E-2</v>
      </c>
      <c r="J1856" s="8">
        <v>-4.5938375350140108E-2</v>
      </c>
      <c r="K1856" s="8">
        <v>5.1883878937615702E-2</v>
      </c>
      <c r="L1856" s="8">
        <v>-9.4630515683147176E-2</v>
      </c>
      <c r="M1856" s="18">
        <v>-0.18235185616166399</v>
      </c>
    </row>
    <row r="1857" spans="1:13" x14ac:dyDescent="0.45">
      <c r="A1857" t="s">
        <v>823</v>
      </c>
      <c r="B1857" s="18">
        <v>9.57</v>
      </c>
      <c r="C1857" s="18">
        <v>9.44</v>
      </c>
      <c r="D1857" s="18">
        <v>9.16</v>
      </c>
      <c r="E1857" s="18">
        <v>9.1</v>
      </c>
      <c r="F1857" s="18">
        <v>10.61</v>
      </c>
      <c r="G1857" s="18">
        <v>9.2833319999999997</v>
      </c>
      <c r="H1857" s="18">
        <v>9.4025125000000003</v>
      </c>
      <c r="I1857" s="8">
        <v>1.377118644067798E-2</v>
      </c>
      <c r="J1857" s="8">
        <v>4.4759825327510987E-2</v>
      </c>
      <c r="K1857" s="8">
        <v>5.1648351648351687E-2</v>
      </c>
      <c r="L1857" s="8">
        <v>-9.8020735155513572E-2</v>
      </c>
      <c r="M1857" s="18">
        <v>1.215862826102709E-2</v>
      </c>
    </row>
    <row r="1858" spans="1:13" x14ac:dyDescent="0.45">
      <c r="A1858" t="s">
        <v>1061</v>
      </c>
      <c r="B1858" s="18">
        <v>10.6</v>
      </c>
      <c r="C1858" s="18">
        <v>10.38</v>
      </c>
      <c r="D1858" s="18">
        <v>10.19</v>
      </c>
      <c r="E1858" s="18">
        <v>10.08</v>
      </c>
      <c r="F1858" s="18">
        <v>11.09</v>
      </c>
      <c r="G1858" s="18">
        <v>10.284800000000001</v>
      </c>
      <c r="H1858" s="18">
        <v>10.2959555</v>
      </c>
      <c r="I1858" s="8">
        <v>2.1194605009633879E-2</v>
      </c>
      <c r="J1858" s="8">
        <v>4.0235525024533869E-2</v>
      </c>
      <c r="K1858" s="8">
        <v>5.1587301587301633E-2</v>
      </c>
      <c r="L1858" s="8">
        <v>-4.4183949504057678E-2</v>
      </c>
      <c r="M1858" s="18">
        <v>6.8833482117411693E-2</v>
      </c>
    </row>
    <row r="1859" spans="1:13" x14ac:dyDescent="0.45">
      <c r="A1859" t="s">
        <v>1128</v>
      </c>
      <c r="B1859" s="18">
        <v>6.53</v>
      </c>
      <c r="C1859" s="18">
        <v>6.61</v>
      </c>
      <c r="D1859" s="18">
        <v>6.5</v>
      </c>
      <c r="E1859" s="18">
        <v>6.21</v>
      </c>
      <c r="F1859" s="18">
        <v>6.8</v>
      </c>
      <c r="G1859" s="18">
        <v>6.591257999999999</v>
      </c>
      <c r="H1859" s="18">
        <v>6.5732195000000004</v>
      </c>
      <c r="I1859" s="8">
        <v>-1.210287443267777E-2</v>
      </c>
      <c r="J1859" s="8">
        <v>4.6153846153846878E-3</v>
      </c>
      <c r="K1859" s="8">
        <v>5.152979066022545E-2</v>
      </c>
      <c r="L1859" s="8">
        <v>-3.9705882352941153E-2</v>
      </c>
      <c r="M1859" s="18">
        <v>4.3364184899912228E-3</v>
      </c>
    </row>
    <row r="1860" spans="1:13" x14ac:dyDescent="0.45">
      <c r="A1860" t="s">
        <v>957</v>
      </c>
      <c r="B1860" s="18">
        <v>20.85</v>
      </c>
      <c r="C1860" s="18">
        <v>22.19</v>
      </c>
      <c r="D1860" s="18">
        <v>20.45</v>
      </c>
      <c r="E1860" s="18">
        <v>19.829999999999998</v>
      </c>
      <c r="F1860" s="18">
        <v>20.97</v>
      </c>
      <c r="G1860" s="18">
        <v>21.750800000000002</v>
      </c>
      <c r="H1860" s="18">
        <v>21.47505</v>
      </c>
      <c r="I1860" s="8">
        <v>-6.0387561964849068E-2</v>
      </c>
      <c r="J1860" s="8">
        <v>1.9559902200489091E-2</v>
      </c>
      <c r="K1860" s="8">
        <v>5.1437216338880543E-2</v>
      </c>
      <c r="L1860" s="8">
        <v>-5.7224606580829063E-3</v>
      </c>
      <c r="M1860" s="18">
        <v>4.887095916437656E-3</v>
      </c>
    </row>
    <row r="1861" spans="1:13" x14ac:dyDescent="0.45">
      <c r="A1861" t="s">
        <v>496</v>
      </c>
      <c r="B1861" s="18">
        <v>967.19</v>
      </c>
      <c r="C1861" s="18">
        <v>994.85</v>
      </c>
      <c r="D1861" s="18">
        <v>1047.8699999999999</v>
      </c>
      <c r="E1861" s="18">
        <v>919.93</v>
      </c>
      <c r="F1861" s="18">
        <v>1033.24</v>
      </c>
      <c r="G1861" s="18">
        <v>982.94200000000001</v>
      </c>
      <c r="H1861" s="18">
        <v>1025.3777</v>
      </c>
      <c r="I1861" s="8">
        <v>-2.780318641001156E-2</v>
      </c>
      <c r="J1861" s="8">
        <v>-7.6994283642054739E-2</v>
      </c>
      <c r="K1861" s="8">
        <v>5.1373474068679308E-2</v>
      </c>
      <c r="L1861" s="8">
        <v>-6.3925128721303848E-2</v>
      </c>
      <c r="M1861" s="18">
        <v>-0.1173491247046908</v>
      </c>
    </row>
    <row r="1862" spans="1:13" x14ac:dyDescent="0.45">
      <c r="A1862" t="s">
        <v>1224</v>
      </c>
      <c r="B1862" s="18">
        <v>24.19</v>
      </c>
      <c r="C1862" s="18">
        <v>24.1</v>
      </c>
      <c r="D1862" s="18">
        <v>24.32</v>
      </c>
      <c r="E1862" s="18">
        <v>23.01</v>
      </c>
      <c r="F1862" s="18"/>
      <c r="G1862" s="18">
        <v>24.256398000000001</v>
      </c>
      <c r="H1862" s="18"/>
      <c r="I1862" s="8">
        <v>3.734439834024883E-3</v>
      </c>
      <c r="J1862" s="8">
        <v>-5.3453947368420351E-3</v>
      </c>
      <c r="K1862" s="8">
        <v>5.1282051282051322E-2</v>
      </c>
      <c r="L1862" s="8"/>
      <c r="M1862" s="18">
        <v>4.967109637923417E-2</v>
      </c>
    </row>
    <row r="1863" spans="1:13" x14ac:dyDescent="0.45">
      <c r="A1863" t="s">
        <v>1985</v>
      </c>
      <c r="B1863" s="18">
        <v>3.69</v>
      </c>
      <c r="C1863" s="18">
        <v>3.72</v>
      </c>
      <c r="D1863" s="18">
        <v>3.67</v>
      </c>
      <c r="E1863" s="18">
        <v>3.51</v>
      </c>
      <c r="F1863" s="18">
        <v>3.71</v>
      </c>
      <c r="G1863" s="18">
        <v>3.6920000000000002</v>
      </c>
      <c r="H1863" s="18">
        <v>3.6286450000000001</v>
      </c>
      <c r="I1863" s="8">
        <v>-8.0645161290323619E-3</v>
      </c>
      <c r="J1863" s="8">
        <v>5.4495912806540314E-3</v>
      </c>
      <c r="K1863" s="8">
        <v>5.1282051282051322E-2</v>
      </c>
      <c r="L1863" s="8">
        <v>-5.3908355795148077E-3</v>
      </c>
      <c r="M1863" s="18">
        <v>4.3276290854158177E-2</v>
      </c>
    </row>
    <row r="1864" spans="1:13" x14ac:dyDescent="0.45">
      <c r="A1864" t="s">
        <v>10</v>
      </c>
      <c r="B1864" s="18">
        <v>294.62</v>
      </c>
      <c r="C1864" s="18">
        <v>279.97000000000003</v>
      </c>
      <c r="D1864" s="18">
        <v>300.37</v>
      </c>
      <c r="E1864" s="18">
        <v>280.26</v>
      </c>
      <c r="F1864" s="18">
        <v>319.66000000000003</v>
      </c>
      <c r="G1864" s="18">
        <v>287.17469999999997</v>
      </c>
      <c r="H1864" s="18">
        <v>288.59857499999998</v>
      </c>
      <c r="I1864" s="8">
        <v>5.232703503946845E-2</v>
      </c>
      <c r="J1864" s="8">
        <v>-1.9143056896494311E-2</v>
      </c>
      <c r="K1864" s="8">
        <v>5.1238136016556142E-2</v>
      </c>
      <c r="L1864" s="8">
        <v>-7.8333229055871922E-2</v>
      </c>
      <c r="M1864" s="18">
        <v>6.088885103658348E-3</v>
      </c>
    </row>
    <row r="1865" spans="1:13" x14ac:dyDescent="0.45">
      <c r="A1865" t="s">
        <v>308</v>
      </c>
      <c r="B1865" s="18">
        <v>159.37</v>
      </c>
      <c r="C1865" s="18">
        <v>173.46</v>
      </c>
      <c r="D1865" s="18">
        <v>181.82</v>
      </c>
      <c r="E1865" s="18">
        <v>151.62</v>
      </c>
      <c r="F1865" s="18">
        <v>162.76</v>
      </c>
      <c r="G1865" s="18">
        <v>175.27359999999999</v>
      </c>
      <c r="H1865" s="18">
        <v>170.42224999999999</v>
      </c>
      <c r="I1865" s="8">
        <v>-8.1229101810215587E-2</v>
      </c>
      <c r="J1865" s="8">
        <v>-0.1234737652623473</v>
      </c>
      <c r="K1865" s="8">
        <v>5.1114628676955487E-2</v>
      </c>
      <c r="L1865" s="8">
        <v>-2.0828213320226E-2</v>
      </c>
      <c r="M1865" s="18">
        <v>-0.17441645171583339</v>
      </c>
    </row>
    <row r="1866" spans="1:13" x14ac:dyDescent="0.45">
      <c r="A1866" t="s">
        <v>920</v>
      </c>
      <c r="B1866" s="18">
        <v>6.42</v>
      </c>
      <c r="C1866" s="18">
        <v>7.14</v>
      </c>
      <c r="D1866" s="18">
        <v>7.4</v>
      </c>
      <c r="E1866" s="18">
        <v>6.11</v>
      </c>
      <c r="F1866" s="18">
        <v>8.56</v>
      </c>
      <c r="G1866" s="18">
        <v>7.0676000000000014</v>
      </c>
      <c r="H1866" s="18">
        <v>7.4982000000000006</v>
      </c>
      <c r="I1866" s="8">
        <v>-0.1008403361344538</v>
      </c>
      <c r="J1866" s="8">
        <v>-0.1324324324324325</v>
      </c>
      <c r="K1866" s="8">
        <v>5.0736497545008197E-2</v>
      </c>
      <c r="L1866" s="8">
        <v>-0.25</v>
      </c>
      <c r="M1866" s="18">
        <v>-0.43253627102187808</v>
      </c>
    </row>
    <row r="1867" spans="1:13" x14ac:dyDescent="0.45">
      <c r="A1867" t="s">
        <v>2539</v>
      </c>
      <c r="B1867" s="18">
        <v>2.2799999999999998</v>
      </c>
      <c r="C1867" s="18">
        <v>2.4900000000000002</v>
      </c>
      <c r="D1867" s="18">
        <v>2.77</v>
      </c>
      <c r="E1867" s="18">
        <v>2.17</v>
      </c>
      <c r="F1867" s="18">
        <v>1.08</v>
      </c>
      <c r="G1867" s="18">
        <v>2.7376</v>
      </c>
      <c r="H1867" s="18">
        <v>2.9344999999999999</v>
      </c>
      <c r="I1867" s="8">
        <v>-8.4337349397590522E-2</v>
      </c>
      <c r="J1867" s="8">
        <v>-0.17689530685920579</v>
      </c>
      <c r="K1867" s="8">
        <v>5.0691244239631228E-2</v>
      </c>
      <c r="L1867" s="8">
        <v>1.1111111111111109</v>
      </c>
      <c r="M1867" s="18">
        <v>0.90056969909394557</v>
      </c>
    </row>
    <row r="1868" spans="1:13" x14ac:dyDescent="0.45">
      <c r="A1868" t="s">
        <v>764</v>
      </c>
      <c r="B1868" s="18">
        <v>44.15</v>
      </c>
      <c r="C1868" s="18">
        <v>47.37</v>
      </c>
      <c r="D1868" s="18">
        <v>47.79</v>
      </c>
      <c r="E1868" s="18">
        <v>42.03</v>
      </c>
      <c r="F1868" s="18">
        <v>48.81</v>
      </c>
      <c r="G1868" s="18">
        <v>48.347400000000007</v>
      </c>
      <c r="H1868" s="18">
        <v>51.115699999999997</v>
      </c>
      <c r="I1868" s="8">
        <v>-6.7975511927380161E-2</v>
      </c>
      <c r="J1868" s="8">
        <v>-7.6166562042268238E-2</v>
      </c>
      <c r="K1868" s="8">
        <v>5.0440161789198079E-2</v>
      </c>
      <c r="L1868" s="8">
        <v>-9.5472239295226413E-2</v>
      </c>
      <c r="M1868" s="18">
        <v>-0.18917415147567671</v>
      </c>
    </row>
    <row r="1869" spans="1:13" x14ac:dyDescent="0.45">
      <c r="A1869" t="s">
        <v>5</v>
      </c>
      <c r="B1869" s="18">
        <v>290.7</v>
      </c>
      <c r="C1869" s="18">
        <v>297.24</v>
      </c>
      <c r="D1869" s="18">
        <v>305.82</v>
      </c>
      <c r="E1869" s="18">
        <v>276.76</v>
      </c>
      <c r="F1869" s="18">
        <v>285.16000000000003</v>
      </c>
      <c r="G1869" s="18">
        <v>298.1739</v>
      </c>
      <c r="H1869" s="18">
        <v>302.53050000000002</v>
      </c>
      <c r="I1869" s="8">
        <v>-2.200242228502225E-2</v>
      </c>
      <c r="J1869" s="8">
        <v>-4.9440847557386758E-2</v>
      </c>
      <c r="K1869" s="8">
        <v>5.0368550368550258E-2</v>
      </c>
      <c r="L1869" s="8">
        <v>1.942768971805298E-2</v>
      </c>
      <c r="M1869" s="18">
        <v>-1.6470297558057729E-3</v>
      </c>
    </row>
    <row r="1870" spans="1:13" x14ac:dyDescent="0.45">
      <c r="A1870" t="s">
        <v>796</v>
      </c>
      <c r="B1870" s="18">
        <v>10.23</v>
      </c>
      <c r="C1870" s="18">
        <v>9.91</v>
      </c>
      <c r="D1870" s="18">
        <v>9.6300000000000008</v>
      </c>
      <c r="E1870" s="18">
        <v>9.74</v>
      </c>
      <c r="F1870" s="18">
        <v>10.945</v>
      </c>
      <c r="G1870" s="18">
        <v>9.8130000000000006</v>
      </c>
      <c r="H1870" s="18">
        <v>9.9543630000000007</v>
      </c>
      <c r="I1870" s="8">
        <v>3.2290615539858791E-2</v>
      </c>
      <c r="J1870" s="8">
        <v>6.230529595015577E-2</v>
      </c>
      <c r="K1870" s="8">
        <v>5.0308008213552302E-2</v>
      </c>
      <c r="L1870" s="8">
        <v>-6.5326633165829096E-2</v>
      </c>
      <c r="M1870" s="18">
        <v>7.9577286537737768E-2</v>
      </c>
    </row>
    <row r="1871" spans="1:13" x14ac:dyDescent="0.45">
      <c r="A1871" t="s">
        <v>1089</v>
      </c>
      <c r="B1871" s="18">
        <v>28.01</v>
      </c>
      <c r="C1871" s="18">
        <v>26.34</v>
      </c>
      <c r="D1871" s="18">
        <v>40.42</v>
      </c>
      <c r="E1871" s="18">
        <v>26.68</v>
      </c>
      <c r="F1871" s="18">
        <v>10.11</v>
      </c>
      <c r="G1871" s="18">
        <v>27.601199999999999</v>
      </c>
      <c r="H1871" s="18">
        <v>38.913350000000001</v>
      </c>
      <c r="I1871" s="8">
        <v>6.3401670463173909E-2</v>
      </c>
      <c r="J1871" s="8">
        <v>-0.30702622464126672</v>
      </c>
      <c r="K1871" s="8">
        <v>4.9850074962518809E-2</v>
      </c>
      <c r="L1871" s="8">
        <v>1.770524233432246</v>
      </c>
      <c r="M1871" s="18">
        <v>1.576749754216672</v>
      </c>
    </row>
    <row r="1872" spans="1:13" x14ac:dyDescent="0.45">
      <c r="A1872" t="s">
        <v>786</v>
      </c>
      <c r="B1872" s="18">
        <v>179.23</v>
      </c>
      <c r="C1872" s="18">
        <v>179.44</v>
      </c>
      <c r="D1872" s="18">
        <v>239.69</v>
      </c>
      <c r="E1872" s="18">
        <v>170.72</v>
      </c>
      <c r="F1872" s="18">
        <v>223.58</v>
      </c>
      <c r="G1872" s="18">
        <v>182.65039999999999</v>
      </c>
      <c r="H1872" s="18">
        <v>209.82669999999999</v>
      </c>
      <c r="I1872" s="8">
        <v>-1.170307623718281E-3</v>
      </c>
      <c r="J1872" s="8">
        <v>-0.25224247986983189</v>
      </c>
      <c r="K1872" s="8">
        <v>4.9847703842549107E-2</v>
      </c>
      <c r="L1872" s="8">
        <v>-0.19836300205742921</v>
      </c>
      <c r="M1872" s="18">
        <v>-0.4019280857084303</v>
      </c>
    </row>
    <row r="1873" spans="1:13" x14ac:dyDescent="0.45">
      <c r="A1873" t="s">
        <v>2211</v>
      </c>
      <c r="B1873" s="18">
        <v>42.62</v>
      </c>
      <c r="C1873" s="18">
        <v>45.7</v>
      </c>
      <c r="D1873" s="18">
        <v>47.01</v>
      </c>
      <c r="E1873" s="18">
        <v>40.6</v>
      </c>
      <c r="F1873" s="18">
        <v>53.76</v>
      </c>
      <c r="G1873" s="18">
        <v>45.555399999999999</v>
      </c>
      <c r="H1873" s="18">
        <v>46.086350000000003</v>
      </c>
      <c r="I1873" s="8">
        <v>-6.7396061269146768E-2</v>
      </c>
      <c r="J1873" s="8">
        <v>-9.3384386300787048E-2</v>
      </c>
      <c r="K1873" s="8">
        <v>4.975369458128065E-2</v>
      </c>
      <c r="L1873" s="8">
        <v>-0.207217261904762</v>
      </c>
      <c r="M1873" s="18">
        <v>-0.31824401489341508</v>
      </c>
    </row>
    <row r="1874" spans="1:13" x14ac:dyDescent="0.45">
      <c r="A1874" t="s">
        <v>1516</v>
      </c>
      <c r="B1874" s="18">
        <v>20.68</v>
      </c>
      <c r="C1874" s="18">
        <v>20.260000000000002</v>
      </c>
      <c r="D1874" s="18">
        <v>20.309999999999999</v>
      </c>
      <c r="E1874" s="18">
        <v>19.7</v>
      </c>
      <c r="F1874" s="18">
        <v>19.739999999999998</v>
      </c>
      <c r="G1874" s="18">
        <v>20.432848</v>
      </c>
      <c r="H1874" s="18">
        <v>20.133652000000001</v>
      </c>
      <c r="I1874" s="8">
        <v>2.073050345508376E-2</v>
      </c>
      <c r="J1874" s="8">
        <v>1.8217626784835069E-2</v>
      </c>
      <c r="K1874" s="8">
        <v>4.9746192893401098E-2</v>
      </c>
      <c r="L1874" s="8">
        <v>4.7619047619047672E-2</v>
      </c>
      <c r="M1874" s="18">
        <v>0.1363133707523676</v>
      </c>
    </row>
    <row r="1875" spans="1:13" x14ac:dyDescent="0.45">
      <c r="A1875" t="s">
        <v>580</v>
      </c>
      <c r="B1875" s="18">
        <v>7.6</v>
      </c>
      <c r="C1875" s="18">
        <v>7.69</v>
      </c>
      <c r="D1875" s="18">
        <v>8.66</v>
      </c>
      <c r="E1875" s="18">
        <v>7.24</v>
      </c>
      <c r="F1875" s="18">
        <v>8.77</v>
      </c>
      <c r="G1875" s="18">
        <v>7.8536000000000001</v>
      </c>
      <c r="H1875" s="18">
        <v>8.3378500000000013</v>
      </c>
      <c r="I1875" s="8">
        <v>-1.1703511053316131E-2</v>
      </c>
      <c r="J1875" s="8">
        <v>-0.1224018475750578</v>
      </c>
      <c r="K1875" s="8">
        <v>4.9723756906077332E-2</v>
      </c>
      <c r="L1875" s="8">
        <v>-0.13340935005701249</v>
      </c>
      <c r="M1875" s="18">
        <v>-0.2177909517793091</v>
      </c>
    </row>
    <row r="1876" spans="1:13" x14ac:dyDescent="0.45">
      <c r="A1876" t="s">
        <v>1599</v>
      </c>
      <c r="B1876" s="18">
        <v>79.02</v>
      </c>
      <c r="C1876" s="18">
        <v>78.56</v>
      </c>
      <c r="D1876" s="18">
        <v>78.709999999999994</v>
      </c>
      <c r="E1876" s="18">
        <v>75.290000000000006</v>
      </c>
      <c r="F1876" s="18">
        <v>73.66</v>
      </c>
      <c r="G1876" s="18">
        <v>74.861599999999996</v>
      </c>
      <c r="H1876" s="18">
        <v>77.882400000000004</v>
      </c>
      <c r="I1876" s="8">
        <v>5.8553971486761114E-3</v>
      </c>
      <c r="J1876" s="8">
        <v>3.938508448736E-3</v>
      </c>
      <c r="K1876" s="8">
        <v>4.9541771815646118E-2</v>
      </c>
      <c r="L1876" s="8">
        <v>7.2766766223187673E-2</v>
      </c>
      <c r="M1876" s="18">
        <v>0.1321024436362459</v>
      </c>
    </row>
    <row r="1877" spans="1:13" x14ac:dyDescent="0.45">
      <c r="A1877" t="s">
        <v>1017</v>
      </c>
      <c r="B1877" s="18">
        <v>3.7149999999999999</v>
      </c>
      <c r="C1877" s="18">
        <v>3.64</v>
      </c>
      <c r="D1877" s="18">
        <v>3.58</v>
      </c>
      <c r="E1877" s="18">
        <v>3.54</v>
      </c>
      <c r="F1877" s="18">
        <v>3.92</v>
      </c>
      <c r="G1877" s="18">
        <v>3.6194500000000001</v>
      </c>
      <c r="H1877" s="18">
        <v>3.6195075000000001</v>
      </c>
      <c r="I1877" s="8">
        <v>2.0604395604395531E-2</v>
      </c>
      <c r="J1877" s="8">
        <v>3.7709497206703801E-2</v>
      </c>
      <c r="K1877" s="8">
        <v>4.9435028248587587E-2</v>
      </c>
      <c r="L1877" s="8">
        <v>-5.2295918367346927E-2</v>
      </c>
      <c r="M1877" s="18">
        <v>5.5453002692339992E-2</v>
      </c>
    </row>
    <row r="1878" spans="1:13" x14ac:dyDescent="0.45">
      <c r="A1878" t="s">
        <v>457</v>
      </c>
      <c r="B1878" s="18">
        <v>168.49</v>
      </c>
      <c r="C1878" s="18">
        <v>161.28</v>
      </c>
      <c r="D1878" s="18">
        <v>170.74</v>
      </c>
      <c r="E1878" s="18">
        <v>160.57</v>
      </c>
      <c r="F1878" s="18">
        <v>158.02000000000001</v>
      </c>
      <c r="G1878" s="18">
        <v>165.35919999999999</v>
      </c>
      <c r="H1878" s="18">
        <v>176.97880000000001</v>
      </c>
      <c r="I1878" s="8">
        <v>4.470486111111116E-2</v>
      </c>
      <c r="J1878" s="8">
        <v>-1.31779313576198E-2</v>
      </c>
      <c r="K1878" s="8">
        <v>4.9324282244504143E-2</v>
      </c>
      <c r="L1878" s="8">
        <v>6.625743576762444E-2</v>
      </c>
      <c r="M1878" s="18">
        <v>0.14710864776561991</v>
      </c>
    </row>
    <row r="1879" spans="1:13" x14ac:dyDescent="0.45">
      <c r="A1879" t="s">
        <v>1082</v>
      </c>
      <c r="B1879" s="18">
        <v>18.39</v>
      </c>
      <c r="C1879" s="18">
        <v>18.260000000000002</v>
      </c>
      <c r="D1879" s="18">
        <v>17.73</v>
      </c>
      <c r="E1879" s="18">
        <v>17.53</v>
      </c>
      <c r="F1879" s="18">
        <v>21.41</v>
      </c>
      <c r="G1879" s="18">
        <v>18.087199999999999</v>
      </c>
      <c r="H1879" s="18">
        <v>17.920624499999999</v>
      </c>
      <c r="I1879" s="8">
        <v>7.1193866374588133E-3</v>
      </c>
      <c r="J1879" s="8">
        <v>3.7225042301184397E-2</v>
      </c>
      <c r="K1879" s="8">
        <v>4.9058756417569738E-2</v>
      </c>
      <c r="L1879" s="8">
        <v>-0.1410555815039701</v>
      </c>
      <c r="M1879" s="18">
        <v>-4.7652396147757181E-2</v>
      </c>
    </row>
    <row r="1880" spans="1:13" x14ac:dyDescent="0.45">
      <c r="A1880" t="s">
        <v>400</v>
      </c>
      <c r="B1880" s="18">
        <v>16.72</v>
      </c>
      <c r="C1880" s="18">
        <v>14.97</v>
      </c>
      <c r="D1880" s="18">
        <v>13.54</v>
      </c>
      <c r="E1880" s="18">
        <v>15.94</v>
      </c>
      <c r="F1880" s="18">
        <v>19.71</v>
      </c>
      <c r="G1880" s="18">
        <v>15.136799999999999</v>
      </c>
      <c r="H1880" s="18">
        <v>15.9665</v>
      </c>
      <c r="I1880" s="8">
        <v>0.1169004676018703</v>
      </c>
      <c r="J1880" s="8">
        <v>0.23485967503692759</v>
      </c>
      <c r="K1880" s="8">
        <v>4.8933500627352577E-2</v>
      </c>
      <c r="L1880" s="8">
        <v>-0.1516996448503298</v>
      </c>
      <c r="M1880" s="18">
        <v>0.24899399841582071</v>
      </c>
    </row>
    <row r="1881" spans="1:13" x14ac:dyDescent="0.45">
      <c r="A1881" t="s">
        <v>574</v>
      </c>
      <c r="B1881" s="18">
        <v>19.13</v>
      </c>
      <c r="C1881" s="18">
        <v>15.74</v>
      </c>
      <c r="D1881" s="18">
        <v>26.81</v>
      </c>
      <c r="E1881" s="18">
        <v>18.239999999999998</v>
      </c>
      <c r="F1881" s="18">
        <v>24.08</v>
      </c>
      <c r="G1881" s="18">
        <v>18.285599999999999</v>
      </c>
      <c r="H1881" s="18">
        <v>24.274550000000001</v>
      </c>
      <c r="I1881" s="8">
        <v>0.21537484116899619</v>
      </c>
      <c r="J1881" s="8">
        <v>-0.28646027601641177</v>
      </c>
      <c r="K1881" s="8">
        <v>4.8793859649122862E-2</v>
      </c>
      <c r="L1881" s="8">
        <v>-0.20556478405315609</v>
      </c>
      <c r="M1881" s="18">
        <v>-0.2278563592514489</v>
      </c>
    </row>
    <row r="1882" spans="1:13" x14ac:dyDescent="0.45">
      <c r="A1882" t="s">
        <v>1687</v>
      </c>
      <c r="B1882" s="18">
        <v>10.36</v>
      </c>
      <c r="C1882" s="18">
        <v>10.25</v>
      </c>
      <c r="D1882" s="18">
        <v>10.039999999999999</v>
      </c>
      <c r="E1882" s="18">
        <v>9.8800000000000008</v>
      </c>
      <c r="F1882" s="18">
        <v>10.83</v>
      </c>
      <c r="G1882" s="18">
        <v>10.114000000000001</v>
      </c>
      <c r="H1882" s="18">
        <v>10.1014</v>
      </c>
      <c r="I1882" s="8">
        <v>1.073170731707318E-2</v>
      </c>
      <c r="J1882" s="8">
        <v>3.1872509960159327E-2</v>
      </c>
      <c r="K1882" s="8">
        <v>4.8582995951416803E-2</v>
      </c>
      <c r="L1882" s="8">
        <v>-4.3397968605724868E-2</v>
      </c>
      <c r="M1882" s="18">
        <v>4.7789244622924443E-2</v>
      </c>
    </row>
    <row r="1883" spans="1:13" x14ac:dyDescent="0.45">
      <c r="A1883" t="s">
        <v>985</v>
      </c>
      <c r="B1883" s="18">
        <v>58.94</v>
      </c>
      <c r="C1883" s="18">
        <v>59.62</v>
      </c>
      <c r="D1883" s="18">
        <v>60.3</v>
      </c>
      <c r="E1883" s="18">
        <v>56.21</v>
      </c>
      <c r="F1883" s="18">
        <v>70.010000000000005</v>
      </c>
      <c r="G1883" s="18">
        <v>57.288400000000003</v>
      </c>
      <c r="H1883" s="18">
        <v>60.814349999999997</v>
      </c>
      <c r="I1883" s="8">
        <v>-1.14055686011405E-2</v>
      </c>
      <c r="J1883" s="8">
        <v>-2.2553897180762839E-2</v>
      </c>
      <c r="K1883" s="8">
        <v>4.8567870485678677E-2</v>
      </c>
      <c r="L1883" s="8">
        <v>-0.15812026853306679</v>
      </c>
      <c r="M1883" s="18">
        <v>-0.14351186382929151</v>
      </c>
    </row>
    <row r="1884" spans="1:13" x14ac:dyDescent="0.45">
      <c r="A1884" t="s">
        <v>1107</v>
      </c>
      <c r="B1884" s="18">
        <v>23.790500000000002</v>
      </c>
      <c r="C1884" s="18">
        <v>24.083400000000001</v>
      </c>
      <c r="D1884" s="18">
        <v>23.754300000000001</v>
      </c>
      <c r="E1884" s="18">
        <v>22.7</v>
      </c>
      <c r="F1884" s="18">
        <v>24.9</v>
      </c>
      <c r="G1884" s="18">
        <v>23.732028</v>
      </c>
      <c r="H1884" s="18">
        <v>23.6631705</v>
      </c>
      <c r="I1884" s="8">
        <v>-1.2161904050092541E-2</v>
      </c>
      <c r="J1884" s="8">
        <v>1.5239346139435119E-3</v>
      </c>
      <c r="K1884" s="8">
        <v>4.8039647577092559E-2</v>
      </c>
      <c r="L1884" s="8">
        <v>-4.4558232931726782E-2</v>
      </c>
      <c r="M1884" s="18">
        <v>-7.1565547907832538E-3</v>
      </c>
    </row>
    <row r="1885" spans="1:13" x14ac:dyDescent="0.45">
      <c r="A1885" t="s">
        <v>39</v>
      </c>
      <c r="B1885" s="18">
        <v>46.62</v>
      </c>
      <c r="C1885" s="18">
        <v>43.09</v>
      </c>
      <c r="D1885" s="18">
        <v>43.63</v>
      </c>
      <c r="E1885" s="18">
        <v>44.49</v>
      </c>
      <c r="F1885" s="18">
        <v>40.21</v>
      </c>
      <c r="G1885" s="18">
        <v>44.334400000000002</v>
      </c>
      <c r="H1885" s="18">
        <v>43.265075000000003</v>
      </c>
      <c r="I1885" s="8">
        <v>8.1921559526572096E-2</v>
      </c>
      <c r="J1885" s="8">
        <v>6.8530827412330853E-2</v>
      </c>
      <c r="K1885" s="8">
        <v>4.7875927174645838E-2</v>
      </c>
      <c r="L1885" s="8">
        <v>0.1594130813230539</v>
      </c>
      <c r="M1885" s="18">
        <v>0.35774139543660272</v>
      </c>
    </row>
    <row r="1886" spans="1:13" x14ac:dyDescent="0.45">
      <c r="A1886" t="s">
        <v>2411</v>
      </c>
      <c r="B1886" s="18">
        <v>15.77</v>
      </c>
      <c r="C1886" s="18">
        <v>15.65</v>
      </c>
      <c r="D1886" s="18">
        <v>15.48</v>
      </c>
      <c r="E1886" s="18">
        <v>15.05</v>
      </c>
      <c r="F1886" s="18">
        <v>16.97</v>
      </c>
      <c r="G1886" s="18">
        <v>15.607944</v>
      </c>
      <c r="H1886" s="18">
        <v>15.4640325</v>
      </c>
      <c r="I1886" s="8">
        <v>7.6677316293929376E-3</v>
      </c>
      <c r="J1886" s="8">
        <v>1.8733850129198929E-2</v>
      </c>
      <c r="K1886" s="8">
        <v>4.7840531561461619E-2</v>
      </c>
      <c r="L1886" s="8">
        <v>-7.0713022981732432E-2</v>
      </c>
      <c r="M1886" s="18">
        <v>3.5290903383210499E-3</v>
      </c>
    </row>
    <row r="1887" spans="1:13" x14ac:dyDescent="0.45">
      <c r="A1887" t="s">
        <v>287</v>
      </c>
      <c r="B1887" s="18">
        <v>18.850000000000001</v>
      </c>
      <c r="C1887" s="18">
        <v>18.059999999999999</v>
      </c>
      <c r="D1887" s="18">
        <v>18.54</v>
      </c>
      <c r="E1887" s="18">
        <v>17.989999999999998</v>
      </c>
      <c r="F1887" s="18">
        <v>22.12</v>
      </c>
      <c r="G1887" s="18">
        <v>17.948599999999999</v>
      </c>
      <c r="H1887" s="18">
        <v>18.691099999999999</v>
      </c>
      <c r="I1887" s="8">
        <v>4.3743078626799603E-2</v>
      </c>
      <c r="J1887" s="8">
        <v>1.6720604099244921E-2</v>
      </c>
      <c r="K1887" s="8">
        <v>4.7804335742079207E-2</v>
      </c>
      <c r="L1887" s="8">
        <v>-0.14783001808318261</v>
      </c>
      <c r="M1887" s="18">
        <v>-3.9561999615058907E-2</v>
      </c>
    </row>
    <row r="1888" spans="1:13" x14ac:dyDescent="0.45">
      <c r="A1888" t="s">
        <v>2412</v>
      </c>
      <c r="B1888" s="18">
        <v>10.57</v>
      </c>
      <c r="C1888" s="18">
        <v>10.38</v>
      </c>
      <c r="D1888" s="18">
        <v>10.5</v>
      </c>
      <c r="E1888" s="18">
        <v>10.09</v>
      </c>
      <c r="F1888" s="18">
        <v>10.84</v>
      </c>
      <c r="G1888" s="18">
        <v>10.3498</v>
      </c>
      <c r="H1888" s="18">
        <v>10.505494499999999</v>
      </c>
      <c r="I1888" s="8">
        <v>1.8304431599229339E-2</v>
      </c>
      <c r="J1888" s="8">
        <v>6.6666666666665986E-3</v>
      </c>
      <c r="K1888" s="8">
        <v>4.757185332011904E-2</v>
      </c>
      <c r="L1888" s="8">
        <v>-2.4907749077490719E-2</v>
      </c>
      <c r="M1888" s="18">
        <v>4.7635202508524273E-2</v>
      </c>
    </row>
    <row r="1889" spans="1:13" x14ac:dyDescent="0.45">
      <c r="A1889" t="s">
        <v>1080</v>
      </c>
      <c r="B1889" s="18">
        <v>18.239999999999998</v>
      </c>
      <c r="C1889" s="18">
        <v>18.52</v>
      </c>
      <c r="D1889" s="18">
        <v>17.62</v>
      </c>
      <c r="E1889" s="18">
        <v>17.4133</v>
      </c>
      <c r="F1889" s="18">
        <v>21.18</v>
      </c>
      <c r="G1889" s="18">
        <v>18.228000000000002</v>
      </c>
      <c r="H1889" s="18">
        <v>17.980525</v>
      </c>
      <c r="I1889" s="8">
        <v>-1.511879049676035E-2</v>
      </c>
      <c r="J1889" s="8">
        <v>3.5187287173666038E-2</v>
      </c>
      <c r="K1889" s="8">
        <v>4.7475205733548347E-2</v>
      </c>
      <c r="L1889" s="8">
        <v>-0.13881019830028329</v>
      </c>
      <c r="M1889" s="18">
        <v>-7.1266495889829251E-2</v>
      </c>
    </row>
    <row r="1890" spans="1:13" x14ac:dyDescent="0.45">
      <c r="A1890" t="s">
        <v>1202</v>
      </c>
      <c r="B1890" s="18">
        <v>60.78</v>
      </c>
      <c r="C1890" s="18">
        <v>66.760000000000005</v>
      </c>
      <c r="D1890" s="18">
        <v>56.57</v>
      </c>
      <c r="E1890" s="18">
        <v>58.03</v>
      </c>
      <c r="F1890" s="18">
        <v>64.790000000000006</v>
      </c>
      <c r="G1890" s="18">
        <v>64.68180000000001</v>
      </c>
      <c r="H1890" s="18">
        <v>61.961150000000004</v>
      </c>
      <c r="I1890" s="8">
        <v>-8.9574595566207393E-2</v>
      </c>
      <c r="J1890" s="8">
        <v>7.4421071239172631E-2</v>
      </c>
      <c r="K1890" s="8">
        <v>4.7389281406169159E-2</v>
      </c>
      <c r="L1890" s="8">
        <v>-6.1892267325204593E-2</v>
      </c>
      <c r="M1890" s="18">
        <v>-2.9656510246070189E-2</v>
      </c>
    </row>
    <row r="1891" spans="1:13" x14ac:dyDescent="0.45">
      <c r="A1891" t="s">
        <v>534</v>
      </c>
      <c r="B1891" s="18">
        <v>10.45</v>
      </c>
      <c r="C1891" s="18">
        <v>11.1</v>
      </c>
      <c r="D1891" s="18">
        <v>12.43</v>
      </c>
      <c r="E1891" s="18">
        <v>9.98</v>
      </c>
      <c r="F1891" s="18">
        <v>11.51</v>
      </c>
      <c r="G1891" s="18">
        <v>11.3222</v>
      </c>
      <c r="H1891" s="18">
        <v>11.2158</v>
      </c>
      <c r="I1891" s="8">
        <v>-5.8558558558558627E-2</v>
      </c>
      <c r="J1891" s="8">
        <v>-0.15929203539823009</v>
      </c>
      <c r="K1891" s="8">
        <v>4.7094188376753499E-2</v>
      </c>
      <c r="L1891" s="8">
        <v>-9.2093831450912322E-2</v>
      </c>
      <c r="M1891" s="18">
        <v>-0.26285023703094762</v>
      </c>
    </row>
    <row r="1892" spans="1:13" x14ac:dyDescent="0.45">
      <c r="A1892" t="s">
        <v>664</v>
      </c>
      <c r="B1892" s="18">
        <v>25.715</v>
      </c>
      <c r="C1892" s="18">
        <v>25.89</v>
      </c>
      <c r="D1892" s="18">
        <v>25.23</v>
      </c>
      <c r="E1892" s="18">
        <v>24.56</v>
      </c>
      <c r="F1892" s="18">
        <v>25.77</v>
      </c>
      <c r="G1892" s="18">
        <v>25.624919999999999</v>
      </c>
      <c r="H1892" s="18">
        <v>25.281622500000001</v>
      </c>
      <c r="I1892" s="8">
        <v>-6.7593665507917899E-3</v>
      </c>
      <c r="J1892" s="8">
        <v>1.9223147047165989E-2</v>
      </c>
      <c r="K1892" s="8">
        <v>4.7027687296417042E-2</v>
      </c>
      <c r="L1892" s="8">
        <v>-2.1342646488164969E-3</v>
      </c>
      <c r="M1892" s="18">
        <v>5.7357203143974737E-2</v>
      </c>
    </row>
    <row r="1893" spans="1:13" x14ac:dyDescent="0.45">
      <c r="A1893" t="s">
        <v>1922</v>
      </c>
      <c r="B1893" s="18">
        <v>6.3</v>
      </c>
      <c r="C1893" s="18">
        <v>6.38</v>
      </c>
      <c r="D1893" s="18">
        <v>6.41</v>
      </c>
      <c r="E1893" s="18">
        <v>6.02</v>
      </c>
      <c r="F1893" s="18">
        <v>6.8</v>
      </c>
      <c r="G1893" s="18">
        <v>6.389996</v>
      </c>
      <c r="H1893" s="18">
        <v>6.4445600000000001</v>
      </c>
      <c r="I1893" s="8">
        <v>-1.253918495297812E-2</v>
      </c>
      <c r="J1893" s="8">
        <v>-1.7160686427457161E-2</v>
      </c>
      <c r="K1893" s="8">
        <v>4.6511627906976827E-2</v>
      </c>
      <c r="L1893" s="8">
        <v>-7.3529411764705843E-2</v>
      </c>
      <c r="M1893" s="18">
        <v>-5.67176552381643E-2</v>
      </c>
    </row>
    <row r="1894" spans="1:13" x14ac:dyDescent="0.45">
      <c r="A1894" t="s">
        <v>1987</v>
      </c>
      <c r="B1894" s="18">
        <v>24.13</v>
      </c>
      <c r="C1894" s="18">
        <v>23.71</v>
      </c>
      <c r="D1894" s="18">
        <v>23.8</v>
      </c>
      <c r="E1894" s="18">
        <v>23.06</v>
      </c>
      <c r="F1894" s="18">
        <v>15.09</v>
      </c>
      <c r="G1894" s="18">
        <v>23.872800000000002</v>
      </c>
      <c r="H1894" s="18">
        <v>20.985299999999999</v>
      </c>
      <c r="I1894" s="8">
        <v>1.7714044706874651E-2</v>
      </c>
      <c r="J1894" s="8">
        <v>1.3865546218487349E-2</v>
      </c>
      <c r="K1894" s="8">
        <v>4.6400693842150842E-2</v>
      </c>
      <c r="L1894" s="8">
        <v>0.59907223326706416</v>
      </c>
      <c r="M1894" s="18">
        <v>0.677052518034577</v>
      </c>
    </row>
    <row r="1895" spans="1:13" x14ac:dyDescent="0.45">
      <c r="A1895" t="s">
        <v>555</v>
      </c>
      <c r="B1895" s="18">
        <v>10.83</v>
      </c>
      <c r="C1895" s="18">
        <v>10.61</v>
      </c>
      <c r="D1895" s="18">
        <v>10.29</v>
      </c>
      <c r="E1895" s="18">
        <v>10.35</v>
      </c>
      <c r="F1895" s="18">
        <v>11.78</v>
      </c>
      <c r="G1895" s="18">
        <v>10.5282</v>
      </c>
      <c r="H1895" s="18">
        <v>10.584179000000001</v>
      </c>
      <c r="I1895" s="8">
        <v>2.073515551366634E-2</v>
      </c>
      <c r="J1895" s="8">
        <v>5.2478134110787167E-2</v>
      </c>
      <c r="K1895" s="8">
        <v>4.6376811594202927E-2</v>
      </c>
      <c r="L1895" s="8">
        <v>-8.0645161290322509E-2</v>
      </c>
      <c r="M1895" s="18">
        <v>3.8944939928333921E-2</v>
      </c>
    </row>
    <row r="1896" spans="1:13" x14ac:dyDescent="0.45">
      <c r="A1896" t="s">
        <v>2222</v>
      </c>
      <c r="B1896" s="18">
        <v>25.26</v>
      </c>
      <c r="C1896" s="18">
        <v>25.15</v>
      </c>
      <c r="D1896" s="18">
        <v>25.06</v>
      </c>
      <c r="E1896" s="18">
        <v>24.141999999999999</v>
      </c>
      <c r="F1896" s="18"/>
      <c r="G1896" s="18">
        <v>25.126884</v>
      </c>
      <c r="H1896" s="18">
        <v>24.8901535</v>
      </c>
      <c r="I1896" s="8">
        <v>4.3737574552684677E-3</v>
      </c>
      <c r="J1896" s="8">
        <v>7.9808459696728562E-3</v>
      </c>
      <c r="K1896" s="8">
        <v>4.630933642614532E-2</v>
      </c>
      <c r="L1896" s="8"/>
      <c r="M1896" s="18">
        <v>5.8663939851086637E-2</v>
      </c>
    </row>
    <row r="1897" spans="1:13" x14ac:dyDescent="0.45">
      <c r="A1897" t="s">
        <v>1697</v>
      </c>
      <c r="B1897" s="18">
        <v>48.84</v>
      </c>
      <c r="C1897" s="18">
        <v>50.03</v>
      </c>
      <c r="D1897" s="18">
        <v>50.46</v>
      </c>
      <c r="E1897" s="18">
        <v>46.68</v>
      </c>
      <c r="F1897" s="18">
        <v>44.66</v>
      </c>
      <c r="G1897" s="18">
        <v>50.513399999999997</v>
      </c>
      <c r="H1897" s="18">
        <v>51.085450000000002</v>
      </c>
      <c r="I1897" s="8">
        <v>-2.3785728562862211E-2</v>
      </c>
      <c r="J1897" s="8">
        <v>-3.2104637336504149E-2</v>
      </c>
      <c r="K1897" s="8">
        <v>4.6272493573264788E-2</v>
      </c>
      <c r="L1897" s="8">
        <v>9.3596059113300711E-2</v>
      </c>
      <c r="M1897" s="18">
        <v>8.3978186787199149E-2</v>
      </c>
    </row>
    <row r="1898" spans="1:13" x14ac:dyDescent="0.45">
      <c r="A1898" t="s">
        <v>33</v>
      </c>
      <c r="B1898" s="18">
        <v>198.81</v>
      </c>
      <c r="C1898" s="18">
        <v>202.07</v>
      </c>
      <c r="D1898" s="18">
        <v>216.56</v>
      </c>
      <c r="E1898" s="18">
        <v>190.11</v>
      </c>
      <c r="F1898" s="18">
        <v>204.91</v>
      </c>
      <c r="G1898" s="18">
        <v>209.8776</v>
      </c>
      <c r="H1898" s="18">
        <v>208.25885</v>
      </c>
      <c r="I1898" s="8">
        <v>-1.6133023209778719E-2</v>
      </c>
      <c r="J1898" s="8">
        <v>-8.1963428149242734E-2</v>
      </c>
      <c r="K1898" s="8">
        <v>4.5762979327757643E-2</v>
      </c>
      <c r="L1898" s="8">
        <v>-2.9769166951344461E-2</v>
      </c>
      <c r="M1898" s="18">
        <v>-8.2102638982608278E-2</v>
      </c>
    </row>
    <row r="1899" spans="1:13" x14ac:dyDescent="0.45">
      <c r="A1899" t="s">
        <v>621</v>
      </c>
      <c r="B1899" s="18">
        <v>25.25</v>
      </c>
      <c r="C1899" s="18">
        <v>25.2013</v>
      </c>
      <c r="D1899" s="18">
        <v>25.225000000000001</v>
      </c>
      <c r="E1899" s="18">
        <v>24.15</v>
      </c>
      <c r="F1899" s="18">
        <v>25.96</v>
      </c>
      <c r="G1899" s="18">
        <v>25.173178</v>
      </c>
      <c r="H1899" s="18">
        <v>25.056657999999999</v>
      </c>
      <c r="I1899" s="8">
        <v>1.93243999317505E-3</v>
      </c>
      <c r="J1899" s="8">
        <v>9.9108027750238747E-4</v>
      </c>
      <c r="K1899" s="8">
        <v>4.554865424430643E-2</v>
      </c>
      <c r="L1899" s="8">
        <v>-2.7349768875192582E-2</v>
      </c>
      <c r="M1899" s="18">
        <v>2.112240563979129E-2</v>
      </c>
    </row>
    <row r="1900" spans="1:13" x14ac:dyDescent="0.45">
      <c r="A1900" t="s">
        <v>2475</v>
      </c>
      <c r="B1900" s="18">
        <v>36.64</v>
      </c>
      <c r="C1900" s="18">
        <v>40.880000000000003</v>
      </c>
      <c r="D1900" s="18">
        <v>45.98</v>
      </c>
      <c r="E1900" s="18">
        <v>35.049999999999997</v>
      </c>
      <c r="F1900" s="18">
        <v>64.3</v>
      </c>
      <c r="G1900" s="18">
        <v>40.299399999999999</v>
      </c>
      <c r="H1900" s="18">
        <v>46.442599999999999</v>
      </c>
      <c r="I1900" s="8">
        <v>-0.1037181996086106</v>
      </c>
      <c r="J1900" s="8">
        <v>-0.20313179643323179</v>
      </c>
      <c r="K1900" s="8">
        <v>4.536376604850223E-2</v>
      </c>
      <c r="L1900" s="8">
        <v>-0.4301710730948678</v>
      </c>
      <c r="M1900" s="18">
        <v>-0.69165730308820794</v>
      </c>
    </row>
    <row r="1901" spans="1:13" x14ac:dyDescent="0.45">
      <c r="A1901" t="s">
        <v>1093</v>
      </c>
      <c r="B1901" s="18">
        <v>21.565000000000001</v>
      </c>
      <c r="C1901" s="18">
        <v>21.55</v>
      </c>
      <c r="D1901" s="18">
        <v>20.77</v>
      </c>
      <c r="E1901" s="18">
        <v>20.63</v>
      </c>
      <c r="F1901" s="18">
        <v>23.24</v>
      </c>
      <c r="G1901" s="18">
        <v>21.562543999999999</v>
      </c>
      <c r="H1901" s="18">
        <v>21.086969499999999</v>
      </c>
      <c r="I1901" s="8">
        <v>6.9605568445485488E-4</v>
      </c>
      <c r="J1901" s="8">
        <v>3.827636013480995E-2</v>
      </c>
      <c r="K1901" s="8">
        <v>4.5322346097915737E-2</v>
      </c>
      <c r="L1901" s="8">
        <v>-7.2074010327022209E-2</v>
      </c>
      <c r="M1901" s="18">
        <v>1.2220751590158341E-2</v>
      </c>
    </row>
    <row r="1902" spans="1:13" x14ac:dyDescent="0.45">
      <c r="A1902" t="s">
        <v>2041</v>
      </c>
      <c r="B1902" s="18">
        <v>24.2</v>
      </c>
      <c r="C1902" s="18">
        <v>23.750499999999999</v>
      </c>
      <c r="D1902" s="18">
        <v>23.49</v>
      </c>
      <c r="E1902" s="18">
        <v>23.16</v>
      </c>
      <c r="F1902" s="18">
        <v>121.46</v>
      </c>
      <c r="G1902" s="18">
        <v>23.795306</v>
      </c>
      <c r="H1902" s="18">
        <v>23.903636500000001</v>
      </c>
      <c r="I1902" s="8">
        <v>1.8925917349108531E-2</v>
      </c>
      <c r="J1902" s="8">
        <v>3.022562792677741E-2</v>
      </c>
      <c r="K1902" s="8">
        <v>4.4905008635578447E-2</v>
      </c>
      <c r="L1902" s="8">
        <v>-0.80075745101267903</v>
      </c>
      <c r="M1902" s="18">
        <v>-0.70670089710121464</v>
      </c>
    </row>
    <row r="1903" spans="1:13" x14ac:dyDescent="0.45">
      <c r="A1903" t="s">
        <v>310</v>
      </c>
      <c r="B1903" s="18">
        <v>46.66</v>
      </c>
      <c r="C1903" s="18">
        <v>46.88</v>
      </c>
      <c r="D1903" s="18">
        <v>52.41</v>
      </c>
      <c r="E1903" s="18">
        <v>44.66</v>
      </c>
      <c r="F1903" s="18">
        <v>48.53</v>
      </c>
      <c r="G1903" s="18">
        <v>47.260800000000003</v>
      </c>
      <c r="H1903" s="18">
        <v>50.261200000000002</v>
      </c>
      <c r="I1903" s="8">
        <v>-4.6928327645052734E-3</v>
      </c>
      <c r="J1903" s="8">
        <v>-0.1097118870444572</v>
      </c>
      <c r="K1903" s="8">
        <v>4.4782803403493172E-2</v>
      </c>
      <c r="L1903" s="8">
        <v>-3.853286626828778E-2</v>
      </c>
      <c r="M1903" s="18">
        <v>-0.1081547826737571</v>
      </c>
    </row>
    <row r="1904" spans="1:13" x14ac:dyDescent="0.45">
      <c r="A1904" t="s">
        <v>655</v>
      </c>
      <c r="B1904" s="18">
        <v>48.6</v>
      </c>
      <c r="C1904" s="18">
        <v>53.32</v>
      </c>
      <c r="D1904" s="18">
        <v>54.47</v>
      </c>
      <c r="E1904" s="18">
        <v>46.53</v>
      </c>
      <c r="F1904" s="18">
        <v>85.59</v>
      </c>
      <c r="G1904" s="18">
        <v>52.179000000000002</v>
      </c>
      <c r="H1904" s="18">
        <v>56.009199999999993</v>
      </c>
      <c r="I1904" s="8">
        <v>-8.8522130532633136E-2</v>
      </c>
      <c r="J1904" s="8">
        <v>-0.1077657426106113</v>
      </c>
      <c r="K1904" s="8">
        <v>4.4487427466150857E-2</v>
      </c>
      <c r="L1904" s="8">
        <v>-0.43217665615141948</v>
      </c>
      <c r="M1904" s="18">
        <v>-0.58397710182851315</v>
      </c>
    </row>
    <row r="1905" spans="1:13" x14ac:dyDescent="0.45">
      <c r="A1905" t="s">
        <v>1438</v>
      </c>
      <c r="B1905" s="18">
        <v>11.35</v>
      </c>
      <c r="C1905" s="18">
        <v>11.19</v>
      </c>
      <c r="D1905" s="18">
        <v>11.05</v>
      </c>
      <c r="E1905" s="18">
        <v>10.87</v>
      </c>
      <c r="F1905" s="18">
        <v>10.61</v>
      </c>
      <c r="G1905" s="18">
        <v>11.172616</v>
      </c>
      <c r="H1905" s="18">
        <v>10.960564</v>
      </c>
      <c r="I1905" s="8">
        <v>1.429848078641638E-2</v>
      </c>
      <c r="J1905" s="8">
        <v>2.7149321266968229E-2</v>
      </c>
      <c r="K1905" s="8">
        <v>4.4158233670653191E-2</v>
      </c>
      <c r="L1905" s="8">
        <v>6.9745523091423234E-2</v>
      </c>
      <c r="M1905" s="18">
        <v>0.155351558815461</v>
      </c>
    </row>
    <row r="1906" spans="1:13" x14ac:dyDescent="0.45">
      <c r="A1906" t="s">
        <v>182</v>
      </c>
      <c r="B1906" s="18">
        <v>287.10000000000002</v>
      </c>
      <c r="C1906" s="18">
        <v>276.99</v>
      </c>
      <c r="D1906" s="18">
        <v>280.54000000000002</v>
      </c>
      <c r="E1906" s="18">
        <v>274.99</v>
      </c>
      <c r="F1906" s="18">
        <v>290.58999999999997</v>
      </c>
      <c r="G1906" s="18">
        <v>275.82799999999997</v>
      </c>
      <c r="H1906" s="18">
        <v>280.21519999999998</v>
      </c>
      <c r="I1906" s="8">
        <v>3.6499512617784058E-2</v>
      </c>
      <c r="J1906" s="8">
        <v>2.3383474727311618E-2</v>
      </c>
      <c r="K1906" s="8">
        <v>4.4037965016909819E-2</v>
      </c>
      <c r="L1906" s="8">
        <v>-1.201004852197241E-2</v>
      </c>
      <c r="M1906" s="18">
        <v>9.1910903840033087E-2</v>
      </c>
    </row>
    <row r="1907" spans="1:13" x14ac:dyDescent="0.45">
      <c r="A1907" t="s">
        <v>469</v>
      </c>
      <c r="B1907" s="18">
        <v>1285.8499999999999</v>
      </c>
      <c r="C1907" s="18">
        <v>1312.09</v>
      </c>
      <c r="D1907" s="18">
        <v>1539.53</v>
      </c>
      <c r="E1907" s="18">
        <v>1231.75</v>
      </c>
      <c r="F1907" s="18">
        <v>1355.46</v>
      </c>
      <c r="G1907" s="18">
        <v>1358.5021999999999</v>
      </c>
      <c r="H1907" s="18">
        <v>1382.8615</v>
      </c>
      <c r="I1907" s="8">
        <v>-1.9998628142886551E-2</v>
      </c>
      <c r="J1907" s="8">
        <v>-0.1647775619832027</v>
      </c>
      <c r="K1907" s="8">
        <v>4.3921250253704081E-2</v>
      </c>
      <c r="L1907" s="8">
        <v>-5.1355259469110237E-2</v>
      </c>
      <c r="M1907" s="18">
        <v>-0.19221019934149541</v>
      </c>
    </row>
    <row r="1908" spans="1:13" x14ac:dyDescent="0.45">
      <c r="A1908" t="s">
        <v>739</v>
      </c>
      <c r="B1908" s="18">
        <v>10.94</v>
      </c>
      <c r="C1908" s="18">
        <v>10.75</v>
      </c>
      <c r="D1908" s="18">
        <v>10.84</v>
      </c>
      <c r="E1908" s="18">
        <v>10.48</v>
      </c>
      <c r="F1908" s="18">
        <v>12.08</v>
      </c>
      <c r="G1908" s="18">
        <v>10.6639</v>
      </c>
      <c r="H1908" s="18">
        <v>10.8909745</v>
      </c>
      <c r="I1908" s="8">
        <v>1.7674418604651129E-2</v>
      </c>
      <c r="J1908" s="8">
        <v>9.2250922509224953E-3</v>
      </c>
      <c r="K1908" s="8">
        <v>4.3893129770992363E-2</v>
      </c>
      <c r="L1908" s="8">
        <v>-9.4370860927152411E-2</v>
      </c>
      <c r="M1908" s="18">
        <v>-2.3578220300586431E-2</v>
      </c>
    </row>
    <row r="1909" spans="1:13" x14ac:dyDescent="0.45">
      <c r="A1909" t="s">
        <v>2478</v>
      </c>
      <c r="B1909" s="18">
        <v>8.4499999999999993</v>
      </c>
      <c r="C1909" s="18">
        <v>8.4</v>
      </c>
      <c r="D1909" s="18">
        <v>8.3435000000000006</v>
      </c>
      <c r="E1909" s="18">
        <v>8.0950000000000006</v>
      </c>
      <c r="F1909" s="18">
        <v>8.4600000000000009</v>
      </c>
      <c r="G1909" s="18">
        <v>8.3951759999999993</v>
      </c>
      <c r="H1909" s="18">
        <v>8.2592514999999995</v>
      </c>
      <c r="I1909" s="8">
        <v>5.9523809523809312E-3</v>
      </c>
      <c r="J1909" s="8">
        <v>1.2764427398573639E-2</v>
      </c>
      <c r="K1909" s="8">
        <v>4.3854231006794198E-2</v>
      </c>
      <c r="L1909" s="8">
        <v>-1.182033096926882E-3</v>
      </c>
      <c r="M1909" s="18">
        <v>6.1389006260821888E-2</v>
      </c>
    </row>
    <row r="1910" spans="1:13" x14ac:dyDescent="0.45">
      <c r="A1910" t="s">
        <v>586</v>
      </c>
      <c r="B1910" s="18">
        <v>67.37</v>
      </c>
      <c r="C1910" s="18">
        <v>63.5</v>
      </c>
      <c r="D1910" s="18">
        <v>64.97</v>
      </c>
      <c r="E1910" s="18">
        <v>64.55</v>
      </c>
      <c r="F1910" s="18">
        <v>64.209999999999994</v>
      </c>
      <c r="G1910" s="18">
        <v>64.967399999999998</v>
      </c>
      <c r="H1910" s="18">
        <v>65.179749999999999</v>
      </c>
      <c r="I1910" s="8">
        <v>6.0944881889763769E-2</v>
      </c>
      <c r="J1910" s="8">
        <v>3.6940126212098079E-2</v>
      </c>
      <c r="K1910" s="8">
        <v>4.3687064291247253E-2</v>
      </c>
      <c r="L1910" s="8">
        <v>4.9213518143591539E-2</v>
      </c>
      <c r="M1910" s="18">
        <v>0.19078559053670061</v>
      </c>
    </row>
    <row r="1911" spans="1:13" x14ac:dyDescent="0.45">
      <c r="A1911" t="s">
        <v>1328</v>
      </c>
      <c r="B1911" s="18">
        <v>24.41</v>
      </c>
      <c r="C1911" s="18">
        <v>23.59</v>
      </c>
      <c r="D1911" s="18">
        <v>23.1</v>
      </c>
      <c r="E1911" s="18">
        <v>23.39</v>
      </c>
      <c r="F1911" s="18">
        <v>21.4</v>
      </c>
      <c r="G1911" s="18">
        <v>24.066400000000002</v>
      </c>
      <c r="H1911" s="18">
        <v>25.771550000000001</v>
      </c>
      <c r="I1911" s="8">
        <v>3.4760491733785592E-2</v>
      </c>
      <c r="J1911" s="8">
        <v>5.670995670995671E-2</v>
      </c>
      <c r="K1911" s="8">
        <v>4.3608379649422879E-2</v>
      </c>
      <c r="L1911" s="8">
        <v>0.14065420560747671</v>
      </c>
      <c r="M1911" s="18">
        <v>0.27573303370064178</v>
      </c>
    </row>
    <row r="1912" spans="1:13" x14ac:dyDescent="0.45">
      <c r="A1912" t="s">
        <v>1105</v>
      </c>
      <c r="B1912" s="18">
        <v>25.18</v>
      </c>
      <c r="C1912" s="18">
        <v>25.39</v>
      </c>
      <c r="D1912" s="18">
        <v>24.75</v>
      </c>
      <c r="E1912" s="18">
        <v>24.13</v>
      </c>
      <c r="F1912" s="18"/>
      <c r="G1912" s="18">
        <v>25.044998</v>
      </c>
      <c r="H1912" s="18">
        <v>24.806201999999999</v>
      </c>
      <c r="I1912" s="8">
        <v>-8.2709728239465097E-3</v>
      </c>
      <c r="J1912" s="8">
        <v>1.737373737373726E-2</v>
      </c>
      <c r="K1912" s="8">
        <v>4.3514297554910993E-2</v>
      </c>
      <c r="L1912" s="8"/>
      <c r="M1912" s="18">
        <v>5.261706210470174E-2</v>
      </c>
    </row>
    <row r="1913" spans="1:13" x14ac:dyDescent="0.45">
      <c r="A1913" t="s">
        <v>190</v>
      </c>
      <c r="B1913" s="18">
        <v>73.19</v>
      </c>
      <c r="C1913" s="18">
        <v>70.91</v>
      </c>
      <c r="D1913" s="18">
        <v>70.540000000000006</v>
      </c>
      <c r="E1913" s="18">
        <v>70.19</v>
      </c>
      <c r="F1913" s="18">
        <v>71.22</v>
      </c>
      <c r="G1913" s="18">
        <v>72.233199999999997</v>
      </c>
      <c r="H1913" s="18">
        <v>70.873350000000002</v>
      </c>
      <c r="I1913" s="8">
        <v>3.2153433930334208E-2</v>
      </c>
      <c r="J1913" s="8">
        <v>3.7567337680748381E-2</v>
      </c>
      <c r="K1913" s="8">
        <v>4.2741131215272787E-2</v>
      </c>
      <c r="L1913" s="8">
        <v>2.7660769446784531E-2</v>
      </c>
      <c r="M1913" s="18">
        <v>0.1401226722731399</v>
      </c>
    </row>
    <row r="1914" spans="1:13" x14ac:dyDescent="0.45">
      <c r="A1914" t="s">
        <v>1659</v>
      </c>
      <c r="B1914" s="18">
        <v>15.97</v>
      </c>
      <c r="C1914" s="18">
        <v>16.5</v>
      </c>
      <c r="D1914" s="18">
        <v>15.72</v>
      </c>
      <c r="E1914" s="18">
        <v>15.32</v>
      </c>
      <c r="F1914" s="18">
        <v>17.829999999999998</v>
      </c>
      <c r="G1914" s="18">
        <v>16.19257</v>
      </c>
      <c r="H1914" s="18">
        <v>15.799846000000001</v>
      </c>
      <c r="I1914" s="8">
        <v>-3.2121212121212113E-2</v>
      </c>
      <c r="J1914" s="8">
        <v>1.5903307888040619E-2</v>
      </c>
      <c r="K1914" s="8">
        <v>4.2428198433420487E-2</v>
      </c>
      <c r="L1914" s="8">
        <v>-0.1043185642176107</v>
      </c>
      <c r="M1914" s="18">
        <v>-7.8108270017361647E-2</v>
      </c>
    </row>
    <row r="1915" spans="1:13" x14ac:dyDescent="0.45">
      <c r="A1915" t="s">
        <v>1455</v>
      </c>
      <c r="B1915" s="18">
        <v>16.73</v>
      </c>
      <c r="C1915" s="18">
        <v>16.8</v>
      </c>
      <c r="D1915" s="18">
        <v>16.55</v>
      </c>
      <c r="E1915" s="18">
        <v>16.05</v>
      </c>
      <c r="F1915" s="18">
        <v>17.329999999999998</v>
      </c>
      <c r="G1915" s="18">
        <v>16.675312000000002</v>
      </c>
      <c r="H1915" s="18">
        <v>16.489023499999998</v>
      </c>
      <c r="I1915" s="8">
        <v>-4.1666666666666519E-3</v>
      </c>
      <c r="J1915" s="8">
        <v>1.087613293051359E-2</v>
      </c>
      <c r="K1915" s="8">
        <v>4.2367601246105828E-2</v>
      </c>
      <c r="L1915" s="8">
        <v>-3.4622042700519162E-2</v>
      </c>
      <c r="M1915" s="18">
        <v>1.4455024809433611E-2</v>
      </c>
    </row>
    <row r="1916" spans="1:13" x14ac:dyDescent="0.45">
      <c r="A1916" t="s">
        <v>1151</v>
      </c>
      <c r="B1916" s="18">
        <v>21.88</v>
      </c>
      <c r="C1916" s="18">
        <v>21.28</v>
      </c>
      <c r="D1916" s="18">
        <v>20.47</v>
      </c>
      <c r="E1916" s="18">
        <v>21</v>
      </c>
      <c r="F1916" s="18">
        <v>22.613900000000001</v>
      </c>
      <c r="G1916" s="18">
        <v>21.476075999999999</v>
      </c>
      <c r="H1916" s="18">
        <v>21.189536</v>
      </c>
      <c r="I1916" s="8">
        <v>2.8195488721804329E-2</v>
      </c>
      <c r="J1916" s="8">
        <v>6.8881289692232617E-2</v>
      </c>
      <c r="K1916" s="8">
        <v>4.1904761904761889E-2</v>
      </c>
      <c r="L1916" s="8">
        <v>-3.2453490994476919E-2</v>
      </c>
      <c r="M1916" s="18">
        <v>0.1065280493243219</v>
      </c>
    </row>
    <row r="1917" spans="1:13" x14ac:dyDescent="0.45">
      <c r="A1917" t="s">
        <v>2079</v>
      </c>
      <c r="B1917" s="18">
        <v>14.836</v>
      </c>
      <c r="C1917" s="18">
        <v>14.82</v>
      </c>
      <c r="D1917" s="18">
        <v>14.15</v>
      </c>
      <c r="E1917" s="18">
        <v>14.24</v>
      </c>
      <c r="F1917" s="18">
        <v>16.329999999999998</v>
      </c>
      <c r="G1917" s="18">
        <v>14.641132000000001</v>
      </c>
      <c r="H1917" s="18">
        <v>14.777236</v>
      </c>
      <c r="I1917" s="8">
        <v>1.079622132253766E-3</v>
      </c>
      <c r="J1917" s="8">
        <v>4.8480565371024742E-2</v>
      </c>
      <c r="K1917" s="8">
        <v>4.1853932584269733E-2</v>
      </c>
      <c r="L1917" s="8">
        <v>-9.1488058787507542E-2</v>
      </c>
      <c r="M1917" s="18">
        <v>-7.3938699959308352E-5</v>
      </c>
    </row>
    <row r="1918" spans="1:13" x14ac:dyDescent="0.45">
      <c r="A1918" t="s">
        <v>1277</v>
      </c>
      <c r="B1918" s="18">
        <v>23.95</v>
      </c>
      <c r="C1918" s="18">
        <v>23.67</v>
      </c>
      <c r="D1918" s="18">
        <v>27.53</v>
      </c>
      <c r="E1918" s="18">
        <v>22.99</v>
      </c>
      <c r="F1918" s="18">
        <v>24.17</v>
      </c>
      <c r="G1918" s="18">
        <v>23.4316</v>
      </c>
      <c r="H1918" s="18">
        <v>27.483149999999998</v>
      </c>
      <c r="I1918" s="8">
        <v>1.1829319814110621E-2</v>
      </c>
      <c r="J1918" s="8">
        <v>-0.13003995641118779</v>
      </c>
      <c r="K1918" s="8">
        <v>4.1757285776424569E-2</v>
      </c>
      <c r="L1918" s="8">
        <v>-9.1021928009931141E-3</v>
      </c>
      <c r="M1918" s="18">
        <v>-8.5555543621645747E-2</v>
      </c>
    </row>
    <row r="1919" spans="1:13" x14ac:dyDescent="0.45">
      <c r="A1919" t="s">
        <v>2402</v>
      </c>
      <c r="B1919" s="18">
        <v>54.43</v>
      </c>
      <c r="C1919" s="18">
        <v>54.97</v>
      </c>
      <c r="D1919" s="18">
        <v>58.5</v>
      </c>
      <c r="E1919" s="18">
        <v>52.27</v>
      </c>
      <c r="F1919" s="18">
        <v>52.5</v>
      </c>
      <c r="G1919" s="18">
        <v>54.898599999999988</v>
      </c>
      <c r="H1919" s="18">
        <v>55.378950000000003</v>
      </c>
      <c r="I1919" s="8">
        <v>-9.8235401127887423E-3</v>
      </c>
      <c r="J1919" s="8">
        <v>-6.9572649572649525E-2</v>
      </c>
      <c r="K1919" s="8">
        <v>4.1323895159747437E-2</v>
      </c>
      <c r="L1919" s="8">
        <v>3.6761904761904773E-2</v>
      </c>
      <c r="M1919" s="18">
        <v>-1.3103897637860571E-3</v>
      </c>
    </row>
    <row r="1920" spans="1:13" x14ac:dyDescent="0.45">
      <c r="A1920" t="s">
        <v>1396</v>
      </c>
      <c r="B1920" s="18">
        <v>1.77</v>
      </c>
      <c r="C1920" s="18">
        <v>1.78</v>
      </c>
      <c r="D1920" s="18">
        <v>1.82</v>
      </c>
      <c r="E1920" s="18">
        <v>1.7</v>
      </c>
      <c r="F1920" s="18">
        <v>4.3600000000000003</v>
      </c>
      <c r="G1920" s="18">
        <v>1.7323980000000001</v>
      </c>
      <c r="H1920" s="18">
        <v>2.1065135000000001</v>
      </c>
      <c r="I1920" s="8">
        <v>-5.6179775280899014E-3</v>
      </c>
      <c r="J1920" s="8">
        <v>-2.7472527472527489E-2</v>
      </c>
      <c r="K1920" s="8">
        <v>4.117647058823537E-2</v>
      </c>
      <c r="L1920" s="8">
        <v>-0.59403669724770647</v>
      </c>
      <c r="M1920" s="18">
        <v>-0.58595073166008849</v>
      </c>
    </row>
    <row r="1921" spans="1:13" x14ac:dyDescent="0.45">
      <c r="A1921" t="s">
        <v>984</v>
      </c>
      <c r="B1921" s="18">
        <v>330.13</v>
      </c>
      <c r="C1921" s="18">
        <v>382.22</v>
      </c>
      <c r="D1921" s="18">
        <v>415.95</v>
      </c>
      <c r="E1921" s="18">
        <v>317.10000000000002</v>
      </c>
      <c r="F1921" s="18">
        <v>454.48</v>
      </c>
      <c r="G1921" s="18">
        <v>363.2706</v>
      </c>
      <c r="H1921" s="18">
        <v>369.47375</v>
      </c>
      <c r="I1921" s="8">
        <v>-0.13628276908586689</v>
      </c>
      <c r="J1921" s="8">
        <v>-0.20632287534559449</v>
      </c>
      <c r="K1921" s="8">
        <v>4.1091138442131747E-2</v>
      </c>
      <c r="L1921" s="8">
        <v>-0.27360939975356457</v>
      </c>
      <c r="M1921" s="18">
        <v>-0.57512390574289418</v>
      </c>
    </row>
    <row r="1922" spans="1:13" x14ac:dyDescent="0.45">
      <c r="A1922" t="s">
        <v>913</v>
      </c>
      <c r="B1922" s="18">
        <v>25.47</v>
      </c>
      <c r="C1922" s="18">
        <v>25.29</v>
      </c>
      <c r="D1922" s="18">
        <v>25.380800000000001</v>
      </c>
      <c r="E1922" s="18">
        <v>24.47</v>
      </c>
      <c r="F1922" s="18">
        <v>25.74</v>
      </c>
      <c r="G1922" s="18">
        <v>25.360102000000001</v>
      </c>
      <c r="H1922" s="18">
        <v>25.248372499999999</v>
      </c>
      <c r="I1922" s="8">
        <v>7.1174377224199059E-3</v>
      </c>
      <c r="J1922" s="8">
        <v>3.5144676290739252E-3</v>
      </c>
      <c r="K1922" s="8">
        <v>4.0866366979975588E-2</v>
      </c>
      <c r="L1922" s="8">
        <v>-1.0489510489510519E-2</v>
      </c>
      <c r="M1922" s="18">
        <v>4.1008761841958903E-2</v>
      </c>
    </row>
    <row r="1923" spans="1:13" x14ac:dyDescent="0.45">
      <c r="A1923" t="s">
        <v>779</v>
      </c>
      <c r="B1923" s="18">
        <v>3.32</v>
      </c>
      <c r="C1923" s="18">
        <v>4.2300000000000004</v>
      </c>
      <c r="D1923" s="18">
        <v>3.48</v>
      </c>
      <c r="E1923" s="18">
        <v>3.19</v>
      </c>
      <c r="F1923" s="18">
        <v>3.62</v>
      </c>
      <c r="G1923" s="18">
        <v>3.5992000000000002</v>
      </c>
      <c r="H1923" s="18">
        <v>3.5666500000000001</v>
      </c>
      <c r="I1923" s="8">
        <v>-0.215130023640662</v>
      </c>
      <c r="J1923" s="8">
        <v>-4.5977011494252928E-2</v>
      </c>
      <c r="K1923" s="8">
        <v>4.0752351097178563E-2</v>
      </c>
      <c r="L1923" s="8">
        <v>-8.2872928176795702E-2</v>
      </c>
      <c r="M1923" s="18">
        <v>-0.30322761221453209</v>
      </c>
    </row>
    <row r="1924" spans="1:13" x14ac:dyDescent="0.45">
      <c r="A1924" t="s">
        <v>401</v>
      </c>
      <c r="B1924" s="18">
        <v>155.27000000000001</v>
      </c>
      <c r="C1924" s="18">
        <v>164.74</v>
      </c>
      <c r="D1924" s="18">
        <v>180.99</v>
      </c>
      <c r="E1924" s="18">
        <v>149.22999999999999</v>
      </c>
      <c r="F1924" s="18">
        <v>119.1</v>
      </c>
      <c r="G1924" s="18">
        <v>164.34899999999999</v>
      </c>
      <c r="H1924" s="18">
        <v>159.12819999999999</v>
      </c>
      <c r="I1924" s="8">
        <v>-5.7484521063493998E-2</v>
      </c>
      <c r="J1924" s="8">
        <v>-0.14210729874578709</v>
      </c>
      <c r="K1924" s="8">
        <v>4.0474435435234428E-2</v>
      </c>
      <c r="L1924" s="8">
        <v>0.30369437447523101</v>
      </c>
      <c r="M1924" s="18">
        <v>0.1445769901011843</v>
      </c>
    </row>
    <row r="1925" spans="1:13" x14ac:dyDescent="0.45">
      <c r="A1925" t="s">
        <v>2001</v>
      </c>
      <c r="B1925" s="18">
        <v>12.71</v>
      </c>
      <c r="C1925" s="18">
        <v>13.7</v>
      </c>
      <c r="D1925" s="18">
        <v>14.04</v>
      </c>
      <c r="E1925" s="18">
        <v>12.22</v>
      </c>
      <c r="F1925" s="18">
        <v>15.76</v>
      </c>
      <c r="G1925" s="18">
        <v>13.522399999999999</v>
      </c>
      <c r="H1925" s="18">
        <v>14.175725</v>
      </c>
      <c r="I1925" s="8">
        <v>-7.2262773722627682E-2</v>
      </c>
      <c r="J1925" s="8">
        <v>-9.4729344729344578E-2</v>
      </c>
      <c r="K1925" s="8">
        <v>4.00981996726677E-2</v>
      </c>
      <c r="L1925" s="8">
        <v>-0.19352791878172579</v>
      </c>
      <c r="M1925" s="18">
        <v>-0.32042183756103038</v>
      </c>
    </row>
    <row r="1926" spans="1:13" x14ac:dyDescent="0.45">
      <c r="A1926" t="s">
        <v>2077</v>
      </c>
      <c r="B1926" s="18">
        <v>14.56</v>
      </c>
      <c r="C1926" s="18">
        <v>14.25</v>
      </c>
      <c r="D1926" s="18">
        <v>14.32</v>
      </c>
      <c r="E1926" s="18">
        <v>14</v>
      </c>
      <c r="F1926" s="18">
        <v>16.350000000000001</v>
      </c>
      <c r="G1926" s="18">
        <v>14.215434</v>
      </c>
      <c r="H1926" s="18">
        <v>14.6595665</v>
      </c>
      <c r="I1926" s="8">
        <v>2.17543859649123E-2</v>
      </c>
      <c r="J1926" s="8">
        <v>1.6759776536312779E-2</v>
      </c>
      <c r="K1926" s="8">
        <v>4.0000000000000042E-2</v>
      </c>
      <c r="L1926" s="8">
        <v>-0.109480122324159</v>
      </c>
      <c r="M1926" s="18">
        <v>-3.0965959822933931E-2</v>
      </c>
    </row>
    <row r="1927" spans="1:13" x14ac:dyDescent="0.45">
      <c r="A1927" t="s">
        <v>943</v>
      </c>
      <c r="B1927" s="18">
        <v>96.36</v>
      </c>
      <c r="C1927" s="18">
        <v>93.24</v>
      </c>
      <c r="D1927" s="18">
        <v>106.03</v>
      </c>
      <c r="E1927" s="18">
        <v>92.66</v>
      </c>
      <c r="F1927" s="18">
        <v>113.54</v>
      </c>
      <c r="G1927" s="18">
        <v>94.398799999999994</v>
      </c>
      <c r="H1927" s="18">
        <v>99.701150000000013</v>
      </c>
      <c r="I1927" s="8">
        <v>3.3462033462033469E-2</v>
      </c>
      <c r="J1927" s="8">
        <v>-9.1200603602753949E-2</v>
      </c>
      <c r="K1927" s="8">
        <v>3.9930930282754178E-2</v>
      </c>
      <c r="L1927" s="8">
        <v>-0.1513123128412894</v>
      </c>
      <c r="M1927" s="18">
        <v>-0.1691199526992557</v>
      </c>
    </row>
    <row r="1928" spans="1:13" x14ac:dyDescent="0.45">
      <c r="A1928" t="s">
        <v>1059</v>
      </c>
      <c r="B1928" s="18">
        <v>15.13</v>
      </c>
      <c r="C1928" s="18">
        <v>15.65</v>
      </c>
      <c r="D1928" s="18">
        <v>15.39</v>
      </c>
      <c r="E1928" s="18">
        <v>14.55</v>
      </c>
      <c r="F1928" s="18">
        <v>16.510000000000002</v>
      </c>
      <c r="G1928" s="18">
        <v>15.380599999999999</v>
      </c>
      <c r="H1928" s="18">
        <v>15.608549999999999</v>
      </c>
      <c r="I1928" s="8">
        <v>-3.3226837060702841E-2</v>
      </c>
      <c r="J1928" s="8">
        <v>-1.6894087069525669E-2</v>
      </c>
      <c r="K1928" s="8">
        <v>3.9862542955326541E-2</v>
      </c>
      <c r="L1928" s="8">
        <v>-8.3585705632949758E-2</v>
      </c>
      <c r="M1928" s="18">
        <v>-9.3844086807851723E-2</v>
      </c>
    </row>
    <row r="1929" spans="1:13" x14ac:dyDescent="0.45">
      <c r="A1929" t="s">
        <v>189</v>
      </c>
      <c r="B1929" s="18">
        <v>264.94</v>
      </c>
      <c r="C1929" s="18">
        <v>261.52999999999997</v>
      </c>
      <c r="D1929" s="18">
        <v>275.19</v>
      </c>
      <c r="E1929" s="18">
        <v>255.03</v>
      </c>
      <c r="F1929" s="18">
        <v>224.43</v>
      </c>
      <c r="G1929" s="18">
        <v>269.48719999999997</v>
      </c>
      <c r="H1929" s="18">
        <v>262.75074999999998</v>
      </c>
      <c r="I1929" s="8">
        <v>1.3038657133024991E-2</v>
      </c>
      <c r="J1929" s="8">
        <v>-3.7246992986663778E-2</v>
      </c>
      <c r="K1929" s="8">
        <v>3.8858173548210077E-2</v>
      </c>
      <c r="L1929" s="8">
        <v>0.1805017154569353</v>
      </c>
      <c r="M1929" s="18">
        <v>0.19515155315150659</v>
      </c>
    </row>
    <row r="1930" spans="1:13" x14ac:dyDescent="0.45">
      <c r="A1930" t="s">
        <v>1668</v>
      </c>
      <c r="B1930" s="18">
        <v>17.52</v>
      </c>
      <c r="C1930" s="18">
        <v>17.899999999999999</v>
      </c>
      <c r="D1930" s="18">
        <v>16.7</v>
      </c>
      <c r="E1930" s="18">
        <v>16.88</v>
      </c>
      <c r="F1930" s="18">
        <v>17.82</v>
      </c>
      <c r="G1930" s="18">
        <v>17.556296</v>
      </c>
      <c r="H1930" s="18">
        <v>17.026219000000001</v>
      </c>
      <c r="I1930" s="8">
        <v>-2.1229050279329531E-2</v>
      </c>
      <c r="J1930" s="8">
        <v>4.9101796407185587E-2</v>
      </c>
      <c r="K1930" s="8">
        <v>3.7914691943127909E-2</v>
      </c>
      <c r="L1930" s="8">
        <v>-1.6835016835016869E-2</v>
      </c>
      <c r="M1930" s="18">
        <v>4.8952421235967103E-2</v>
      </c>
    </row>
    <row r="1931" spans="1:13" x14ac:dyDescent="0.45">
      <c r="A1931" t="s">
        <v>1392</v>
      </c>
      <c r="B1931" s="18">
        <v>3.84</v>
      </c>
      <c r="C1931" s="18">
        <v>3.95</v>
      </c>
      <c r="D1931" s="18">
        <v>4.01</v>
      </c>
      <c r="E1931" s="18">
        <v>3.7</v>
      </c>
      <c r="F1931" s="18">
        <v>4.01</v>
      </c>
      <c r="G1931" s="18">
        <v>3.9392</v>
      </c>
      <c r="H1931" s="18">
        <v>3.9351250000000002</v>
      </c>
      <c r="I1931" s="8">
        <v>-2.7848101265822819E-2</v>
      </c>
      <c r="J1931" s="8">
        <v>-4.239401496259354E-2</v>
      </c>
      <c r="K1931" s="8">
        <v>3.7837837837837673E-2</v>
      </c>
      <c r="L1931" s="8">
        <v>-4.239401496259354E-2</v>
      </c>
      <c r="M1931" s="18">
        <v>-7.4798293353172229E-2</v>
      </c>
    </row>
    <row r="1932" spans="1:13" x14ac:dyDescent="0.45">
      <c r="A1932" t="s">
        <v>1682</v>
      </c>
      <c r="B1932" s="18">
        <v>40.46</v>
      </c>
      <c r="C1932" s="18">
        <v>39.869999999999997</v>
      </c>
      <c r="D1932" s="18">
        <v>45.56</v>
      </c>
      <c r="E1932" s="18">
        <v>38.99</v>
      </c>
      <c r="F1932" s="18">
        <v>61.99</v>
      </c>
      <c r="G1932" s="18">
        <v>41.086199999999998</v>
      </c>
      <c r="H1932" s="18">
        <v>48.261650000000003</v>
      </c>
      <c r="I1932" s="8">
        <v>1.479809380486596E-2</v>
      </c>
      <c r="J1932" s="8">
        <v>-0.1119402985074627</v>
      </c>
      <c r="K1932" s="8">
        <v>3.7701974865349992E-2</v>
      </c>
      <c r="L1932" s="8">
        <v>-0.34731408291659949</v>
      </c>
      <c r="M1932" s="18">
        <v>-0.40675431275384621</v>
      </c>
    </row>
    <row r="1933" spans="1:13" x14ac:dyDescent="0.45">
      <c r="A1933" t="s">
        <v>2139</v>
      </c>
      <c r="B1933" s="18">
        <v>12.13</v>
      </c>
      <c r="C1933" s="18">
        <v>14.79</v>
      </c>
      <c r="D1933" s="18">
        <v>14.84</v>
      </c>
      <c r="E1933" s="18">
        <v>11.69</v>
      </c>
      <c r="F1933" s="18">
        <v>13.77</v>
      </c>
      <c r="G1933" s="18">
        <v>14.064399999999999</v>
      </c>
      <c r="H1933" s="18">
        <v>13.98155</v>
      </c>
      <c r="I1933" s="8">
        <v>-0.17985125084516551</v>
      </c>
      <c r="J1933" s="8">
        <v>-0.1826145552560646</v>
      </c>
      <c r="K1933" s="8">
        <v>3.763900769888795E-2</v>
      </c>
      <c r="L1933" s="8">
        <v>-0.1190994916485112</v>
      </c>
      <c r="M1933" s="18">
        <v>-0.44392629005085338</v>
      </c>
    </row>
    <row r="1934" spans="1:13" x14ac:dyDescent="0.45">
      <c r="A1934" t="s">
        <v>1085</v>
      </c>
      <c r="B1934" s="18">
        <v>24.864999999999998</v>
      </c>
      <c r="C1934" s="18">
        <v>25.04</v>
      </c>
      <c r="D1934" s="18">
        <v>24.11</v>
      </c>
      <c r="E1934" s="18">
        <v>23.97</v>
      </c>
      <c r="F1934" s="18">
        <v>25.04</v>
      </c>
      <c r="G1934" s="18">
        <v>24.754280000000001</v>
      </c>
      <c r="H1934" s="18">
        <v>24.4487725</v>
      </c>
      <c r="I1934" s="8">
        <v>-6.9888178913738441E-3</v>
      </c>
      <c r="J1934" s="8">
        <v>3.131480713396928E-2</v>
      </c>
      <c r="K1934" s="8">
        <v>3.7338339591155512E-2</v>
      </c>
      <c r="L1934" s="8">
        <v>-6.9888178913738441E-3</v>
      </c>
      <c r="M1934" s="18">
        <v>5.4675510942377097E-2</v>
      </c>
    </row>
    <row r="1935" spans="1:13" x14ac:dyDescent="0.45">
      <c r="A1935" t="s">
        <v>405</v>
      </c>
      <c r="B1935" s="18">
        <v>301.72000000000003</v>
      </c>
      <c r="C1935" s="18">
        <v>321.87</v>
      </c>
      <c r="D1935" s="18">
        <v>311.3</v>
      </c>
      <c r="E1935" s="18">
        <v>290.95999999999998</v>
      </c>
      <c r="F1935" s="18">
        <v>363.91</v>
      </c>
      <c r="G1935" s="18">
        <v>315.23960000000011</v>
      </c>
      <c r="H1935" s="18">
        <v>318.84592500000002</v>
      </c>
      <c r="I1935" s="8">
        <v>-6.2602914220026618E-2</v>
      </c>
      <c r="J1935" s="8">
        <v>-3.0774172823642702E-2</v>
      </c>
      <c r="K1935" s="8">
        <v>3.698102832004424E-2</v>
      </c>
      <c r="L1935" s="8">
        <v>-0.17089390233849019</v>
      </c>
      <c r="M1935" s="18">
        <v>-0.2272899610621153</v>
      </c>
    </row>
    <row r="1936" spans="1:13" x14ac:dyDescent="0.45">
      <c r="A1936" t="s">
        <v>912</v>
      </c>
      <c r="B1936" s="18">
        <v>25.35</v>
      </c>
      <c r="C1936" s="18">
        <v>25.19</v>
      </c>
      <c r="D1936" s="18">
        <v>25.36</v>
      </c>
      <c r="E1936" s="18">
        <v>24.446000000000002</v>
      </c>
      <c r="F1936" s="18">
        <v>25.610099999999999</v>
      </c>
      <c r="G1936" s="18">
        <v>25.264023999999999</v>
      </c>
      <c r="H1936" s="18">
        <v>25.093492999999999</v>
      </c>
      <c r="I1936" s="8">
        <v>6.3517268757442569E-3</v>
      </c>
      <c r="J1936" s="8">
        <v>-3.9432176656140072E-4</v>
      </c>
      <c r="K1936" s="8">
        <v>3.6979464943140077E-2</v>
      </c>
      <c r="L1936" s="8">
        <v>-1.015614933170894E-2</v>
      </c>
      <c r="M1936" s="18">
        <v>3.2780720720613998E-2</v>
      </c>
    </row>
    <row r="1937" spans="1:13" x14ac:dyDescent="0.45">
      <c r="A1937" t="s">
        <v>1489</v>
      </c>
      <c r="B1937" s="18">
        <v>10.4</v>
      </c>
      <c r="C1937" s="18">
        <v>10.3279</v>
      </c>
      <c r="D1937" s="18">
        <v>10.26</v>
      </c>
      <c r="E1937" s="18">
        <v>10.029999999999999</v>
      </c>
      <c r="F1937" s="18"/>
      <c r="G1937" s="18">
        <v>10.335990000000001</v>
      </c>
      <c r="H1937" s="18"/>
      <c r="I1937" s="8">
        <v>6.9810900570299586E-3</v>
      </c>
      <c r="J1937" s="8">
        <v>1.364522417154013E-2</v>
      </c>
      <c r="K1937" s="8">
        <v>3.6889332003988029E-2</v>
      </c>
      <c r="L1937" s="8"/>
      <c r="M1937" s="18">
        <v>5.7515646232558122E-2</v>
      </c>
    </row>
    <row r="1938" spans="1:13" x14ac:dyDescent="0.45">
      <c r="A1938" t="s">
        <v>2121</v>
      </c>
      <c r="B1938" s="18">
        <v>22.25</v>
      </c>
      <c r="C1938" s="18">
        <v>24.54</v>
      </c>
      <c r="D1938" s="18">
        <v>24.71</v>
      </c>
      <c r="E1938" s="18">
        <v>21.46</v>
      </c>
      <c r="F1938" s="18">
        <v>23.24</v>
      </c>
      <c r="G1938" s="18">
        <v>24.765999999999998</v>
      </c>
      <c r="H1938" s="18">
        <v>24.59395</v>
      </c>
      <c r="I1938" s="8">
        <v>-9.3317033414832884E-2</v>
      </c>
      <c r="J1938" s="8">
        <v>-9.9554836098745492E-2</v>
      </c>
      <c r="K1938" s="8">
        <v>3.6812674743709202E-2</v>
      </c>
      <c r="L1938" s="8">
        <v>-4.2598967297762469E-2</v>
      </c>
      <c r="M1938" s="18">
        <v>-0.19865816206763159</v>
      </c>
    </row>
    <row r="1939" spans="1:13" x14ac:dyDescent="0.45">
      <c r="A1939" t="s">
        <v>1153</v>
      </c>
      <c r="B1939" s="18">
        <v>31.78</v>
      </c>
      <c r="C1939" s="18">
        <v>31.19</v>
      </c>
      <c r="D1939" s="18">
        <v>35.94</v>
      </c>
      <c r="E1939" s="18">
        <v>30.66</v>
      </c>
      <c r="F1939" s="18">
        <v>40.69</v>
      </c>
      <c r="G1939" s="18">
        <v>30.247</v>
      </c>
      <c r="H1939" s="18">
        <v>35.361249999999998</v>
      </c>
      <c r="I1939" s="8">
        <v>1.8916319333119661E-2</v>
      </c>
      <c r="J1939" s="8">
        <v>-0.115748469671675</v>
      </c>
      <c r="K1939" s="8">
        <v>3.6529680365296802E-2</v>
      </c>
      <c r="L1939" s="8">
        <v>-0.21897272057016459</v>
      </c>
      <c r="M1939" s="18">
        <v>-0.27927519054342309</v>
      </c>
    </row>
    <row r="1940" spans="1:13" x14ac:dyDescent="0.45">
      <c r="A1940" t="s">
        <v>1899</v>
      </c>
      <c r="B1940" s="18">
        <v>16.510000000000002</v>
      </c>
      <c r="C1940" s="18">
        <v>17.78</v>
      </c>
      <c r="D1940" s="18">
        <v>19.600000000000001</v>
      </c>
      <c r="E1940" s="18">
        <v>15.93</v>
      </c>
      <c r="F1940" s="18">
        <v>20.88</v>
      </c>
      <c r="G1940" s="18">
        <v>18.397600000000001</v>
      </c>
      <c r="H1940" s="18">
        <v>19.9971</v>
      </c>
      <c r="I1940" s="8">
        <v>-7.1428571428571397E-2</v>
      </c>
      <c r="J1940" s="8">
        <v>-0.15765306122448969</v>
      </c>
      <c r="K1940" s="8">
        <v>3.640929064657894E-2</v>
      </c>
      <c r="L1940" s="8">
        <v>-0.20929118773946351</v>
      </c>
      <c r="M1940" s="18">
        <v>-0.40196352974594568</v>
      </c>
    </row>
    <row r="1941" spans="1:13" x14ac:dyDescent="0.45">
      <c r="A1941" t="s">
        <v>1799</v>
      </c>
      <c r="B1941" s="18">
        <v>8.41</v>
      </c>
      <c r="C1941" s="18">
        <v>8.1999999999999993</v>
      </c>
      <c r="D1941" s="18">
        <v>8.07</v>
      </c>
      <c r="E1941" s="18">
        <v>8.1150000000000002</v>
      </c>
      <c r="F1941" s="18">
        <v>8.5640999999999998</v>
      </c>
      <c r="G1941" s="18">
        <v>8.1743999999999986</v>
      </c>
      <c r="H1941" s="18">
        <v>8.1627320000000001</v>
      </c>
      <c r="I1941" s="8">
        <v>2.5609756097560998E-2</v>
      </c>
      <c r="J1941" s="8">
        <v>4.2131350681536617E-2</v>
      </c>
      <c r="K1941" s="8">
        <v>3.6352433764633478E-2</v>
      </c>
      <c r="L1941" s="8">
        <v>-1.7993717962190962E-2</v>
      </c>
      <c r="M1941" s="18">
        <v>8.6099822581540142E-2</v>
      </c>
    </row>
    <row r="1942" spans="1:13" x14ac:dyDescent="0.45">
      <c r="A1942" t="s">
        <v>939</v>
      </c>
      <c r="B1942" s="18">
        <v>3.46</v>
      </c>
      <c r="C1942" s="18">
        <v>3.4</v>
      </c>
      <c r="D1942" s="18">
        <v>3.3</v>
      </c>
      <c r="E1942" s="18">
        <v>3.34</v>
      </c>
      <c r="F1942" s="18">
        <v>3.6629999999999998</v>
      </c>
      <c r="G1942" s="18">
        <v>3.3702860000000001</v>
      </c>
      <c r="H1942" s="18">
        <v>3.4107430000000001</v>
      </c>
      <c r="I1942" s="8">
        <v>1.7647058823529349E-2</v>
      </c>
      <c r="J1942" s="8">
        <v>4.8484848484848582E-2</v>
      </c>
      <c r="K1942" s="8">
        <v>3.5928143712574911E-2</v>
      </c>
      <c r="L1942" s="8">
        <v>-5.5419055419055341E-2</v>
      </c>
      <c r="M1942" s="18">
        <v>4.6640995601897488E-2</v>
      </c>
    </row>
    <row r="1943" spans="1:13" x14ac:dyDescent="0.45">
      <c r="A1943" t="s">
        <v>1596</v>
      </c>
      <c r="B1943" s="18">
        <v>3.76</v>
      </c>
      <c r="C1943" s="18">
        <v>3.93</v>
      </c>
      <c r="D1943" s="18">
        <v>3.77</v>
      </c>
      <c r="E1943" s="18">
        <v>3.63</v>
      </c>
      <c r="F1943" s="18">
        <v>4.63</v>
      </c>
      <c r="G1943" s="18">
        <v>3.829756000000001</v>
      </c>
      <c r="H1943" s="18">
        <v>3.7910604999999999</v>
      </c>
      <c r="I1943" s="8">
        <v>-4.3256997455470847E-2</v>
      </c>
      <c r="J1943" s="8">
        <v>-2.6525198938992518E-3</v>
      </c>
      <c r="K1943" s="8">
        <v>3.5812672176308569E-2</v>
      </c>
      <c r="L1943" s="8">
        <v>-0.18790496760259179</v>
      </c>
      <c r="M1943" s="18">
        <v>-0.19800181277565329</v>
      </c>
    </row>
    <row r="1944" spans="1:13" x14ac:dyDescent="0.45">
      <c r="A1944" t="s">
        <v>1926</v>
      </c>
      <c r="B1944" s="18">
        <v>8.77</v>
      </c>
      <c r="C1944" s="18">
        <v>8.52</v>
      </c>
      <c r="D1944" s="18">
        <v>8.67</v>
      </c>
      <c r="E1944" s="18">
        <v>8.4700000000000006</v>
      </c>
      <c r="F1944" s="18">
        <v>10.1</v>
      </c>
      <c r="G1944" s="18">
        <v>8.4636999999999993</v>
      </c>
      <c r="H1944" s="18">
        <v>8.6844870000000007</v>
      </c>
      <c r="I1944" s="8">
        <v>2.934272300469476E-2</v>
      </c>
      <c r="J1944" s="8">
        <v>1.1534025374855711E-2</v>
      </c>
      <c r="K1944" s="8">
        <v>3.5419126328217088E-2</v>
      </c>
      <c r="L1944" s="8">
        <v>-0.13168316831683169</v>
      </c>
      <c r="M1944" s="18">
        <v>-5.5387293609064137E-2</v>
      </c>
    </row>
    <row r="1945" spans="1:13" x14ac:dyDescent="0.45">
      <c r="A1945" t="s">
        <v>1057</v>
      </c>
      <c r="B1945" s="18">
        <v>3.52</v>
      </c>
      <c r="C1945" s="18">
        <v>3.78</v>
      </c>
      <c r="D1945" s="18">
        <v>3.68</v>
      </c>
      <c r="E1945" s="18">
        <v>3.4</v>
      </c>
      <c r="F1945" s="18">
        <v>3.88</v>
      </c>
      <c r="G1945" s="18">
        <v>3.6402600000000001</v>
      </c>
      <c r="H1945" s="18">
        <v>3.9253800000000001</v>
      </c>
      <c r="I1945" s="8">
        <v>-6.8783068783068724E-2</v>
      </c>
      <c r="J1945" s="8">
        <v>-4.3478260869565299E-2</v>
      </c>
      <c r="K1945" s="8">
        <v>3.529411764705892E-2</v>
      </c>
      <c r="L1945" s="8">
        <v>-9.2783505154639179E-2</v>
      </c>
      <c r="M1945" s="18">
        <v>-0.16975071716021431</v>
      </c>
    </row>
    <row r="1946" spans="1:13" x14ac:dyDescent="0.45">
      <c r="A1946" t="s">
        <v>403</v>
      </c>
      <c r="B1946" s="18">
        <v>91.95</v>
      </c>
      <c r="C1946" s="18">
        <v>87.38</v>
      </c>
      <c r="D1946" s="18">
        <v>91.34</v>
      </c>
      <c r="E1946" s="18">
        <v>88.82</v>
      </c>
      <c r="F1946" s="18">
        <v>87.98</v>
      </c>
      <c r="G1946" s="18">
        <v>89.610400000000013</v>
      </c>
      <c r="H1946" s="18">
        <v>90.051400000000001</v>
      </c>
      <c r="I1946" s="8">
        <v>5.2300297550927022E-2</v>
      </c>
      <c r="J1946" s="8">
        <v>6.6783446463760674E-3</v>
      </c>
      <c r="K1946" s="8">
        <v>3.5239810853411553E-2</v>
      </c>
      <c r="L1946" s="8">
        <v>4.5123891793589443E-2</v>
      </c>
      <c r="M1946" s="18">
        <v>0.13934234484430411</v>
      </c>
    </row>
    <row r="1947" spans="1:13" x14ac:dyDescent="0.45">
      <c r="A1947" t="s">
        <v>1674</v>
      </c>
      <c r="B1947" s="18">
        <v>25.360099999999999</v>
      </c>
      <c r="C1947" s="18">
        <v>25.4</v>
      </c>
      <c r="D1947" s="18">
        <v>25.36</v>
      </c>
      <c r="E1947" s="18">
        <v>24.5</v>
      </c>
      <c r="F1947" s="18">
        <v>25.48</v>
      </c>
      <c r="G1947" s="18">
        <v>25.350586</v>
      </c>
      <c r="H1947" s="18">
        <v>25.220850500000001</v>
      </c>
      <c r="I1947" s="8">
        <v>-1.5708661417322971E-3</v>
      </c>
      <c r="J1947" s="8">
        <v>3.9432176655029849E-6</v>
      </c>
      <c r="K1947" s="8">
        <v>3.5106122448979482E-2</v>
      </c>
      <c r="L1947" s="8">
        <v>-4.7056514913658143E-3</v>
      </c>
      <c r="M1947" s="18">
        <v>2.8833548033546871E-2</v>
      </c>
    </row>
    <row r="1948" spans="1:13" x14ac:dyDescent="0.45">
      <c r="A1948" t="s">
        <v>942</v>
      </c>
      <c r="B1948" s="18">
        <v>10.68</v>
      </c>
      <c r="C1948" s="18">
        <v>11.33</v>
      </c>
      <c r="D1948" s="18">
        <v>13.8</v>
      </c>
      <c r="E1948" s="18">
        <v>10.32</v>
      </c>
      <c r="F1948" s="18">
        <v>11</v>
      </c>
      <c r="G1948" s="18">
        <v>11.6152</v>
      </c>
      <c r="H1948" s="18">
        <v>12.2707</v>
      </c>
      <c r="I1948" s="8">
        <v>-5.7369814651368027E-2</v>
      </c>
      <c r="J1948" s="8">
        <v>-0.22608695652173921</v>
      </c>
      <c r="K1948" s="8">
        <v>3.4883720930232398E-2</v>
      </c>
      <c r="L1948" s="8">
        <v>-2.9090909090909171E-2</v>
      </c>
      <c r="M1948" s="18">
        <v>-0.27766395933378402</v>
      </c>
    </row>
    <row r="1949" spans="1:13" x14ac:dyDescent="0.45">
      <c r="A1949" t="s">
        <v>960</v>
      </c>
      <c r="B1949" s="18">
        <v>21.5</v>
      </c>
      <c r="C1949" s="18">
        <v>23.01</v>
      </c>
      <c r="D1949" s="18">
        <v>21.07</v>
      </c>
      <c r="E1949" s="18">
        <v>20.8</v>
      </c>
      <c r="F1949" s="18">
        <v>17.5</v>
      </c>
      <c r="G1949" s="18">
        <v>21.792899999999999</v>
      </c>
      <c r="H1949" s="18">
        <v>20.615518000000002</v>
      </c>
      <c r="I1949" s="8">
        <v>-6.5623641894828388E-2</v>
      </c>
      <c r="J1949" s="8">
        <v>2.0408163265306149E-2</v>
      </c>
      <c r="K1949" s="8">
        <v>3.3653846153846027E-2</v>
      </c>
      <c r="L1949" s="8">
        <v>0.22857142857142859</v>
      </c>
      <c r="M1949" s="18">
        <v>0.21700979609575241</v>
      </c>
    </row>
    <row r="1950" spans="1:13" x14ac:dyDescent="0.45">
      <c r="A1950" t="s">
        <v>2208</v>
      </c>
      <c r="B1950" s="18">
        <v>18.760000000000002</v>
      </c>
      <c r="C1950" s="18">
        <v>19.149999999999999</v>
      </c>
      <c r="D1950" s="18">
        <v>18.18</v>
      </c>
      <c r="E1950" s="18">
        <v>18.16</v>
      </c>
      <c r="F1950" s="18">
        <v>21.97</v>
      </c>
      <c r="G1950" s="18">
        <v>18.677018</v>
      </c>
      <c r="H1950" s="18">
        <v>18.236996000000001</v>
      </c>
      <c r="I1950" s="8">
        <v>-2.0365535248041629E-2</v>
      </c>
      <c r="J1950" s="8">
        <v>3.1903190319032097E-2</v>
      </c>
      <c r="K1950" s="8">
        <v>3.3039647577092657E-2</v>
      </c>
      <c r="L1950" s="8">
        <v>-0.14610832954028211</v>
      </c>
      <c r="M1950" s="18">
        <v>-0.10153102689219901</v>
      </c>
    </row>
    <row r="1951" spans="1:13" x14ac:dyDescent="0.45">
      <c r="A1951" t="s">
        <v>514</v>
      </c>
      <c r="B1951" s="18">
        <v>146.03</v>
      </c>
      <c r="C1951" s="18">
        <v>145.78</v>
      </c>
      <c r="D1951" s="18">
        <v>152.35</v>
      </c>
      <c r="E1951" s="18">
        <v>141.38</v>
      </c>
      <c r="F1951" s="18">
        <v>136.57</v>
      </c>
      <c r="G1951" s="18">
        <v>147.12520000000001</v>
      </c>
      <c r="H1951" s="18">
        <v>145.42625000000001</v>
      </c>
      <c r="I1951" s="8">
        <v>1.714912882425645E-3</v>
      </c>
      <c r="J1951" s="8">
        <v>-4.1483426320971351E-2</v>
      </c>
      <c r="K1951" s="8">
        <v>3.289008346300748E-2</v>
      </c>
      <c r="L1951" s="8">
        <v>6.9268506992751E-2</v>
      </c>
      <c r="M1951" s="18">
        <v>6.2390077017212768E-2</v>
      </c>
    </row>
    <row r="1952" spans="1:13" x14ac:dyDescent="0.45">
      <c r="A1952" t="s">
        <v>1170</v>
      </c>
      <c r="B1952" s="18">
        <v>10.4</v>
      </c>
      <c r="C1952" s="18">
        <v>10.37</v>
      </c>
      <c r="D1952" s="18">
        <v>10.49</v>
      </c>
      <c r="E1952" s="18">
        <v>10.07</v>
      </c>
      <c r="F1952" s="18">
        <v>9.91</v>
      </c>
      <c r="G1952" s="18">
        <v>10.382899999999999</v>
      </c>
      <c r="H1952" s="18">
        <v>10.247809</v>
      </c>
      <c r="I1952" s="8">
        <v>2.8929604628737948E-3</v>
      </c>
      <c r="J1952" s="8">
        <v>-8.5795996186844858E-3</v>
      </c>
      <c r="K1952" s="8">
        <v>3.2770605759682159E-2</v>
      </c>
      <c r="L1952" s="8">
        <v>4.9445005045408719E-2</v>
      </c>
      <c r="M1952" s="18">
        <v>7.6528971649280186E-2</v>
      </c>
    </row>
    <row r="1953" spans="1:13" x14ac:dyDescent="0.45">
      <c r="A1953" t="s">
        <v>2101</v>
      </c>
      <c r="B1953" s="18">
        <v>24.67</v>
      </c>
      <c r="C1953" s="18">
        <v>24.06</v>
      </c>
      <c r="D1953" s="18">
        <v>24.4</v>
      </c>
      <c r="E1953" s="18">
        <v>23.89</v>
      </c>
      <c r="F1953" s="18">
        <v>25.34</v>
      </c>
      <c r="G1953" s="18">
        <v>24.293308</v>
      </c>
      <c r="H1953" s="18">
        <v>24.583066500000001</v>
      </c>
      <c r="I1953" s="8">
        <v>2.535328345802168E-2</v>
      </c>
      <c r="J1953" s="8">
        <v>1.1065573770491889E-2</v>
      </c>
      <c r="K1953" s="8">
        <v>3.2649644202595203E-2</v>
      </c>
      <c r="L1953" s="8">
        <v>-2.6440410418310911E-2</v>
      </c>
      <c r="M1953" s="18">
        <v>4.2628091012797853E-2</v>
      </c>
    </row>
    <row r="1954" spans="1:13" x14ac:dyDescent="0.45">
      <c r="A1954" t="s">
        <v>200</v>
      </c>
      <c r="B1954" s="18">
        <v>292.27</v>
      </c>
      <c r="C1954" s="18">
        <v>313.12</v>
      </c>
      <c r="D1954" s="18">
        <v>335.68</v>
      </c>
      <c r="E1954" s="18">
        <v>283.07</v>
      </c>
      <c r="F1954" s="18">
        <v>331</v>
      </c>
      <c r="G1954" s="18">
        <v>309.56959999999998</v>
      </c>
      <c r="H1954" s="18">
        <v>333.83584999999999</v>
      </c>
      <c r="I1954" s="8">
        <v>-6.6587889626980146E-2</v>
      </c>
      <c r="J1954" s="8">
        <v>-0.1293195900857961</v>
      </c>
      <c r="K1954" s="8">
        <v>3.2500794856396009E-2</v>
      </c>
      <c r="L1954" s="8">
        <v>-0.1170090634441088</v>
      </c>
      <c r="M1954" s="18">
        <v>-0.28041574830048899</v>
      </c>
    </row>
    <row r="1955" spans="1:13" x14ac:dyDescent="0.45">
      <c r="A1955" t="s">
        <v>288</v>
      </c>
      <c r="B1955" s="18">
        <v>64.73</v>
      </c>
      <c r="C1955" s="18">
        <v>67.650000000000006</v>
      </c>
      <c r="D1955" s="18">
        <v>74.53</v>
      </c>
      <c r="E1955" s="18">
        <v>62.7</v>
      </c>
      <c r="F1955" s="18">
        <v>70.56</v>
      </c>
      <c r="G1955" s="18">
        <v>67.64070000000001</v>
      </c>
      <c r="H1955" s="18">
        <v>70.406049999999993</v>
      </c>
      <c r="I1955" s="8">
        <v>-4.3163340724316379E-2</v>
      </c>
      <c r="J1955" s="8">
        <v>-0.13149067489601499</v>
      </c>
      <c r="K1955" s="8">
        <v>3.2376395534290392E-2</v>
      </c>
      <c r="L1955" s="8">
        <v>-8.2624716553287958E-2</v>
      </c>
      <c r="M1955" s="18">
        <v>-0.2249023366393289</v>
      </c>
    </row>
    <row r="1956" spans="1:13" x14ac:dyDescent="0.45">
      <c r="A1956" t="s">
        <v>1708</v>
      </c>
      <c r="B1956" s="18">
        <v>7.36</v>
      </c>
      <c r="C1956" s="18">
        <v>7.53</v>
      </c>
      <c r="D1956" s="18">
        <v>7.64</v>
      </c>
      <c r="E1956" s="18">
        <v>7.13</v>
      </c>
      <c r="F1956" s="18">
        <v>7.91</v>
      </c>
      <c r="G1956" s="18">
        <v>7.4767899999999994</v>
      </c>
      <c r="H1956" s="18">
        <v>7.7025519999999998</v>
      </c>
      <c r="I1956" s="8">
        <v>-2.2576361221779528E-2</v>
      </c>
      <c r="J1956" s="8">
        <v>-3.6649214659685743E-2</v>
      </c>
      <c r="K1956" s="8">
        <v>3.2258064516128997E-2</v>
      </c>
      <c r="L1956" s="8">
        <v>-6.9532237673830544E-2</v>
      </c>
      <c r="M1956" s="18">
        <v>-9.6499749039166804E-2</v>
      </c>
    </row>
    <row r="1957" spans="1:13" x14ac:dyDescent="0.45">
      <c r="A1957" t="s">
        <v>1245</v>
      </c>
      <c r="B1957" s="18">
        <v>96.21</v>
      </c>
      <c r="C1957" s="18">
        <v>87.03</v>
      </c>
      <c r="D1957" s="18">
        <v>101.5</v>
      </c>
      <c r="E1957" s="18">
        <v>93.22</v>
      </c>
      <c r="F1957" s="18">
        <v>99.67</v>
      </c>
      <c r="G1957" s="18">
        <v>90.368400000000008</v>
      </c>
      <c r="H1957" s="18">
        <v>95.212699999999998</v>
      </c>
      <c r="I1957" s="8">
        <v>0.1054808686659772</v>
      </c>
      <c r="J1957" s="8">
        <v>-5.2118226600985307E-2</v>
      </c>
      <c r="K1957" s="8">
        <v>3.207466208968035E-2</v>
      </c>
      <c r="L1957" s="8">
        <v>-3.4714558041537107E-2</v>
      </c>
      <c r="M1957" s="18">
        <v>5.0722746113135098E-2</v>
      </c>
    </row>
    <row r="1958" spans="1:13" x14ac:dyDescent="0.45">
      <c r="A1958" t="s">
        <v>1887</v>
      </c>
      <c r="B1958" s="18">
        <v>8.3800000000000008</v>
      </c>
      <c r="C1958" s="18">
        <v>8.7535000000000007</v>
      </c>
      <c r="D1958" s="18">
        <v>8.51</v>
      </c>
      <c r="E1958" s="18">
        <v>8.1199999999999992</v>
      </c>
      <c r="F1958" s="18">
        <v>9.1199999999999992</v>
      </c>
      <c r="G1958" s="18">
        <v>8.6343700000000005</v>
      </c>
      <c r="H1958" s="18">
        <v>8.499703499999999</v>
      </c>
      <c r="I1958" s="8">
        <v>-4.2668646826983458E-2</v>
      </c>
      <c r="J1958" s="8">
        <v>-1.527614571092817E-2</v>
      </c>
      <c r="K1958" s="8">
        <v>3.2019704433497782E-2</v>
      </c>
      <c r="L1958" s="8">
        <v>-8.1140350877192846E-2</v>
      </c>
      <c r="M1958" s="18">
        <v>-0.1070654389816067</v>
      </c>
    </row>
    <row r="1959" spans="1:13" x14ac:dyDescent="0.45">
      <c r="A1959" t="s">
        <v>2274</v>
      </c>
      <c r="B1959" s="18">
        <v>23.35</v>
      </c>
      <c r="C1959" s="18">
        <v>23.37</v>
      </c>
      <c r="D1959" s="18">
        <v>23.2</v>
      </c>
      <c r="E1959" s="18">
        <v>22.63</v>
      </c>
      <c r="F1959" s="18">
        <v>24.69</v>
      </c>
      <c r="G1959" s="18">
        <v>23.243397999999999</v>
      </c>
      <c r="H1959" s="18">
        <v>23.150087500000001</v>
      </c>
      <c r="I1959" s="8">
        <v>-8.5579803166446755E-4</v>
      </c>
      <c r="J1959" s="8">
        <v>6.4655172413794482E-3</v>
      </c>
      <c r="K1959" s="8">
        <v>3.1816173221387738E-2</v>
      </c>
      <c r="L1959" s="8">
        <v>-5.4272985014175767E-2</v>
      </c>
      <c r="M1959" s="18">
        <v>-1.6847092583073039E-2</v>
      </c>
    </row>
    <row r="1960" spans="1:13" x14ac:dyDescent="0.45">
      <c r="A1960" t="s">
        <v>1677</v>
      </c>
      <c r="B1960" s="18">
        <v>11.42</v>
      </c>
      <c r="C1960" s="18">
        <v>11.32</v>
      </c>
      <c r="D1960" s="18">
        <v>10.93</v>
      </c>
      <c r="E1960" s="18">
        <v>11.07</v>
      </c>
      <c r="F1960" s="18">
        <v>11.98</v>
      </c>
      <c r="G1960" s="18">
        <v>11.241860000000001</v>
      </c>
      <c r="H1960" s="18">
        <v>11.293848000000001</v>
      </c>
      <c r="I1960" s="8">
        <v>8.8339222614841617E-3</v>
      </c>
      <c r="J1960" s="8">
        <v>4.4830741079597392E-2</v>
      </c>
      <c r="K1960" s="8">
        <v>3.1616982836494938E-2</v>
      </c>
      <c r="L1960" s="8">
        <v>-4.6744574290484182E-2</v>
      </c>
      <c r="M1960" s="18">
        <v>3.8537071887092322E-2</v>
      </c>
    </row>
    <row r="1961" spans="1:13" x14ac:dyDescent="0.45">
      <c r="A1961" t="s">
        <v>1748</v>
      </c>
      <c r="B1961" s="18">
        <v>11.43</v>
      </c>
      <c r="C1961" s="18">
        <v>11.3</v>
      </c>
      <c r="D1961" s="18">
        <v>11.43</v>
      </c>
      <c r="E1961" s="18">
        <v>11.08</v>
      </c>
      <c r="F1961" s="18">
        <v>11.81</v>
      </c>
      <c r="G1961" s="18">
        <v>11.20675</v>
      </c>
      <c r="H1961" s="18">
        <v>11.319870999999999</v>
      </c>
      <c r="I1961" s="8">
        <v>1.150442477876101E-2</v>
      </c>
      <c r="J1961" s="8">
        <v>0</v>
      </c>
      <c r="K1961" s="8">
        <v>3.1588447653429608E-2</v>
      </c>
      <c r="L1961" s="8">
        <v>-3.2176121930567403E-2</v>
      </c>
      <c r="M1961" s="18">
        <v>1.091675050162322E-2</v>
      </c>
    </row>
    <row r="1962" spans="1:13" x14ac:dyDescent="0.45">
      <c r="A1962" t="s">
        <v>2316</v>
      </c>
      <c r="B1962" s="18">
        <v>5.99</v>
      </c>
      <c r="C1962" s="18">
        <v>5.48</v>
      </c>
      <c r="D1962" s="18">
        <v>5.84</v>
      </c>
      <c r="E1962" s="18">
        <v>5.81</v>
      </c>
      <c r="F1962" s="18">
        <v>6.33</v>
      </c>
      <c r="G1962" s="18">
        <v>5.86</v>
      </c>
      <c r="H1962" s="18">
        <v>6.3100500000000004</v>
      </c>
      <c r="I1962" s="8">
        <v>9.3065693430656848E-2</v>
      </c>
      <c r="J1962" s="8">
        <v>2.568493150684947E-2</v>
      </c>
      <c r="K1962" s="8">
        <v>3.098106712564563E-2</v>
      </c>
      <c r="L1962" s="8">
        <v>-5.3712480252764538E-2</v>
      </c>
      <c r="M1962" s="18">
        <v>9.6019211810387417E-2</v>
      </c>
    </row>
    <row r="1963" spans="1:13" x14ac:dyDescent="0.45">
      <c r="A1963" t="s">
        <v>787</v>
      </c>
      <c r="B1963" s="18">
        <v>25.05</v>
      </c>
      <c r="C1963" s="18">
        <v>25</v>
      </c>
      <c r="D1963" s="18">
        <v>24.88</v>
      </c>
      <c r="E1963" s="18">
        <v>24.3</v>
      </c>
      <c r="F1963" s="18">
        <v>25.274999999999999</v>
      </c>
      <c r="G1963" s="18">
        <v>24.635325999999999</v>
      </c>
      <c r="H1963" s="18">
        <v>24.801720175</v>
      </c>
      <c r="I1963" s="8">
        <v>2.0000000000000022E-3</v>
      </c>
      <c r="J1963" s="8">
        <v>6.8327974276527481E-3</v>
      </c>
      <c r="K1963" s="8">
        <v>3.0864197530864109E-2</v>
      </c>
      <c r="L1963" s="8">
        <v>-8.9020771513351749E-3</v>
      </c>
      <c r="M1963" s="18">
        <v>3.0794917807181691E-2</v>
      </c>
    </row>
    <row r="1964" spans="1:13" x14ac:dyDescent="0.45">
      <c r="A1964" t="s">
        <v>303</v>
      </c>
      <c r="B1964" s="18">
        <v>166.89</v>
      </c>
      <c r="C1964" s="18">
        <v>162.01</v>
      </c>
      <c r="D1964" s="18">
        <v>185.42</v>
      </c>
      <c r="E1964" s="18">
        <v>161.94</v>
      </c>
      <c r="F1964" s="18">
        <v>211.1</v>
      </c>
      <c r="G1964" s="18">
        <v>163.04759999999999</v>
      </c>
      <c r="H1964" s="18">
        <v>182.14375000000001</v>
      </c>
      <c r="I1964" s="8">
        <v>3.0121597432257289E-2</v>
      </c>
      <c r="J1964" s="8">
        <v>-9.9935282062344921E-2</v>
      </c>
      <c r="K1964" s="8">
        <v>3.056687662097057E-2</v>
      </c>
      <c r="L1964" s="8">
        <v>-0.20942681193747051</v>
      </c>
      <c r="M1964" s="18">
        <v>-0.24867361994658749</v>
      </c>
    </row>
    <row r="1965" spans="1:13" x14ac:dyDescent="0.45">
      <c r="A1965" t="s">
        <v>1649</v>
      </c>
      <c r="B1965" s="18">
        <v>25.14</v>
      </c>
      <c r="C1965" s="18">
        <v>25.12</v>
      </c>
      <c r="D1965" s="18">
        <v>25.12</v>
      </c>
      <c r="E1965" s="18">
        <v>24.41</v>
      </c>
      <c r="F1965" s="18">
        <v>25.62</v>
      </c>
      <c r="G1965" s="18">
        <v>25.162597999999999</v>
      </c>
      <c r="H1965" s="18">
        <v>25.0638285</v>
      </c>
      <c r="I1965" s="8">
        <v>7.9617834394896114E-4</v>
      </c>
      <c r="J1965" s="8">
        <v>7.9617834394896114E-4</v>
      </c>
      <c r="K1965" s="8">
        <v>2.9905776321179859E-2</v>
      </c>
      <c r="L1965" s="8">
        <v>-1.87353629976581E-2</v>
      </c>
      <c r="M1965" s="18">
        <v>1.2762770011419681E-2</v>
      </c>
    </row>
    <row r="1966" spans="1:13" x14ac:dyDescent="0.45">
      <c r="A1966" t="s">
        <v>2134</v>
      </c>
      <c r="B1966" s="18">
        <v>10.48</v>
      </c>
      <c r="C1966" s="18">
        <v>10.48</v>
      </c>
      <c r="D1966" s="18">
        <v>10.71</v>
      </c>
      <c r="E1966" s="18">
        <v>10.1767</v>
      </c>
      <c r="F1966" s="18"/>
      <c r="G1966" s="18">
        <v>10.491016</v>
      </c>
      <c r="H1966" s="18">
        <v>10.368883</v>
      </c>
      <c r="I1966" s="8">
        <v>0</v>
      </c>
      <c r="J1966" s="8">
        <v>-2.1475256769374451E-2</v>
      </c>
      <c r="K1966" s="8">
        <v>2.9803374374797409E-2</v>
      </c>
      <c r="L1966" s="8"/>
      <c r="M1966" s="18">
        <v>8.3281176054229578E-3</v>
      </c>
    </row>
    <row r="1967" spans="1:13" x14ac:dyDescent="0.45">
      <c r="A1967" t="s">
        <v>2297</v>
      </c>
      <c r="B1967" s="18">
        <v>24.5</v>
      </c>
      <c r="C1967" s="18">
        <v>24.4</v>
      </c>
      <c r="D1967" s="18">
        <v>24.64</v>
      </c>
      <c r="E1967" s="18">
        <v>23.7944</v>
      </c>
      <c r="F1967" s="18">
        <v>22.43</v>
      </c>
      <c r="G1967" s="18">
        <v>24.669077999999999</v>
      </c>
      <c r="H1967" s="18">
        <v>24.107153499999999</v>
      </c>
      <c r="I1967" s="8">
        <v>4.098360655737654E-3</v>
      </c>
      <c r="J1967" s="8">
        <v>-5.6818181818182323E-3</v>
      </c>
      <c r="K1967" s="8">
        <v>2.9654036243822009E-2</v>
      </c>
      <c r="L1967" s="8">
        <v>9.2287115470352177E-2</v>
      </c>
      <c r="M1967" s="18">
        <v>0.1203576941880936</v>
      </c>
    </row>
    <row r="1968" spans="1:13" x14ac:dyDescent="0.45">
      <c r="A1968" t="s">
        <v>1018</v>
      </c>
      <c r="B1968" s="18">
        <v>7.9050000000000002</v>
      </c>
      <c r="C1968" s="18">
        <v>7.74</v>
      </c>
      <c r="D1968" s="18">
        <v>7.61</v>
      </c>
      <c r="E1968" s="18">
        <v>7.68</v>
      </c>
      <c r="F1968" s="18">
        <v>8.1999999999999993</v>
      </c>
      <c r="G1968" s="18">
        <v>7.6561160000000008</v>
      </c>
      <c r="H1968" s="18">
        <v>7.753374</v>
      </c>
      <c r="I1968" s="8">
        <v>2.1317829457364379E-2</v>
      </c>
      <c r="J1968" s="8">
        <v>3.8764783180026192E-2</v>
      </c>
      <c r="K1968" s="8">
        <v>2.9296875E-2</v>
      </c>
      <c r="L1968" s="8">
        <v>-3.5975609756097482E-2</v>
      </c>
      <c r="M1968" s="18">
        <v>5.3403877881293083E-2</v>
      </c>
    </row>
    <row r="1969" spans="1:13" x14ac:dyDescent="0.45">
      <c r="A1969" t="s">
        <v>243</v>
      </c>
      <c r="B1969" s="18">
        <v>262.11</v>
      </c>
      <c r="C1969" s="18">
        <v>268.86</v>
      </c>
      <c r="D1969" s="18">
        <v>286.76</v>
      </c>
      <c r="E1969" s="18">
        <v>254.65</v>
      </c>
      <c r="F1969" s="18">
        <v>289.88</v>
      </c>
      <c r="G1969" s="18">
        <v>263.12360000000001</v>
      </c>
      <c r="H1969" s="18">
        <v>280.49714999999998</v>
      </c>
      <c r="I1969" s="8">
        <v>-2.510600312430256E-2</v>
      </c>
      <c r="J1969" s="8">
        <v>-8.5960384990933059E-2</v>
      </c>
      <c r="K1969" s="8">
        <v>2.9295110936579549E-2</v>
      </c>
      <c r="L1969" s="8">
        <v>-9.579826134952385E-2</v>
      </c>
      <c r="M1969" s="18">
        <v>-0.17756953852817989</v>
      </c>
    </row>
    <row r="1970" spans="1:13" x14ac:dyDescent="0.45">
      <c r="A1970" t="s">
        <v>2346</v>
      </c>
      <c r="B1970" s="18">
        <v>4.93</v>
      </c>
      <c r="C1970" s="18">
        <v>4.9850000000000003</v>
      </c>
      <c r="D1970" s="18">
        <v>4.9000000000000004</v>
      </c>
      <c r="E1970" s="18">
        <v>4.79</v>
      </c>
      <c r="F1970" s="18">
        <v>5.03</v>
      </c>
      <c r="G1970" s="18">
        <v>4.9543780000000002</v>
      </c>
      <c r="H1970" s="18">
        <v>4.8983280000000002</v>
      </c>
      <c r="I1970" s="8">
        <v>-1.1033099297893759E-2</v>
      </c>
      <c r="J1970" s="8">
        <v>6.1224489795916881E-3</v>
      </c>
      <c r="K1970" s="8">
        <v>2.9227557411273471E-2</v>
      </c>
      <c r="L1970" s="8">
        <v>-1.988071570576555E-2</v>
      </c>
      <c r="M1970" s="18">
        <v>4.4361913872058567E-3</v>
      </c>
    </row>
    <row r="1971" spans="1:13" x14ac:dyDescent="0.45">
      <c r="A1971" t="s">
        <v>1131</v>
      </c>
      <c r="B1971" s="18">
        <v>25.06</v>
      </c>
      <c r="C1971" s="18">
        <v>25.1174</v>
      </c>
      <c r="D1971" s="18">
        <v>25.14</v>
      </c>
      <c r="E1971" s="18">
        <v>24.349</v>
      </c>
      <c r="F1971" s="18">
        <v>24.9</v>
      </c>
      <c r="G1971" s="18">
        <v>25.052523999999998</v>
      </c>
      <c r="H1971" s="18">
        <v>24.962661000000001</v>
      </c>
      <c r="I1971" s="8">
        <v>-2.285268379689009E-3</v>
      </c>
      <c r="J1971" s="8">
        <v>-3.1821797931583799E-3</v>
      </c>
      <c r="K1971" s="8">
        <v>2.9200377838925599E-2</v>
      </c>
      <c r="L1971" s="8">
        <v>6.4257028112448822E-3</v>
      </c>
      <c r="M1971" s="18">
        <v>3.0158632477323088E-2</v>
      </c>
    </row>
    <row r="1972" spans="1:13" x14ac:dyDescent="0.45">
      <c r="A1972" t="s">
        <v>34</v>
      </c>
      <c r="B1972" s="18">
        <v>68.400000000000006</v>
      </c>
      <c r="C1972" s="18">
        <v>70.78</v>
      </c>
      <c r="D1972" s="18">
        <v>76.73</v>
      </c>
      <c r="E1972" s="18">
        <v>66.47</v>
      </c>
      <c r="F1972" s="18">
        <v>77.14</v>
      </c>
      <c r="G1972" s="18">
        <v>69.787800000000004</v>
      </c>
      <c r="H1972" s="18">
        <v>76.496949999999998</v>
      </c>
      <c r="I1972" s="8">
        <v>-3.3625317886408553E-2</v>
      </c>
      <c r="J1972" s="8">
        <v>-0.1085624918545549</v>
      </c>
      <c r="K1972" s="8">
        <v>2.9035655182789281E-2</v>
      </c>
      <c r="L1972" s="8">
        <v>-0.1133004926108374</v>
      </c>
      <c r="M1972" s="18">
        <v>-0.22645264716901159</v>
      </c>
    </row>
    <row r="1973" spans="1:13" x14ac:dyDescent="0.45">
      <c r="A1973" t="s">
        <v>1032</v>
      </c>
      <c r="B1973" s="18">
        <v>15.6</v>
      </c>
      <c r="C1973" s="18">
        <v>15.68</v>
      </c>
      <c r="D1973" s="18">
        <v>15.32</v>
      </c>
      <c r="E1973" s="18">
        <v>15.16</v>
      </c>
      <c r="F1973" s="18">
        <v>15.89</v>
      </c>
      <c r="G1973" s="18">
        <v>15.468934000000001</v>
      </c>
      <c r="H1973" s="18">
        <v>15.5035835</v>
      </c>
      <c r="I1973" s="8">
        <v>-5.1020408163264808E-3</v>
      </c>
      <c r="J1973" s="8">
        <v>1.827676240208875E-2</v>
      </c>
      <c r="K1973" s="8">
        <v>2.9023746701847038E-2</v>
      </c>
      <c r="L1973" s="8">
        <v>-1.825047199496543E-2</v>
      </c>
      <c r="M1973" s="18">
        <v>2.3947996292643881E-2</v>
      </c>
    </row>
    <row r="1974" spans="1:13" x14ac:dyDescent="0.45">
      <c r="A1974" t="s">
        <v>865</v>
      </c>
      <c r="B1974" s="18">
        <v>11.11</v>
      </c>
      <c r="C1974" s="18">
        <v>13.39</v>
      </c>
      <c r="D1974" s="18">
        <v>12.74</v>
      </c>
      <c r="E1974" s="18">
        <v>10.8</v>
      </c>
      <c r="F1974" s="18">
        <v>15.7</v>
      </c>
      <c r="G1974" s="18">
        <v>12.7804</v>
      </c>
      <c r="H1974" s="18">
        <v>13.137499999999999</v>
      </c>
      <c r="I1974" s="8">
        <v>-0.17027632561613151</v>
      </c>
      <c r="J1974" s="8">
        <v>-0.12794348508634221</v>
      </c>
      <c r="K1974" s="8">
        <v>2.8703703703703679E-2</v>
      </c>
      <c r="L1974" s="8">
        <v>-0.29235668789808922</v>
      </c>
      <c r="M1974" s="18">
        <v>-0.56187279489685926</v>
      </c>
    </row>
    <row r="1975" spans="1:13" x14ac:dyDescent="0.45">
      <c r="A1975" t="s">
        <v>1650</v>
      </c>
      <c r="B1975" s="18">
        <v>25.277999999999999</v>
      </c>
      <c r="C1975" s="18">
        <v>25.19</v>
      </c>
      <c r="D1975" s="18">
        <v>25.26</v>
      </c>
      <c r="E1975" s="18">
        <v>24.58</v>
      </c>
      <c r="F1975" s="18">
        <v>25.61</v>
      </c>
      <c r="G1975" s="18">
        <v>25.281008</v>
      </c>
      <c r="H1975" s="18">
        <v>25.181435</v>
      </c>
      <c r="I1975" s="8">
        <v>3.4934497816592192E-3</v>
      </c>
      <c r="J1975" s="8">
        <v>7.1258907363414004E-4</v>
      </c>
      <c r="K1975" s="8">
        <v>2.8397070789259571E-2</v>
      </c>
      <c r="L1975" s="8">
        <v>-1.296368606013276E-2</v>
      </c>
      <c r="M1975" s="18">
        <v>1.9639423584420172E-2</v>
      </c>
    </row>
    <row r="1976" spans="1:13" x14ac:dyDescent="0.45">
      <c r="A1976" t="s">
        <v>1106</v>
      </c>
      <c r="B1976" s="18">
        <v>23.63</v>
      </c>
      <c r="C1976" s="18">
        <v>23.45</v>
      </c>
      <c r="D1976" s="18">
        <v>23.2</v>
      </c>
      <c r="E1976" s="18">
        <v>22.98</v>
      </c>
      <c r="F1976" s="18">
        <v>22.954999999999998</v>
      </c>
      <c r="G1976" s="18">
        <v>23.425657999999999</v>
      </c>
      <c r="H1976" s="18">
        <v>23.079934000000002</v>
      </c>
      <c r="I1976" s="8">
        <v>7.6759061833688857E-3</v>
      </c>
      <c r="J1976" s="8">
        <v>1.8534482758620689E-2</v>
      </c>
      <c r="K1976" s="8">
        <v>2.8285465622280181E-2</v>
      </c>
      <c r="L1976" s="8">
        <v>2.9405358309736451E-2</v>
      </c>
      <c r="M1976" s="18">
        <v>8.3901212874006204E-2</v>
      </c>
    </row>
    <row r="1977" spans="1:13" x14ac:dyDescent="0.45">
      <c r="A1977" t="s">
        <v>2513</v>
      </c>
      <c r="B1977" s="18">
        <v>6.64</v>
      </c>
      <c r="C1977" s="18">
        <v>6.01</v>
      </c>
      <c r="D1977" s="18">
        <v>7.97</v>
      </c>
      <c r="E1977" s="18">
        <v>6.46</v>
      </c>
      <c r="F1977" s="18">
        <v>8.8699999999999992</v>
      </c>
      <c r="G1977" s="18">
        <v>6.1645999999999992</v>
      </c>
      <c r="H1977" s="18">
        <v>7.6807999999999996</v>
      </c>
      <c r="I1977" s="8">
        <v>0.1048252911813643</v>
      </c>
      <c r="J1977" s="8">
        <v>-0.16687578419071519</v>
      </c>
      <c r="K1977" s="8">
        <v>2.7863777089783159E-2</v>
      </c>
      <c r="L1977" s="8">
        <v>-0.25140924464487041</v>
      </c>
      <c r="M1977" s="18">
        <v>-0.28559596056443809</v>
      </c>
    </row>
    <row r="1978" spans="1:13" x14ac:dyDescent="0.45">
      <c r="A1978" t="s">
        <v>2358</v>
      </c>
      <c r="B1978" s="18">
        <v>24</v>
      </c>
      <c r="C1978" s="18">
        <v>23.68</v>
      </c>
      <c r="D1978" s="18">
        <v>23.41</v>
      </c>
      <c r="E1978" s="18">
        <v>23.35</v>
      </c>
      <c r="F1978" s="18">
        <v>22.72</v>
      </c>
      <c r="G1978" s="18">
        <v>23.675218000000001</v>
      </c>
      <c r="H1978" s="18">
        <v>23.174607609999999</v>
      </c>
      <c r="I1978" s="8">
        <v>1.3513513513513599E-2</v>
      </c>
      <c r="J1978" s="8">
        <v>2.5202904741563389E-2</v>
      </c>
      <c r="K1978" s="8">
        <v>2.783725910064239E-2</v>
      </c>
      <c r="L1978" s="8">
        <v>5.6338028169014231E-2</v>
      </c>
      <c r="M1978" s="18">
        <v>0.12289170552473359</v>
      </c>
    </row>
    <row r="1979" spans="1:13" x14ac:dyDescent="0.45">
      <c r="A1979" t="s">
        <v>630</v>
      </c>
      <c r="B1979" s="18">
        <v>25.64</v>
      </c>
      <c r="C1979" s="18">
        <v>25.7</v>
      </c>
      <c r="D1979" s="18">
        <v>25.74</v>
      </c>
      <c r="E1979" s="18">
        <v>24.95</v>
      </c>
      <c r="F1979" s="18">
        <v>25.51</v>
      </c>
      <c r="G1979" s="18">
        <v>25.680313999999999</v>
      </c>
      <c r="H1979" s="18">
        <v>25.493304999999999</v>
      </c>
      <c r="I1979" s="8">
        <v>-2.3346303501945438E-3</v>
      </c>
      <c r="J1979" s="8">
        <v>-3.88500388500379E-3</v>
      </c>
      <c r="K1979" s="8">
        <v>2.765531062124249E-2</v>
      </c>
      <c r="L1979" s="8">
        <v>5.0960407683260378E-3</v>
      </c>
      <c r="M1979" s="18">
        <v>2.653171715437019E-2</v>
      </c>
    </row>
    <row r="1980" spans="1:13" x14ac:dyDescent="0.45">
      <c r="A1980" t="s">
        <v>2207</v>
      </c>
      <c r="B1980" s="18">
        <v>21.13</v>
      </c>
      <c r="C1980" s="18">
        <v>22.05</v>
      </c>
      <c r="D1980" s="18">
        <v>20.61</v>
      </c>
      <c r="E1980" s="18">
        <v>20.57</v>
      </c>
      <c r="F1980" s="18">
        <v>23.71</v>
      </c>
      <c r="G1980" s="18">
        <v>21.394164</v>
      </c>
      <c r="H1980" s="18">
        <v>20.703965499999999</v>
      </c>
      <c r="I1980" s="8">
        <v>-4.17233560090704E-2</v>
      </c>
      <c r="J1980" s="8">
        <v>2.523047064531769E-2</v>
      </c>
      <c r="K1980" s="8">
        <v>2.72241127856101E-2</v>
      </c>
      <c r="L1980" s="8">
        <v>-0.1088148460565163</v>
      </c>
      <c r="M1980" s="18">
        <v>-9.8083618634658865E-2</v>
      </c>
    </row>
    <row r="1981" spans="1:13" x14ac:dyDescent="0.45">
      <c r="A1981" t="s">
        <v>1165</v>
      </c>
      <c r="B1981" s="18">
        <v>29.22</v>
      </c>
      <c r="C1981" s="18">
        <v>29.97</v>
      </c>
      <c r="D1981" s="18">
        <v>31.15</v>
      </c>
      <c r="E1981" s="18">
        <v>28.45</v>
      </c>
      <c r="F1981" s="18">
        <v>32.4</v>
      </c>
      <c r="G1981" s="18">
        <v>30.282599999999999</v>
      </c>
      <c r="H1981" s="18">
        <v>31.365849999999998</v>
      </c>
      <c r="I1981" s="8">
        <v>-2.502502502502502E-2</v>
      </c>
      <c r="J1981" s="8">
        <v>-6.1958266452648458E-2</v>
      </c>
      <c r="K1981" s="8">
        <v>2.7065026362038669E-2</v>
      </c>
      <c r="L1981" s="8">
        <v>-9.8148148148148096E-2</v>
      </c>
      <c r="M1981" s="18">
        <v>-0.1580664132637829</v>
      </c>
    </row>
    <row r="1982" spans="1:13" x14ac:dyDescent="0.45">
      <c r="A1982" t="s">
        <v>2102</v>
      </c>
      <c r="B1982" s="18">
        <v>24.72</v>
      </c>
      <c r="C1982" s="18">
        <v>24.0901</v>
      </c>
      <c r="D1982" s="18">
        <v>24.5</v>
      </c>
      <c r="E1982" s="18">
        <v>24.079899999999999</v>
      </c>
      <c r="F1982" s="18"/>
      <c r="G1982" s="18">
        <v>24.42371</v>
      </c>
      <c r="H1982" s="18"/>
      <c r="I1982" s="8">
        <v>2.6147670619881099E-2</v>
      </c>
      <c r="J1982" s="8">
        <v>8.9795918367345795E-3</v>
      </c>
      <c r="K1982" s="8">
        <v>2.6582336305383421E-2</v>
      </c>
      <c r="L1982" s="8"/>
      <c r="M1982" s="18">
        <v>6.1709598761999107E-2</v>
      </c>
    </row>
    <row r="1983" spans="1:13" x14ac:dyDescent="0.45">
      <c r="A1983" t="s">
        <v>1103</v>
      </c>
      <c r="B1983" s="18">
        <v>24</v>
      </c>
      <c r="C1983" s="18">
        <v>23.69</v>
      </c>
      <c r="D1983" s="18">
        <v>23.303799999999999</v>
      </c>
      <c r="E1983" s="18">
        <v>23.38</v>
      </c>
      <c r="F1983" s="18">
        <v>23.5</v>
      </c>
      <c r="G1983" s="18">
        <v>23.507026</v>
      </c>
      <c r="H1983" s="18">
        <v>23.069285109999999</v>
      </c>
      <c r="I1983" s="8">
        <v>1.308569016462635E-2</v>
      </c>
      <c r="J1983" s="8">
        <v>2.9874956015757181E-2</v>
      </c>
      <c r="K1983" s="8">
        <v>2.6518391787852869E-2</v>
      </c>
      <c r="L1983" s="8">
        <v>2.1276595744680771E-2</v>
      </c>
      <c r="M1983" s="18">
        <v>9.0755633712917172E-2</v>
      </c>
    </row>
    <row r="1984" spans="1:13" x14ac:dyDescent="0.45">
      <c r="A1984" t="s">
        <v>2301</v>
      </c>
      <c r="B1984" s="18">
        <v>64.36</v>
      </c>
      <c r="C1984" s="18">
        <v>70.5</v>
      </c>
      <c r="D1984" s="18">
        <v>76.819999999999993</v>
      </c>
      <c r="E1984" s="18">
        <v>62.7</v>
      </c>
      <c r="F1984" s="18">
        <v>69.66</v>
      </c>
      <c r="G1984" s="18">
        <v>71.848199999999991</v>
      </c>
      <c r="H1984" s="18">
        <v>75.153000000000006</v>
      </c>
      <c r="I1984" s="8">
        <v>-8.7092198581560254E-2</v>
      </c>
      <c r="J1984" s="8">
        <v>-0.16219734444155159</v>
      </c>
      <c r="K1984" s="8">
        <v>2.64752791068581E-2</v>
      </c>
      <c r="L1984" s="8">
        <v>-7.6083835773758213E-2</v>
      </c>
      <c r="M1984" s="18">
        <v>-0.29889809969001202</v>
      </c>
    </row>
    <row r="1985" spans="1:13" x14ac:dyDescent="0.45">
      <c r="A1985" t="s">
        <v>331</v>
      </c>
      <c r="B1985" s="18">
        <v>68.12</v>
      </c>
      <c r="C1985" s="18">
        <v>67.63</v>
      </c>
      <c r="D1985" s="18">
        <v>70.709999999999994</v>
      </c>
      <c r="E1985" s="18">
        <v>66.37</v>
      </c>
      <c r="F1985" s="18">
        <v>55.89</v>
      </c>
      <c r="G1985" s="18">
        <v>68.622800000000012</v>
      </c>
      <c r="H1985" s="18">
        <v>67.161199999999994</v>
      </c>
      <c r="I1985" s="8">
        <v>7.2453053378680474E-3</v>
      </c>
      <c r="J1985" s="8">
        <v>-3.6628482534294848E-2</v>
      </c>
      <c r="K1985" s="8">
        <v>2.6367334639144199E-2</v>
      </c>
      <c r="L1985" s="8">
        <v>0.2188226874217214</v>
      </c>
      <c r="M1985" s="18">
        <v>0.2158068448644388</v>
      </c>
    </row>
    <row r="1986" spans="1:13" x14ac:dyDescent="0.45">
      <c r="A1986" t="s">
        <v>1845</v>
      </c>
      <c r="B1986" s="18">
        <v>13.06</v>
      </c>
      <c r="C1986" s="18">
        <v>12.98</v>
      </c>
      <c r="D1986" s="18">
        <v>12.93</v>
      </c>
      <c r="E1986" s="18">
        <v>12.73</v>
      </c>
      <c r="F1986" s="18">
        <v>14.036</v>
      </c>
      <c r="G1986" s="18">
        <v>12.896608000000001</v>
      </c>
      <c r="H1986" s="18">
        <v>12.94020355</v>
      </c>
      <c r="I1986" s="8">
        <v>6.1633281972264253E-3</v>
      </c>
      <c r="J1986" s="8">
        <v>1.00541376643466E-2</v>
      </c>
      <c r="K1986" s="8">
        <v>2.5923016496465001E-2</v>
      </c>
      <c r="L1986" s="8">
        <v>-6.9535480193787302E-2</v>
      </c>
      <c r="M1986" s="18">
        <v>-2.739499783574928E-2</v>
      </c>
    </row>
    <row r="1987" spans="1:13" x14ac:dyDescent="0.45">
      <c r="A1987" t="s">
        <v>1675</v>
      </c>
      <c r="B1987" s="18">
        <v>25.370100000000001</v>
      </c>
      <c r="C1987" s="18">
        <v>25.35</v>
      </c>
      <c r="D1987" s="18">
        <v>25.4</v>
      </c>
      <c r="E1987" s="18">
        <v>24.73</v>
      </c>
      <c r="F1987" s="18">
        <v>25.42</v>
      </c>
      <c r="G1987" s="18">
        <v>25.293057999999991</v>
      </c>
      <c r="H1987" s="18">
        <v>25.157596000000002</v>
      </c>
      <c r="I1987" s="8">
        <v>7.9289940828397576E-4</v>
      </c>
      <c r="J1987" s="8">
        <v>-1.1771653543306559E-3</v>
      </c>
      <c r="K1987" s="8">
        <v>2.58835422563688E-2</v>
      </c>
      <c r="L1987" s="8">
        <v>-1.963021243115648E-3</v>
      </c>
      <c r="M1987" s="18">
        <v>2.3536255067206469E-2</v>
      </c>
    </row>
    <row r="1988" spans="1:13" x14ac:dyDescent="0.45">
      <c r="A1988" t="s">
        <v>3</v>
      </c>
      <c r="B1988" s="18">
        <v>348.77</v>
      </c>
      <c r="C1988" s="18">
        <v>354.06</v>
      </c>
      <c r="D1988" s="18">
        <v>371.43</v>
      </c>
      <c r="E1988" s="18">
        <v>340</v>
      </c>
      <c r="F1988" s="18">
        <v>507.22</v>
      </c>
      <c r="G1988" s="18">
        <v>352.22800000000001</v>
      </c>
      <c r="H1988" s="18">
        <v>391.17877499999997</v>
      </c>
      <c r="I1988" s="8">
        <v>-1.4940970456984729E-2</v>
      </c>
      <c r="J1988" s="8">
        <v>-6.1007457663624483E-2</v>
      </c>
      <c r="K1988" s="8">
        <v>2.579411764705886E-2</v>
      </c>
      <c r="L1988" s="8">
        <v>-0.31238910137612869</v>
      </c>
      <c r="M1988" s="18">
        <v>-0.36254341184967909</v>
      </c>
    </row>
    <row r="1989" spans="1:13" x14ac:dyDescent="0.45">
      <c r="A1989" t="s">
        <v>2357</v>
      </c>
      <c r="B1989" s="18">
        <v>24.19</v>
      </c>
      <c r="C1989" s="18">
        <v>24</v>
      </c>
      <c r="D1989" s="18">
        <v>23.72</v>
      </c>
      <c r="E1989" s="18">
        <v>23.59</v>
      </c>
      <c r="F1989" s="18">
        <v>23.02</v>
      </c>
      <c r="G1989" s="18">
        <v>23.936724000000002</v>
      </c>
      <c r="H1989" s="18">
        <v>23.511872</v>
      </c>
      <c r="I1989" s="8">
        <v>7.916666666666794E-3</v>
      </c>
      <c r="J1989" s="8">
        <v>1.981450252951111E-2</v>
      </c>
      <c r="K1989" s="8">
        <v>2.5434506146672309E-2</v>
      </c>
      <c r="L1989" s="8">
        <v>5.082536924413561E-2</v>
      </c>
      <c r="M1989" s="18">
        <v>0.1039910445869858</v>
      </c>
    </row>
    <row r="1990" spans="1:13" x14ac:dyDescent="0.45">
      <c r="A1990" t="s">
        <v>520</v>
      </c>
      <c r="B1990" s="18">
        <v>10.52</v>
      </c>
      <c r="C1990" s="18">
        <v>10.48</v>
      </c>
      <c r="D1990" s="18">
        <v>10.425000000000001</v>
      </c>
      <c r="E1990" s="18">
        <v>10.26</v>
      </c>
      <c r="F1990" s="18">
        <v>9.98</v>
      </c>
      <c r="G1990" s="18">
        <v>10.490364</v>
      </c>
      <c r="H1990" s="18">
        <v>10.313364</v>
      </c>
      <c r="I1990" s="8">
        <v>3.8167938931297218E-3</v>
      </c>
      <c r="J1990" s="8">
        <v>9.1127098321341915E-3</v>
      </c>
      <c r="K1990" s="8">
        <v>2.534113060428855E-2</v>
      </c>
      <c r="L1990" s="8">
        <v>5.4108216432865668E-2</v>
      </c>
      <c r="M1990" s="18">
        <v>9.2378850762418141E-2</v>
      </c>
    </row>
    <row r="1991" spans="1:13" x14ac:dyDescent="0.45">
      <c r="A1991" t="s">
        <v>1820</v>
      </c>
      <c r="B1991" s="18">
        <v>10.15</v>
      </c>
      <c r="C1991" s="18">
        <v>9.7799999999999994</v>
      </c>
      <c r="D1991" s="18">
        <v>9.74</v>
      </c>
      <c r="E1991" s="18">
        <v>9.9</v>
      </c>
      <c r="F1991" s="18">
        <v>11.17</v>
      </c>
      <c r="G1991" s="18">
        <v>9.7315000000000005</v>
      </c>
      <c r="H1991" s="18">
        <v>10.038500000000001</v>
      </c>
      <c r="I1991" s="8">
        <v>3.7832310838445959E-2</v>
      </c>
      <c r="J1991" s="8">
        <v>4.2094455852156099E-2</v>
      </c>
      <c r="K1991" s="8">
        <v>2.5252525252525301E-2</v>
      </c>
      <c r="L1991" s="8">
        <v>-9.1316025067144091E-2</v>
      </c>
      <c r="M1991" s="18">
        <v>1.3863266875983269E-2</v>
      </c>
    </row>
    <row r="1992" spans="1:13" x14ac:dyDescent="0.45">
      <c r="A1992" t="s">
        <v>1915</v>
      </c>
      <c r="B1992" s="18">
        <v>65.37</v>
      </c>
      <c r="C1992" s="18">
        <v>66.900000000000006</v>
      </c>
      <c r="D1992" s="18">
        <v>74.709999999999994</v>
      </c>
      <c r="E1992" s="18">
        <v>63.76</v>
      </c>
      <c r="F1992" s="18">
        <v>70.91</v>
      </c>
      <c r="G1992" s="18">
        <v>67.01700000000001</v>
      </c>
      <c r="H1992" s="18">
        <v>71.0398</v>
      </c>
      <c r="I1992" s="8">
        <v>-2.2869955156950669E-2</v>
      </c>
      <c r="J1992" s="8">
        <v>-0.12501673136126351</v>
      </c>
      <c r="K1992" s="8">
        <v>2.525094102885839E-2</v>
      </c>
      <c r="L1992" s="8">
        <v>-7.8127203497390996E-2</v>
      </c>
      <c r="M1992" s="18">
        <v>-0.20076294898674671</v>
      </c>
    </row>
    <row r="1993" spans="1:13" x14ac:dyDescent="0.45">
      <c r="A1993" t="s">
        <v>1521</v>
      </c>
      <c r="B1993" s="18">
        <v>298.83999999999997</v>
      </c>
      <c r="C1993" s="18">
        <v>315.87</v>
      </c>
      <c r="D1993" s="18">
        <v>339.07</v>
      </c>
      <c r="E1993" s="18">
        <v>291.54000000000002</v>
      </c>
      <c r="F1993" s="18">
        <v>326.27</v>
      </c>
      <c r="G1993" s="18">
        <v>320.80860000000001</v>
      </c>
      <c r="H1993" s="18">
        <v>333.40744999999993</v>
      </c>
      <c r="I1993" s="8">
        <v>-5.3914585114129283E-2</v>
      </c>
      <c r="J1993" s="8">
        <v>-0.1186480667708734</v>
      </c>
      <c r="K1993" s="8">
        <v>2.503944570213323E-2</v>
      </c>
      <c r="L1993" s="8">
        <v>-8.4071474545621805E-2</v>
      </c>
      <c r="M1993" s="18">
        <v>-0.23159468072849121</v>
      </c>
    </row>
    <row r="1994" spans="1:13" x14ac:dyDescent="0.45">
      <c r="A1994" t="s">
        <v>2088</v>
      </c>
      <c r="B1994" s="18">
        <v>2.4700000000000002</v>
      </c>
      <c r="C1994" s="18">
        <v>2.76</v>
      </c>
      <c r="D1994" s="18">
        <v>2.75</v>
      </c>
      <c r="E1994" s="18">
        <v>2.41</v>
      </c>
      <c r="F1994" s="18">
        <v>10.86</v>
      </c>
      <c r="G1994" s="18">
        <v>2.6025999999999998</v>
      </c>
      <c r="H1994" s="18">
        <v>2.7841</v>
      </c>
      <c r="I1994" s="8">
        <v>-0.1050724637681159</v>
      </c>
      <c r="J1994" s="8">
        <v>-0.1018181818181817</v>
      </c>
      <c r="K1994" s="8">
        <v>2.489626556016589E-2</v>
      </c>
      <c r="L1994" s="8">
        <v>-0.77255985267034988</v>
      </c>
      <c r="M1994" s="18">
        <v>-0.95455423269648154</v>
      </c>
    </row>
    <row r="1995" spans="1:13" x14ac:dyDescent="0.45">
      <c r="A1995" t="s">
        <v>1439</v>
      </c>
      <c r="B1995" s="18">
        <v>11.62</v>
      </c>
      <c r="C1995" s="18">
        <v>11.984999999999999</v>
      </c>
      <c r="D1995" s="18">
        <v>11.99</v>
      </c>
      <c r="E1995" s="18">
        <v>11.3432</v>
      </c>
      <c r="F1995" s="18">
        <v>12.32</v>
      </c>
      <c r="G1995" s="18">
        <v>11.9061</v>
      </c>
      <c r="H1995" s="18">
        <v>11.878655500000001</v>
      </c>
      <c r="I1995" s="8">
        <v>-3.045473508552354E-2</v>
      </c>
      <c r="J1995" s="8">
        <v>-3.0859049207673132E-2</v>
      </c>
      <c r="K1995" s="8">
        <v>2.4402285069468951E-2</v>
      </c>
      <c r="L1995" s="8">
        <v>-5.6818181818181879E-2</v>
      </c>
      <c r="M1995" s="18">
        <v>-9.3729681041909596E-2</v>
      </c>
    </row>
    <row r="1996" spans="1:13" x14ac:dyDescent="0.45">
      <c r="A1996" t="s">
        <v>2382</v>
      </c>
      <c r="B1996" s="18">
        <v>3.8</v>
      </c>
      <c r="C1996" s="18">
        <v>3.92</v>
      </c>
      <c r="D1996" s="18">
        <v>4.2699999999999996</v>
      </c>
      <c r="E1996" s="18">
        <v>3.71</v>
      </c>
      <c r="F1996" s="18">
        <v>5.63</v>
      </c>
      <c r="G1996" s="18">
        <v>3.9350000000000001</v>
      </c>
      <c r="H1996" s="18">
        <v>4.7405999999999997</v>
      </c>
      <c r="I1996" s="8">
        <v>-3.0612244897959221E-2</v>
      </c>
      <c r="J1996" s="8">
        <v>-0.1100702576112411</v>
      </c>
      <c r="K1996" s="8">
        <v>2.4258760107816579E-2</v>
      </c>
      <c r="L1996" s="8">
        <v>-0.32504440497335713</v>
      </c>
      <c r="M1996" s="18">
        <v>-0.44146814737474083</v>
      </c>
    </row>
    <row r="1997" spans="1:13" x14ac:dyDescent="0.45">
      <c r="A1997" t="s">
        <v>1056</v>
      </c>
      <c r="B1997" s="18">
        <v>71.010000000000005</v>
      </c>
      <c r="C1997" s="18">
        <v>72.290000000000006</v>
      </c>
      <c r="D1997" s="18">
        <v>75.680000000000007</v>
      </c>
      <c r="E1997" s="18">
        <v>69.36</v>
      </c>
      <c r="F1997" s="18">
        <v>75.709999999999994</v>
      </c>
      <c r="G1997" s="18">
        <v>72.430999999999997</v>
      </c>
      <c r="H1997" s="18">
        <v>76.471249999999998</v>
      </c>
      <c r="I1997" s="8">
        <v>-1.7706460091298951E-2</v>
      </c>
      <c r="J1997" s="8">
        <v>-6.1707188160676552E-2</v>
      </c>
      <c r="K1997" s="8">
        <v>2.3788927335640201E-2</v>
      </c>
      <c r="L1997" s="8">
        <v>-6.2078985602958547E-2</v>
      </c>
      <c r="M1997" s="18">
        <v>-0.11770370651929379</v>
      </c>
    </row>
    <row r="1998" spans="1:13" x14ac:dyDescent="0.45">
      <c r="A1998" t="s">
        <v>940</v>
      </c>
      <c r="B1998" s="18">
        <v>46.74</v>
      </c>
      <c r="C1998" s="18">
        <v>47.28</v>
      </c>
      <c r="D1998" s="18">
        <v>43.94</v>
      </c>
      <c r="E1998" s="18">
        <v>45.66</v>
      </c>
      <c r="F1998" s="18">
        <v>48.44</v>
      </c>
      <c r="G1998" s="18">
        <v>47.157600000000002</v>
      </c>
      <c r="H1998" s="18">
        <v>47.507299999999987</v>
      </c>
      <c r="I1998" s="8">
        <v>-1.1421319796954269E-2</v>
      </c>
      <c r="J1998" s="8">
        <v>6.3723258989531351E-2</v>
      </c>
      <c r="K1998" s="8">
        <v>2.3653088042050019E-2</v>
      </c>
      <c r="L1998" s="8">
        <v>-3.5094962840627519E-2</v>
      </c>
      <c r="M1998" s="18">
        <v>4.0860064393999578E-2</v>
      </c>
    </row>
    <row r="1999" spans="1:13" x14ac:dyDescent="0.45">
      <c r="A1999" t="s">
        <v>1104</v>
      </c>
      <c r="B1999" s="18">
        <v>25.28</v>
      </c>
      <c r="C1999" s="18">
        <v>25.33</v>
      </c>
      <c r="D1999" s="18">
        <v>25.1</v>
      </c>
      <c r="E1999" s="18">
        <v>24.7</v>
      </c>
      <c r="F1999" s="18">
        <v>24.975000000000001</v>
      </c>
      <c r="G1999" s="18">
        <v>25.210588000000001</v>
      </c>
      <c r="H1999" s="18">
        <v>25.0076465</v>
      </c>
      <c r="I1999" s="8">
        <v>-1.9739439399919512E-3</v>
      </c>
      <c r="J1999" s="8">
        <v>7.171314741035939E-3</v>
      </c>
      <c r="K1999" s="8">
        <v>2.348178137651824E-2</v>
      </c>
      <c r="L1999" s="8">
        <v>1.221221221221214E-2</v>
      </c>
      <c r="M1999" s="18">
        <v>4.0891364389774372E-2</v>
      </c>
    </row>
    <row r="2000" spans="1:13" x14ac:dyDescent="0.45">
      <c r="A2000" t="s">
        <v>1039</v>
      </c>
      <c r="B2000" s="18">
        <v>26.127700000000001</v>
      </c>
      <c r="C2000" s="18">
        <v>26.06</v>
      </c>
      <c r="D2000" s="18">
        <v>25.88</v>
      </c>
      <c r="E2000" s="18">
        <v>25.531300000000002</v>
      </c>
      <c r="F2000" s="18">
        <v>26.012699999999999</v>
      </c>
      <c r="G2000" s="18">
        <v>26.069369999999999</v>
      </c>
      <c r="H2000" s="18">
        <v>25.9444865</v>
      </c>
      <c r="I2000" s="8">
        <v>2.5978511128166288E-3</v>
      </c>
      <c r="J2000" s="8">
        <v>9.5710973724885129E-3</v>
      </c>
      <c r="K2000" s="8">
        <v>2.3359562576132031E-2</v>
      </c>
      <c r="L2000" s="8">
        <v>4.4209174749256794E-3</v>
      </c>
      <c r="M2000" s="18">
        <v>3.9949428536362852E-2</v>
      </c>
    </row>
    <row r="2001" spans="1:13" x14ac:dyDescent="0.45">
      <c r="A2001" t="s">
        <v>1766</v>
      </c>
      <c r="B2001" s="18">
        <v>6.7530000000000001</v>
      </c>
      <c r="C2001" s="18">
        <v>6.72</v>
      </c>
      <c r="D2001" s="18">
        <v>6.86</v>
      </c>
      <c r="E2001" s="18">
        <v>6.6</v>
      </c>
      <c r="F2001" s="18">
        <v>5.1100000000000003</v>
      </c>
      <c r="G2001" s="18">
        <v>6.7049159999999999</v>
      </c>
      <c r="H2001" s="18">
        <v>6.7356674999999999</v>
      </c>
      <c r="I2001" s="8">
        <v>4.9107142857143238E-3</v>
      </c>
      <c r="J2001" s="8">
        <v>-1.559766763848403E-2</v>
      </c>
      <c r="K2001" s="8">
        <v>2.3181818181818189E-2</v>
      </c>
      <c r="L2001" s="8">
        <v>0.32152641878669258</v>
      </c>
      <c r="M2001" s="18">
        <v>0.33402128361574113</v>
      </c>
    </row>
    <row r="2002" spans="1:13" x14ac:dyDescent="0.45">
      <c r="A2002" t="s">
        <v>2447</v>
      </c>
      <c r="B2002" s="18">
        <v>4.55</v>
      </c>
      <c r="C2002" s="18">
        <v>4.07</v>
      </c>
      <c r="D2002" s="18">
        <v>6.37</v>
      </c>
      <c r="E2002" s="18">
        <v>4.45</v>
      </c>
      <c r="F2002" s="18">
        <v>7.44</v>
      </c>
      <c r="G2002" s="18">
        <v>4.4687999999999999</v>
      </c>
      <c r="H2002" s="18">
        <v>5.5105000000000004</v>
      </c>
      <c r="I2002" s="8">
        <v>0.1179361179361178</v>
      </c>
      <c r="J2002" s="8">
        <v>-0.28571428571428581</v>
      </c>
      <c r="K2002" s="8">
        <v>2.247191011235938E-2</v>
      </c>
      <c r="L2002" s="8">
        <v>-0.38844086021505392</v>
      </c>
      <c r="M2002" s="18">
        <v>-0.53374711788086249</v>
      </c>
    </row>
    <row r="2003" spans="1:13" x14ac:dyDescent="0.45">
      <c r="A2003" t="s">
        <v>1429</v>
      </c>
      <c r="B2003" s="18">
        <v>24.7499</v>
      </c>
      <c r="C2003" s="18">
        <v>24.91</v>
      </c>
      <c r="D2003" s="18">
        <v>24.3</v>
      </c>
      <c r="E2003" s="18">
        <v>24.21</v>
      </c>
      <c r="F2003" s="18">
        <v>24.15</v>
      </c>
      <c r="G2003" s="18">
        <v>24.761673999999999</v>
      </c>
      <c r="H2003" s="18">
        <v>24.480637000000002</v>
      </c>
      <c r="I2003" s="8">
        <v>-6.4271376957045767E-3</v>
      </c>
      <c r="J2003" s="8">
        <v>1.8514403292181129E-2</v>
      </c>
      <c r="K2003" s="8">
        <v>2.2300702189177901E-2</v>
      </c>
      <c r="L2003" s="8">
        <v>2.4840579710144969E-2</v>
      </c>
      <c r="M2003" s="18">
        <v>5.9228547495799422E-2</v>
      </c>
    </row>
    <row r="2004" spans="1:13" x14ac:dyDescent="0.45">
      <c r="A2004" t="s">
        <v>1378</v>
      </c>
      <c r="B2004" s="18">
        <v>25.5626</v>
      </c>
      <c r="C2004" s="18">
        <v>25.398599999999998</v>
      </c>
      <c r="D2004" s="18">
        <v>24.86</v>
      </c>
      <c r="E2004" s="18">
        <v>25.01</v>
      </c>
      <c r="F2004" s="18">
        <v>24.864999999999998</v>
      </c>
      <c r="G2004" s="18">
        <v>25.187702000000002</v>
      </c>
      <c r="H2004" s="18">
        <v>25.074123499999999</v>
      </c>
      <c r="I2004" s="8">
        <v>6.4570488137141169E-3</v>
      </c>
      <c r="J2004" s="8">
        <v>2.8262268704746681E-2</v>
      </c>
      <c r="K2004" s="8">
        <v>2.2095161935225871E-2</v>
      </c>
      <c r="L2004" s="8">
        <v>2.8055499698371289E-2</v>
      </c>
      <c r="M2004" s="18">
        <v>8.4869979152057962E-2</v>
      </c>
    </row>
    <row r="2005" spans="1:13" x14ac:dyDescent="0.45">
      <c r="A2005" t="s">
        <v>2336</v>
      </c>
      <c r="B2005" s="18">
        <v>15.77</v>
      </c>
      <c r="C2005" s="18">
        <v>16.63</v>
      </c>
      <c r="D2005" s="18">
        <v>18.37</v>
      </c>
      <c r="E2005" s="18">
        <v>15.43</v>
      </c>
      <c r="F2005" s="18">
        <v>17.170000000000002</v>
      </c>
      <c r="G2005" s="18">
        <v>16.886399999999998</v>
      </c>
      <c r="H2005" s="18">
        <v>16.557600000000001</v>
      </c>
      <c r="I2005" s="8">
        <v>-5.1713770294648187E-2</v>
      </c>
      <c r="J2005" s="8">
        <v>-0.14153511159499191</v>
      </c>
      <c r="K2005" s="8">
        <v>2.2034996759559219E-2</v>
      </c>
      <c r="L2005" s="8">
        <v>-8.1537565521258126E-2</v>
      </c>
      <c r="M2005" s="18">
        <v>-0.25275145065133903</v>
      </c>
    </row>
    <row r="2006" spans="1:13" x14ac:dyDescent="0.45">
      <c r="A2006" t="s">
        <v>1981</v>
      </c>
      <c r="B2006" s="18">
        <v>6.99</v>
      </c>
      <c r="C2006" s="18">
        <v>6.79</v>
      </c>
      <c r="D2006" s="18">
        <v>6.76</v>
      </c>
      <c r="E2006" s="18">
        <v>6.84</v>
      </c>
      <c r="F2006" s="18">
        <v>7.76</v>
      </c>
      <c r="G2006" s="18">
        <v>6.7254060000000004</v>
      </c>
      <c r="H2006" s="18">
        <v>6.8947450000000003</v>
      </c>
      <c r="I2006" s="8">
        <v>2.9455081001472871E-2</v>
      </c>
      <c r="J2006" s="8">
        <v>3.4023668639053373E-2</v>
      </c>
      <c r="K2006" s="8">
        <v>2.1929824561403469E-2</v>
      </c>
      <c r="L2006" s="8">
        <v>-9.9226804123711321E-2</v>
      </c>
      <c r="M2006" s="18">
        <v>-1.3818229921781611E-2</v>
      </c>
    </row>
    <row r="2007" spans="1:13" x14ac:dyDescent="0.45">
      <c r="A2007" t="s">
        <v>2114</v>
      </c>
      <c r="B2007" s="18">
        <v>15.41</v>
      </c>
      <c r="C2007" s="18">
        <v>16.36</v>
      </c>
      <c r="D2007" s="18">
        <v>15.6</v>
      </c>
      <c r="E2007" s="18">
        <v>15.08</v>
      </c>
      <c r="F2007" s="18">
        <v>24.89</v>
      </c>
      <c r="G2007" s="18">
        <v>15.5364</v>
      </c>
      <c r="H2007" s="18">
        <v>16.245349999999998</v>
      </c>
      <c r="I2007" s="8">
        <v>-5.8068459657701688E-2</v>
      </c>
      <c r="J2007" s="8">
        <v>-1.217948717948714E-2</v>
      </c>
      <c r="K2007" s="8">
        <v>2.1883289124668529E-2</v>
      </c>
      <c r="L2007" s="8">
        <v>-0.38087585375652883</v>
      </c>
      <c r="M2007" s="18">
        <v>-0.42924051146904912</v>
      </c>
    </row>
    <row r="2008" spans="1:13" x14ac:dyDescent="0.45">
      <c r="A2008" t="s">
        <v>906</v>
      </c>
      <c r="B2008" s="18">
        <v>25.349900000000002</v>
      </c>
      <c r="C2008" s="18">
        <v>25.5</v>
      </c>
      <c r="D2008" s="18">
        <v>24.82</v>
      </c>
      <c r="E2008" s="18">
        <v>24.81</v>
      </c>
      <c r="F2008" s="18"/>
      <c r="G2008" s="18">
        <v>25.311864</v>
      </c>
      <c r="H2008" s="18">
        <v>25.003547000000001</v>
      </c>
      <c r="I2008" s="8">
        <v>-5.8862745098038349E-3</v>
      </c>
      <c r="J2008" s="8">
        <v>2.134971796937957E-2</v>
      </c>
      <c r="K2008" s="8">
        <v>2.1761386537686441E-2</v>
      </c>
      <c r="L2008" s="8"/>
      <c r="M2008" s="18">
        <v>3.7224829997262177E-2</v>
      </c>
    </row>
    <row r="2009" spans="1:13" x14ac:dyDescent="0.45">
      <c r="A2009" t="s">
        <v>1309</v>
      </c>
      <c r="B2009" s="18">
        <v>4.2300000000000004</v>
      </c>
      <c r="C2009" s="18">
        <v>4.3</v>
      </c>
      <c r="D2009" s="18">
        <v>4.3</v>
      </c>
      <c r="E2009" s="18">
        <v>4.1399999999999997</v>
      </c>
      <c r="F2009" s="18">
        <v>4.8998999999999997</v>
      </c>
      <c r="G2009" s="18">
        <v>4.2526000000000002</v>
      </c>
      <c r="H2009" s="18">
        <v>4.4211919999999996</v>
      </c>
      <c r="I2009" s="8">
        <v>-1.627906976744176E-2</v>
      </c>
      <c r="J2009" s="8">
        <v>-1.627906976744176E-2</v>
      </c>
      <c r="K2009" s="8">
        <v>2.1739130434782709E-2</v>
      </c>
      <c r="L2009" s="8">
        <v>-0.13671707585869089</v>
      </c>
      <c r="M2009" s="18">
        <v>-0.1475360849587917</v>
      </c>
    </row>
    <row r="2010" spans="1:13" x14ac:dyDescent="0.45">
      <c r="A2010" t="s">
        <v>2155</v>
      </c>
      <c r="B2010" s="18">
        <v>7.25</v>
      </c>
      <c r="C2010" s="18">
        <v>8.19</v>
      </c>
      <c r="D2010" s="18">
        <v>9.0500000000000007</v>
      </c>
      <c r="E2010" s="18">
        <v>7.1</v>
      </c>
      <c r="F2010" s="18">
        <v>11.73</v>
      </c>
      <c r="G2010" s="18">
        <v>8.2864000000000004</v>
      </c>
      <c r="H2010" s="18">
        <v>8.8490500000000001</v>
      </c>
      <c r="I2010" s="8">
        <v>-0.1147741147741147</v>
      </c>
      <c r="J2010" s="8">
        <v>-0.19889502762430941</v>
      </c>
      <c r="K2010" s="8">
        <v>2.112676056338025E-2</v>
      </c>
      <c r="L2010" s="8">
        <v>-0.38192668371696498</v>
      </c>
      <c r="M2010" s="18">
        <v>-0.67446906555200892</v>
      </c>
    </row>
    <row r="2011" spans="1:13" x14ac:dyDescent="0.45">
      <c r="A2011" t="s">
        <v>628</v>
      </c>
      <c r="B2011" s="18">
        <v>26.32</v>
      </c>
      <c r="C2011" s="18">
        <v>26.4999</v>
      </c>
      <c r="D2011" s="18">
        <v>26.56</v>
      </c>
      <c r="E2011" s="18">
        <v>25.78</v>
      </c>
      <c r="F2011" s="18">
        <v>27.51</v>
      </c>
      <c r="G2011" s="18">
        <v>26.645517999999999</v>
      </c>
      <c r="H2011" s="18">
        <v>26.5036345</v>
      </c>
      <c r="I2011" s="8">
        <v>-6.788704863037176E-3</v>
      </c>
      <c r="J2011" s="8">
        <v>-9.0361445783131433E-3</v>
      </c>
      <c r="K2011" s="8">
        <v>2.0946470131885109E-2</v>
      </c>
      <c r="L2011" s="8">
        <v>-4.3256997455470743E-2</v>
      </c>
      <c r="M2011" s="18">
        <v>-3.8135376764935953E-2</v>
      </c>
    </row>
    <row r="2012" spans="1:13" x14ac:dyDescent="0.45">
      <c r="A2012" t="s">
        <v>1979</v>
      </c>
      <c r="B2012" s="18">
        <v>25.565000000000001</v>
      </c>
      <c r="C2012" s="18">
        <v>25.309899999999999</v>
      </c>
      <c r="D2012" s="18">
        <v>25.29</v>
      </c>
      <c r="E2012" s="18">
        <v>25.045000000000002</v>
      </c>
      <c r="F2012" s="18"/>
      <c r="G2012" s="18">
        <v>25.373666</v>
      </c>
      <c r="H2012" s="18"/>
      <c r="I2012" s="8">
        <v>1.0079059972579961E-2</v>
      </c>
      <c r="J2012" s="8">
        <v>1.087386318703043E-2</v>
      </c>
      <c r="K2012" s="8">
        <v>2.0762627270912271E-2</v>
      </c>
      <c r="L2012" s="8"/>
      <c r="M2012" s="18">
        <v>4.1715550430522663E-2</v>
      </c>
    </row>
    <row r="2013" spans="1:13" x14ac:dyDescent="0.45">
      <c r="A2013" t="s">
        <v>1450</v>
      </c>
      <c r="B2013" s="18">
        <v>47.37</v>
      </c>
      <c r="C2013" s="18">
        <v>65.41</v>
      </c>
      <c r="D2013" s="18">
        <v>62.48</v>
      </c>
      <c r="E2013" s="18">
        <v>46.41</v>
      </c>
      <c r="F2013" s="18">
        <v>38.159999999999997</v>
      </c>
      <c r="G2013" s="18">
        <v>61.270400000000002</v>
      </c>
      <c r="H2013" s="18">
        <v>55.628450000000001</v>
      </c>
      <c r="I2013" s="8">
        <v>-0.27579880752178559</v>
      </c>
      <c r="J2013" s="8">
        <v>-0.24183738796414861</v>
      </c>
      <c r="K2013" s="8">
        <v>2.0685197155785321E-2</v>
      </c>
      <c r="L2013" s="8">
        <v>0.24135220125786169</v>
      </c>
      <c r="M2013" s="18">
        <v>-0.25559879707228722</v>
      </c>
    </row>
    <row r="2014" spans="1:13" x14ac:dyDescent="0.45">
      <c r="A2014" t="s">
        <v>1565</v>
      </c>
      <c r="B2014" s="18">
        <v>9.1999999999999993</v>
      </c>
      <c r="C2014" s="18">
        <v>9.07</v>
      </c>
      <c r="D2014" s="18">
        <v>8.81</v>
      </c>
      <c r="E2014" s="18">
        <v>9.02</v>
      </c>
      <c r="F2014" s="18">
        <v>9.98</v>
      </c>
      <c r="G2014" s="18">
        <v>8.9057779999999998</v>
      </c>
      <c r="H2014" s="18">
        <v>9.1146084999999992</v>
      </c>
      <c r="I2014" s="8">
        <v>1.43329658213891E-2</v>
      </c>
      <c r="J2014" s="8">
        <v>4.4267877412031753E-2</v>
      </c>
      <c r="K2014" s="8">
        <v>1.995565410199562E-2</v>
      </c>
      <c r="L2014" s="8">
        <v>-7.8156312625250579E-2</v>
      </c>
      <c r="M2014" s="18">
        <v>4.0018471016589618E-4</v>
      </c>
    </row>
    <row r="2015" spans="1:13" x14ac:dyDescent="0.45">
      <c r="A2015" t="s">
        <v>820</v>
      </c>
      <c r="B2015" s="18">
        <v>13.37</v>
      </c>
      <c r="C2015" s="18">
        <v>12.12</v>
      </c>
      <c r="D2015" s="18">
        <v>13.28</v>
      </c>
      <c r="E2015" s="18">
        <v>13.11</v>
      </c>
      <c r="F2015" s="18">
        <v>15.35</v>
      </c>
      <c r="G2015" s="18">
        <v>12.6004</v>
      </c>
      <c r="H2015" s="18">
        <v>13.786049999999999</v>
      </c>
      <c r="I2015" s="8">
        <v>0.10313531353135311</v>
      </c>
      <c r="J2015" s="8">
        <v>6.777108433734913E-3</v>
      </c>
      <c r="K2015" s="8">
        <v>1.9832189168573541E-2</v>
      </c>
      <c r="L2015" s="8">
        <v>-0.1289902280130294</v>
      </c>
      <c r="M2015" s="18">
        <v>7.5438312063214052E-4</v>
      </c>
    </row>
    <row r="2016" spans="1:13" x14ac:dyDescent="0.45">
      <c r="A2016" t="s">
        <v>2307</v>
      </c>
      <c r="B2016" s="18">
        <v>18.239999999999998</v>
      </c>
      <c r="C2016" s="18">
        <v>17.22</v>
      </c>
      <c r="D2016" s="18">
        <v>18.04</v>
      </c>
      <c r="E2016" s="18">
        <v>17.89</v>
      </c>
      <c r="F2016" s="18">
        <v>22.09</v>
      </c>
      <c r="G2016" s="18">
        <v>16.881</v>
      </c>
      <c r="H2016" s="18">
        <v>18.64255</v>
      </c>
      <c r="I2016" s="8">
        <v>5.9233449477351867E-2</v>
      </c>
      <c r="J2016" s="8">
        <v>1.108647450110856E-2</v>
      </c>
      <c r="K2016" s="8">
        <v>1.9564002235885839E-2</v>
      </c>
      <c r="L2016" s="8">
        <v>-0.17428700769579</v>
      </c>
      <c r="M2016" s="18">
        <v>-8.4403081481443709E-2</v>
      </c>
    </row>
    <row r="2017" spans="1:13" x14ac:dyDescent="0.45">
      <c r="A2017" t="s">
        <v>1467</v>
      </c>
      <c r="B2017" s="18">
        <v>16.739999999999998</v>
      </c>
      <c r="C2017" s="18">
        <v>17.010000000000002</v>
      </c>
      <c r="D2017" s="18">
        <v>18.100000000000001</v>
      </c>
      <c r="E2017" s="18">
        <v>16.420000000000002</v>
      </c>
      <c r="F2017" s="18">
        <v>22.79</v>
      </c>
      <c r="G2017" s="18">
        <v>16.702400000000001</v>
      </c>
      <c r="H2017" s="18">
        <v>18.66985</v>
      </c>
      <c r="I2017" s="8">
        <v>-1.5873015873016039E-2</v>
      </c>
      <c r="J2017" s="8">
        <v>-7.5138121546961534E-2</v>
      </c>
      <c r="K2017" s="8">
        <v>1.9488428745432222E-2</v>
      </c>
      <c r="L2017" s="8">
        <v>-0.26546731022378239</v>
      </c>
      <c r="M2017" s="18">
        <v>-0.3369900188983278</v>
      </c>
    </row>
    <row r="2018" spans="1:13" x14ac:dyDescent="0.45">
      <c r="A2018" t="s">
        <v>1444</v>
      </c>
      <c r="B2018" s="18">
        <v>30.74</v>
      </c>
      <c r="C2018" s="18">
        <v>31.8</v>
      </c>
      <c r="D2018" s="18">
        <v>33.42</v>
      </c>
      <c r="E2018" s="18">
        <v>30.16</v>
      </c>
      <c r="F2018" s="18">
        <v>29.41</v>
      </c>
      <c r="G2018" s="18">
        <v>32.019799999999996</v>
      </c>
      <c r="H2018" s="18">
        <v>31.54645</v>
      </c>
      <c r="I2018" s="8">
        <v>-3.3333333333333437E-2</v>
      </c>
      <c r="J2018" s="8">
        <v>-8.0191502094554279E-2</v>
      </c>
      <c r="K2018" s="8">
        <v>1.9230769230769159E-2</v>
      </c>
      <c r="L2018" s="8">
        <v>4.5222713362801807E-2</v>
      </c>
      <c r="M2018" s="18">
        <v>-4.9071352834316739E-2</v>
      </c>
    </row>
    <row r="2019" spans="1:13" x14ac:dyDescent="0.45">
      <c r="A2019" t="s">
        <v>713</v>
      </c>
      <c r="B2019" s="18">
        <v>26</v>
      </c>
      <c r="C2019" s="18">
        <v>28.22</v>
      </c>
      <c r="D2019" s="18">
        <v>33.65</v>
      </c>
      <c r="E2019" s="18">
        <v>25.51</v>
      </c>
      <c r="F2019" s="18">
        <v>29.92</v>
      </c>
      <c r="G2019" s="18">
        <v>28.1556</v>
      </c>
      <c r="H2019" s="18">
        <v>31.504850000000001</v>
      </c>
      <c r="I2019" s="8">
        <v>-7.866761162296243E-2</v>
      </c>
      <c r="J2019" s="8">
        <v>-0.22734026745913821</v>
      </c>
      <c r="K2019" s="8">
        <v>1.9208153665229322E-2</v>
      </c>
      <c r="L2019" s="8">
        <v>-0.13101604278074869</v>
      </c>
      <c r="M2019" s="18">
        <v>-0.41781576819762001</v>
      </c>
    </row>
    <row r="2020" spans="1:13" x14ac:dyDescent="0.45">
      <c r="A2020" t="s">
        <v>1081</v>
      </c>
      <c r="B2020" s="18">
        <v>11.445</v>
      </c>
      <c r="C2020" s="18">
        <v>11.35</v>
      </c>
      <c r="D2020" s="18">
        <v>11.23</v>
      </c>
      <c r="E2020" s="18">
        <v>11.23</v>
      </c>
      <c r="F2020" s="18">
        <v>11.3</v>
      </c>
      <c r="G2020" s="18">
        <v>11.31731456</v>
      </c>
      <c r="H2020" s="18">
        <v>11.24167214</v>
      </c>
      <c r="I2020" s="8">
        <v>8.3700440528635678E-3</v>
      </c>
      <c r="J2020" s="8">
        <v>1.914514692787184E-2</v>
      </c>
      <c r="K2020" s="8">
        <v>1.914514692787184E-2</v>
      </c>
      <c r="L2020" s="8">
        <v>1.2831858407079681E-2</v>
      </c>
      <c r="M2020" s="18">
        <v>5.9492196315686918E-2</v>
      </c>
    </row>
    <row r="2021" spans="1:13" x14ac:dyDescent="0.45">
      <c r="A2021" t="s">
        <v>2110</v>
      </c>
      <c r="B2021" s="18">
        <v>25.6</v>
      </c>
      <c r="C2021" s="18">
        <v>25.84</v>
      </c>
      <c r="D2021" s="18">
        <v>25.59</v>
      </c>
      <c r="E2021" s="18">
        <v>25.12</v>
      </c>
      <c r="F2021" s="18">
        <v>26.22</v>
      </c>
      <c r="G2021" s="18">
        <v>25.8264</v>
      </c>
      <c r="H2021" s="18">
        <v>25.81195</v>
      </c>
      <c r="I2021" s="8">
        <v>-9.2879256965943124E-3</v>
      </c>
      <c r="J2021" s="8">
        <v>3.9077764751871408E-4</v>
      </c>
      <c r="K2021" s="8">
        <v>1.9108280254777069E-2</v>
      </c>
      <c r="L2021" s="8">
        <v>-2.364607170099153E-2</v>
      </c>
      <c r="M2021" s="18">
        <v>-1.3434939495290069E-2</v>
      </c>
    </row>
    <row r="2022" spans="1:13" x14ac:dyDescent="0.45">
      <c r="A2022" t="s">
        <v>1666</v>
      </c>
      <c r="B2022" s="18">
        <v>15</v>
      </c>
      <c r="C2022" s="18">
        <v>15</v>
      </c>
      <c r="D2022" s="18">
        <v>14.7</v>
      </c>
      <c r="E2022" s="18">
        <v>14.725199999999999</v>
      </c>
      <c r="F2022" s="18">
        <v>15.5</v>
      </c>
      <c r="G2022" s="18">
        <v>15.077032000000001</v>
      </c>
      <c r="H2022" s="18">
        <v>14.821445000000001</v>
      </c>
      <c r="I2022" s="8">
        <v>0</v>
      </c>
      <c r="J2022" s="8">
        <v>2.0408163265306149E-2</v>
      </c>
      <c r="K2022" s="8">
        <v>1.8661885746882989E-2</v>
      </c>
      <c r="L2022" s="8">
        <v>-3.2258064516128997E-2</v>
      </c>
      <c r="M2022" s="18">
        <v>6.8119844960601306E-3</v>
      </c>
    </row>
    <row r="2023" spans="1:13" x14ac:dyDescent="0.45">
      <c r="A2023" t="s">
        <v>230</v>
      </c>
      <c r="B2023" s="18">
        <v>53.47</v>
      </c>
      <c r="C2023" s="18">
        <v>54.77</v>
      </c>
      <c r="D2023" s="18">
        <v>51.29</v>
      </c>
      <c r="E2023" s="18">
        <v>52.5</v>
      </c>
      <c r="F2023" s="18">
        <v>86.18</v>
      </c>
      <c r="G2023" s="18">
        <v>54.988799999999998</v>
      </c>
      <c r="H2023" s="18">
        <v>56.323099999999997</v>
      </c>
      <c r="I2023" s="8">
        <v>-2.373562169070664E-2</v>
      </c>
      <c r="J2023" s="8">
        <v>4.2503411971144489E-2</v>
      </c>
      <c r="K2023" s="8">
        <v>1.8476190476190531E-2</v>
      </c>
      <c r="L2023" s="8">
        <v>-0.37955442097934572</v>
      </c>
      <c r="M2023" s="18">
        <v>-0.34231044022271728</v>
      </c>
    </row>
    <row r="2024" spans="1:13" x14ac:dyDescent="0.45">
      <c r="A2024" t="s">
        <v>458</v>
      </c>
      <c r="B2024" s="18">
        <v>90.38</v>
      </c>
      <c r="C2024" s="18">
        <v>90.91</v>
      </c>
      <c r="D2024" s="18">
        <v>104.74</v>
      </c>
      <c r="E2024" s="18">
        <v>88.76</v>
      </c>
      <c r="F2024" s="18">
        <v>152.88</v>
      </c>
      <c r="G2024" s="18">
        <v>95.122199999999992</v>
      </c>
      <c r="H2024" s="18">
        <v>106.79564999999999</v>
      </c>
      <c r="I2024" s="8">
        <v>-5.8299417005830412E-3</v>
      </c>
      <c r="J2024" s="8">
        <v>-0.13710139392782131</v>
      </c>
      <c r="K2024" s="8">
        <v>1.8251464623704191E-2</v>
      </c>
      <c r="L2024" s="8">
        <v>-0.40881737310308741</v>
      </c>
      <c r="M2024" s="18">
        <v>-0.53349724410778754</v>
      </c>
    </row>
    <row r="2025" spans="1:13" x14ac:dyDescent="0.45">
      <c r="A2025" t="s">
        <v>2209</v>
      </c>
      <c r="B2025" s="18">
        <v>25.87</v>
      </c>
      <c r="C2025" s="18">
        <v>26.47</v>
      </c>
      <c r="D2025" s="18">
        <v>25.71</v>
      </c>
      <c r="E2025" s="18">
        <v>25.41</v>
      </c>
      <c r="F2025" s="18"/>
      <c r="G2025" s="18">
        <v>26.153198</v>
      </c>
      <c r="H2025" s="18"/>
      <c r="I2025" s="8">
        <v>-2.2667170381563961E-2</v>
      </c>
      <c r="J2025" s="8">
        <v>6.223259432127648E-3</v>
      </c>
      <c r="K2025" s="8">
        <v>1.810310901219991E-2</v>
      </c>
      <c r="L2025" s="8"/>
      <c r="M2025" s="18">
        <v>1.6591980627636001E-3</v>
      </c>
    </row>
    <row r="2026" spans="1:13" x14ac:dyDescent="0.45">
      <c r="A2026" t="s">
        <v>1783</v>
      </c>
      <c r="B2026" s="18">
        <v>12.45</v>
      </c>
      <c r="C2026" s="18">
        <v>12.26</v>
      </c>
      <c r="D2026" s="18">
        <v>11.77</v>
      </c>
      <c r="E2026" s="18">
        <v>12.23</v>
      </c>
      <c r="F2026" s="18">
        <v>13.6</v>
      </c>
      <c r="G2026" s="18">
        <v>12.141202</v>
      </c>
      <c r="H2026" s="18">
        <v>12.215650500000001</v>
      </c>
      <c r="I2026" s="8">
        <v>1.5497553017944419E-2</v>
      </c>
      <c r="J2026" s="8">
        <v>5.7774001699235411E-2</v>
      </c>
      <c r="K2026" s="8">
        <v>1.798855273916589E-2</v>
      </c>
      <c r="L2026" s="8">
        <v>-8.4558823529411797E-2</v>
      </c>
      <c r="M2026" s="18">
        <v>6.7012839269339208E-3</v>
      </c>
    </row>
    <row r="2027" spans="1:13" x14ac:dyDescent="0.45">
      <c r="A2027" t="s">
        <v>1141</v>
      </c>
      <c r="B2027" s="18">
        <v>62.9</v>
      </c>
      <c r="C2027" s="18">
        <v>61.65</v>
      </c>
      <c r="D2027" s="18">
        <v>61.82</v>
      </c>
      <c r="E2027" s="18">
        <v>61.79</v>
      </c>
      <c r="F2027" s="18">
        <v>69.28</v>
      </c>
      <c r="G2027" s="18">
        <v>60.610199999999992</v>
      </c>
      <c r="H2027" s="18">
        <v>63.753049999999988</v>
      </c>
      <c r="I2027" s="8">
        <v>2.0275750202757511E-2</v>
      </c>
      <c r="J2027" s="8">
        <v>1.7470074409576149E-2</v>
      </c>
      <c r="K2027" s="8">
        <v>1.7964071856287459E-2</v>
      </c>
      <c r="L2027" s="8">
        <v>-9.2090069284064713E-2</v>
      </c>
      <c r="M2027" s="18">
        <v>-3.638017281544359E-2</v>
      </c>
    </row>
    <row r="2028" spans="1:13" x14ac:dyDescent="0.45">
      <c r="A2028" t="s">
        <v>2421</v>
      </c>
      <c r="B2028" s="18">
        <v>15.36</v>
      </c>
      <c r="C2028" s="18">
        <v>16.12</v>
      </c>
      <c r="D2028" s="18">
        <v>18.510000000000002</v>
      </c>
      <c r="E2028" s="18">
        <v>15.09</v>
      </c>
      <c r="F2028" s="18">
        <v>34.68</v>
      </c>
      <c r="G2028" s="18">
        <v>16.1492</v>
      </c>
      <c r="H2028" s="18">
        <v>17.5474</v>
      </c>
      <c r="I2028" s="8">
        <v>-4.7146401985111767E-2</v>
      </c>
      <c r="J2028" s="8">
        <v>-0.1701782820097246</v>
      </c>
      <c r="K2028" s="8">
        <v>1.7892644135188759E-2</v>
      </c>
      <c r="L2028" s="8">
        <v>-0.55709342560553632</v>
      </c>
      <c r="M2028" s="18">
        <v>-0.75652546546518395</v>
      </c>
    </row>
    <row r="2029" spans="1:13" x14ac:dyDescent="0.45">
      <c r="A2029" t="s">
        <v>2271</v>
      </c>
      <c r="B2029" s="18">
        <v>14.31</v>
      </c>
      <c r="C2029" s="18">
        <v>15.27</v>
      </c>
      <c r="D2029" s="18">
        <v>14.84</v>
      </c>
      <c r="E2029" s="18">
        <v>14.06</v>
      </c>
      <c r="F2029" s="18">
        <v>14.43</v>
      </c>
      <c r="G2029" s="18">
        <v>14.829599999999999</v>
      </c>
      <c r="H2029" s="18">
        <v>14.498150000000001</v>
      </c>
      <c r="I2029" s="8">
        <v>-6.2868369351669839E-2</v>
      </c>
      <c r="J2029" s="8">
        <v>-3.5714285714285698E-2</v>
      </c>
      <c r="K2029" s="8">
        <v>1.7780938833570351E-2</v>
      </c>
      <c r="L2029" s="8">
        <v>-8.3160083160083165E-3</v>
      </c>
      <c r="M2029" s="18">
        <v>-8.9117724548393507E-2</v>
      </c>
    </row>
    <row r="2030" spans="1:13" x14ac:dyDescent="0.45">
      <c r="A2030" t="s">
        <v>1134</v>
      </c>
      <c r="B2030" s="18">
        <v>25.18</v>
      </c>
      <c r="C2030" s="18">
        <v>25.19</v>
      </c>
      <c r="D2030" s="18">
        <v>25.08</v>
      </c>
      <c r="E2030" s="18">
        <v>24.75</v>
      </c>
      <c r="F2030" s="18"/>
      <c r="G2030" s="18">
        <v>25.194241999999999</v>
      </c>
      <c r="H2030" s="18">
        <v>24.9780035</v>
      </c>
      <c r="I2030" s="8">
        <v>-3.969829297341132E-4</v>
      </c>
      <c r="J2030" s="8">
        <v>3.9872408293462058E-3</v>
      </c>
      <c r="K2030" s="8">
        <v>1.737373737373726E-2</v>
      </c>
      <c r="L2030" s="8"/>
      <c r="M2030" s="18">
        <v>2.096399527334936E-2</v>
      </c>
    </row>
    <row r="2031" spans="1:13" x14ac:dyDescent="0.45">
      <c r="A2031" t="s">
        <v>832</v>
      </c>
      <c r="B2031" s="18">
        <v>59.53</v>
      </c>
      <c r="C2031" s="18">
        <v>59.31</v>
      </c>
      <c r="D2031" s="18">
        <v>67.63</v>
      </c>
      <c r="E2031" s="18">
        <v>58.52</v>
      </c>
      <c r="F2031" s="18">
        <v>66.400000000000006</v>
      </c>
      <c r="G2031" s="18">
        <v>60.349600000000002</v>
      </c>
      <c r="H2031" s="18">
        <v>61.157600000000002</v>
      </c>
      <c r="I2031" s="8">
        <v>3.709323891417871E-3</v>
      </c>
      <c r="J2031" s="8">
        <v>-0.1197693331361821</v>
      </c>
      <c r="K2031" s="8">
        <v>1.7259056732740859E-2</v>
      </c>
      <c r="L2031" s="8">
        <v>-0.1034638554216868</v>
      </c>
      <c r="M2031" s="18">
        <v>-0.20226480793371021</v>
      </c>
    </row>
    <row r="2032" spans="1:13" x14ac:dyDescent="0.45">
      <c r="A2032" t="s">
        <v>2370</v>
      </c>
      <c r="B2032" s="18">
        <v>4.8099999999999996</v>
      </c>
      <c r="C2032" s="18">
        <v>4.88</v>
      </c>
      <c r="D2032" s="18">
        <v>6.65</v>
      </c>
      <c r="E2032" s="18">
        <v>4.7300000000000004</v>
      </c>
      <c r="F2032" s="18">
        <v>8.33</v>
      </c>
      <c r="G2032" s="18">
        <v>5.0857999999999999</v>
      </c>
      <c r="H2032" s="18">
        <v>6.1106999999999996</v>
      </c>
      <c r="I2032" s="8">
        <v>-1.4344262295082009E-2</v>
      </c>
      <c r="J2032" s="8">
        <v>-0.27669172932330832</v>
      </c>
      <c r="K2032" s="8">
        <v>1.6913319238900382E-2</v>
      </c>
      <c r="L2032" s="8">
        <v>-0.42256902761104442</v>
      </c>
      <c r="M2032" s="18">
        <v>-0.69669169999053437</v>
      </c>
    </row>
    <row r="2033" spans="1:13" x14ac:dyDescent="0.45">
      <c r="A2033" t="s">
        <v>203</v>
      </c>
      <c r="B2033" s="18">
        <v>96.42</v>
      </c>
      <c r="C2033" s="18">
        <v>94.5</v>
      </c>
      <c r="D2033" s="18">
        <v>103.97</v>
      </c>
      <c r="E2033" s="18">
        <v>94.83</v>
      </c>
      <c r="F2033" s="18">
        <v>111.48</v>
      </c>
      <c r="G2033" s="18">
        <v>98.733799999999988</v>
      </c>
      <c r="H2033" s="18">
        <v>98.259299999999996</v>
      </c>
      <c r="I2033" s="8">
        <v>2.031746031746029E-2</v>
      </c>
      <c r="J2033" s="8">
        <v>-7.2617101086851932E-2</v>
      </c>
      <c r="K2033" s="8">
        <v>1.6766845934830691E-2</v>
      </c>
      <c r="L2033" s="8">
        <v>-0.13509149623250799</v>
      </c>
      <c r="M2033" s="18">
        <v>-0.170624291067069</v>
      </c>
    </row>
    <row r="2034" spans="1:13" x14ac:dyDescent="0.45">
      <c r="A2034" t="s">
        <v>2387</v>
      </c>
      <c r="B2034" s="18">
        <v>164.53</v>
      </c>
      <c r="C2034" s="18">
        <v>173.13</v>
      </c>
      <c r="D2034" s="18">
        <v>174.26</v>
      </c>
      <c r="E2034" s="18">
        <v>161.86000000000001</v>
      </c>
      <c r="F2034" s="18">
        <v>196.74</v>
      </c>
      <c r="G2034" s="18">
        <v>172.12540000000001</v>
      </c>
      <c r="H2034" s="18">
        <v>186.42155</v>
      </c>
      <c r="I2034" s="8">
        <v>-4.9673655634494329E-2</v>
      </c>
      <c r="J2034" s="8">
        <v>-5.5836106966601573E-2</v>
      </c>
      <c r="K2034" s="8">
        <v>1.649573705671559E-2</v>
      </c>
      <c r="L2034" s="8">
        <v>-0.16371861339839389</v>
      </c>
      <c r="M2034" s="18">
        <v>-0.2527326389427742</v>
      </c>
    </row>
    <row r="2035" spans="1:13" x14ac:dyDescent="0.45">
      <c r="A2035" t="s">
        <v>1130</v>
      </c>
      <c r="B2035" s="18">
        <v>24.605</v>
      </c>
      <c r="C2035" s="18">
        <v>24.68</v>
      </c>
      <c r="D2035" s="18">
        <v>24.51</v>
      </c>
      <c r="E2035" s="18">
        <v>24.21</v>
      </c>
      <c r="F2035" s="18">
        <v>23.722000000000001</v>
      </c>
      <c r="G2035" s="18">
        <v>24.599988</v>
      </c>
      <c r="H2035" s="18">
        <v>24.282698499999999</v>
      </c>
      <c r="I2035" s="8">
        <v>-3.0388978930308008E-3</v>
      </c>
      <c r="J2035" s="8">
        <v>3.8759689922480689E-3</v>
      </c>
      <c r="K2035" s="8">
        <v>1.6315572077653769E-2</v>
      </c>
      <c r="L2035" s="8">
        <v>3.7222831127223577E-2</v>
      </c>
      <c r="M2035" s="18">
        <v>5.4375474304094618E-2</v>
      </c>
    </row>
    <row r="2036" spans="1:13" x14ac:dyDescent="0.45">
      <c r="A2036" t="s">
        <v>501</v>
      </c>
      <c r="B2036" s="18">
        <v>219.98</v>
      </c>
      <c r="C2036" s="18">
        <v>219.16</v>
      </c>
      <c r="D2036" s="18">
        <v>225.65</v>
      </c>
      <c r="E2036" s="18">
        <v>216.47</v>
      </c>
      <c r="F2036" s="18">
        <v>208.09</v>
      </c>
      <c r="G2036" s="18">
        <v>223.58760000000001</v>
      </c>
      <c r="H2036" s="18">
        <v>225.15110000000001</v>
      </c>
      <c r="I2036" s="8">
        <v>3.7415586785909389E-3</v>
      </c>
      <c r="J2036" s="8">
        <v>-2.5127409705295919E-2</v>
      </c>
      <c r="K2036" s="8">
        <v>1.6214717974777141E-2</v>
      </c>
      <c r="L2036" s="8">
        <v>5.7138738046037751E-2</v>
      </c>
      <c r="M2036" s="18">
        <v>5.1967604994109913E-2</v>
      </c>
    </row>
    <row r="2037" spans="1:13" x14ac:dyDescent="0.45">
      <c r="A2037" t="s">
        <v>2125</v>
      </c>
      <c r="B2037" s="18">
        <v>25.477499999999999</v>
      </c>
      <c r="C2037" s="18">
        <v>25.4634</v>
      </c>
      <c r="D2037" s="18">
        <v>25.44</v>
      </c>
      <c r="E2037" s="18">
        <v>25.071899999999999</v>
      </c>
      <c r="F2037" s="18">
        <v>25.72</v>
      </c>
      <c r="G2037" s="18">
        <v>25.463940000000001</v>
      </c>
      <c r="H2037" s="18">
        <v>25.408383499999999</v>
      </c>
      <c r="I2037" s="8">
        <v>5.5373595042285118E-4</v>
      </c>
      <c r="J2037" s="8">
        <v>1.4740566037734219E-3</v>
      </c>
      <c r="K2037" s="8">
        <v>1.6177473585966769E-2</v>
      </c>
      <c r="L2037" s="8">
        <v>-9.4284603421461721E-3</v>
      </c>
      <c r="M2037" s="18">
        <v>8.7768057980168734E-3</v>
      </c>
    </row>
    <row r="2038" spans="1:13" x14ac:dyDescent="0.45">
      <c r="A2038" t="s">
        <v>765</v>
      </c>
      <c r="B2038" s="18">
        <v>13.41</v>
      </c>
      <c r="C2038" s="18">
        <v>13.84</v>
      </c>
      <c r="D2038" s="18">
        <v>14.74</v>
      </c>
      <c r="E2038" s="18">
        <v>13.2</v>
      </c>
      <c r="F2038" s="18">
        <v>15.04</v>
      </c>
      <c r="G2038" s="18">
        <v>13.9018</v>
      </c>
      <c r="H2038" s="18">
        <v>14.28905</v>
      </c>
      <c r="I2038" s="8">
        <v>-3.1069364161849689E-2</v>
      </c>
      <c r="J2038" s="8">
        <v>-9.0230664857530507E-2</v>
      </c>
      <c r="K2038" s="8">
        <v>1.5909090909090869E-2</v>
      </c>
      <c r="L2038" s="8">
        <v>-0.108377659574468</v>
      </c>
      <c r="M2038" s="18">
        <v>-0.21376859768475731</v>
      </c>
    </row>
    <row r="2039" spans="1:13" x14ac:dyDescent="0.45">
      <c r="A2039" t="s">
        <v>1566</v>
      </c>
      <c r="B2039" s="18">
        <v>29.24</v>
      </c>
      <c r="C2039" s="18">
        <v>28.74</v>
      </c>
      <c r="D2039" s="18">
        <v>28.602499999999999</v>
      </c>
      <c r="E2039" s="18">
        <v>28.8</v>
      </c>
      <c r="F2039" s="18">
        <v>28.136199999999999</v>
      </c>
      <c r="G2039" s="18">
        <v>28.841546000000001</v>
      </c>
      <c r="H2039" s="18">
        <v>28.843071500000001</v>
      </c>
      <c r="I2039" s="8">
        <v>1.7397355601948439E-2</v>
      </c>
      <c r="J2039" s="8">
        <v>2.22882615156017E-2</v>
      </c>
      <c r="K2039" s="8">
        <v>1.527777777777772E-2</v>
      </c>
      <c r="L2039" s="8">
        <v>3.9230599725620367E-2</v>
      </c>
      <c r="M2039" s="18">
        <v>9.419399462094824E-2</v>
      </c>
    </row>
    <row r="2040" spans="1:13" x14ac:dyDescent="0.45">
      <c r="A2040" t="s">
        <v>1671</v>
      </c>
      <c r="B2040" s="18">
        <v>2.67</v>
      </c>
      <c r="C2040" s="18">
        <v>2.7149999999999999</v>
      </c>
      <c r="D2040" s="18">
        <v>2.6850000000000001</v>
      </c>
      <c r="E2040" s="18">
        <v>2.63</v>
      </c>
      <c r="F2040" s="18">
        <v>2.77</v>
      </c>
      <c r="G2040" s="18">
        <v>2.68452</v>
      </c>
      <c r="H2040" s="18">
        <v>2.6778580000000001</v>
      </c>
      <c r="I2040" s="8">
        <v>-1.657458563535907E-2</v>
      </c>
      <c r="J2040" s="8">
        <v>-5.5865921787709993E-3</v>
      </c>
      <c r="K2040" s="8">
        <v>1.5209125475285081E-2</v>
      </c>
      <c r="L2040" s="8">
        <v>-3.6101083032491037E-2</v>
      </c>
      <c r="M2040" s="18">
        <v>-4.3053135371336038E-2</v>
      </c>
    </row>
    <row r="2041" spans="1:13" x14ac:dyDescent="0.45">
      <c r="A2041" t="s">
        <v>1814</v>
      </c>
      <c r="B2041" s="18">
        <v>11.41</v>
      </c>
      <c r="C2041" s="18">
        <v>11.52</v>
      </c>
      <c r="D2041" s="18">
        <v>11.34</v>
      </c>
      <c r="E2041" s="18">
        <v>11.24</v>
      </c>
      <c r="F2041" s="18">
        <v>13.06</v>
      </c>
      <c r="G2041" s="18">
        <v>11.31101</v>
      </c>
      <c r="H2041" s="18">
        <v>11.6696265</v>
      </c>
      <c r="I2041" s="8">
        <v>-9.5486111111110494E-3</v>
      </c>
      <c r="J2041" s="8">
        <v>6.1728395061728669E-3</v>
      </c>
      <c r="K2041" s="8">
        <v>1.5124555160142441E-2</v>
      </c>
      <c r="L2041" s="8">
        <v>-0.12633996937212871</v>
      </c>
      <c r="M2041" s="18">
        <v>-0.1145911858169244</v>
      </c>
    </row>
    <row r="2042" spans="1:13" x14ac:dyDescent="0.45">
      <c r="A2042" t="s">
        <v>1246</v>
      </c>
      <c r="B2042" s="18">
        <v>12.21</v>
      </c>
      <c r="C2042" s="18">
        <v>12.33</v>
      </c>
      <c r="D2042" s="18">
        <v>12.19</v>
      </c>
      <c r="E2042" s="18">
        <v>12.03</v>
      </c>
      <c r="F2042" s="18">
        <v>12.375</v>
      </c>
      <c r="G2042" s="18">
        <v>12.238005660000001</v>
      </c>
      <c r="H2042" s="18">
        <v>12.096250915000001</v>
      </c>
      <c r="I2042" s="8">
        <v>-9.7323600973235891E-3</v>
      </c>
      <c r="J2042" s="8">
        <v>1.6406890894176129E-3</v>
      </c>
      <c r="K2042" s="8">
        <v>1.4962593516209649E-2</v>
      </c>
      <c r="L2042" s="8">
        <v>-1.333333333333331E-2</v>
      </c>
      <c r="M2042" s="18">
        <v>-6.4624108250296297E-3</v>
      </c>
    </row>
    <row r="2043" spans="1:13" x14ac:dyDescent="0.45">
      <c r="A2043" t="s">
        <v>141</v>
      </c>
      <c r="B2043" s="18">
        <v>161.96</v>
      </c>
      <c r="C2043" s="18">
        <v>166.88</v>
      </c>
      <c r="D2043" s="18">
        <v>184.63</v>
      </c>
      <c r="E2043" s="18">
        <v>159.58000000000001</v>
      </c>
      <c r="F2043" s="18">
        <v>214.59</v>
      </c>
      <c r="G2043" s="18">
        <v>168.06639999999999</v>
      </c>
      <c r="H2043" s="18">
        <v>177.04835</v>
      </c>
      <c r="I2043" s="8">
        <v>-2.94822627037391E-2</v>
      </c>
      <c r="J2043" s="8">
        <v>-0.12278611276607269</v>
      </c>
      <c r="K2043" s="8">
        <v>1.4914149642812459E-2</v>
      </c>
      <c r="L2043" s="8">
        <v>-0.24525839973903721</v>
      </c>
      <c r="M2043" s="18">
        <v>-0.38261262556603648</v>
      </c>
    </row>
    <row r="2044" spans="1:13" x14ac:dyDescent="0.45">
      <c r="A2044" t="s">
        <v>146</v>
      </c>
      <c r="B2044" s="18">
        <v>499.84</v>
      </c>
      <c r="C2044" s="18">
        <v>492.72</v>
      </c>
      <c r="D2044" s="18">
        <v>478.27</v>
      </c>
      <c r="E2044" s="18">
        <v>492.64</v>
      </c>
      <c r="F2044" s="18">
        <v>461.97</v>
      </c>
      <c r="G2044" s="18">
        <v>488.54719999999998</v>
      </c>
      <c r="H2044" s="18">
        <v>491.43740000000003</v>
      </c>
      <c r="I2044" s="8">
        <v>1.445039779184931E-2</v>
      </c>
      <c r="J2044" s="8">
        <v>4.5100048089991018E-2</v>
      </c>
      <c r="K2044" s="8">
        <v>1.4615134784020659E-2</v>
      </c>
      <c r="L2044" s="8">
        <v>8.1975020022944989E-2</v>
      </c>
      <c r="M2044" s="18">
        <v>0.156140600688806</v>
      </c>
    </row>
    <row r="2045" spans="1:13" x14ac:dyDescent="0.45">
      <c r="A2045" t="s">
        <v>323</v>
      </c>
      <c r="B2045" s="18">
        <v>82.87</v>
      </c>
      <c r="C2045" s="18">
        <v>79.48</v>
      </c>
      <c r="D2045" s="18">
        <v>79.67</v>
      </c>
      <c r="E2045" s="18">
        <v>81.69</v>
      </c>
      <c r="F2045" s="18">
        <v>80.61</v>
      </c>
      <c r="G2045" s="18">
        <v>79.841999999999999</v>
      </c>
      <c r="H2045" s="18">
        <v>81.131699999999995</v>
      </c>
      <c r="I2045" s="8">
        <v>4.2652239557121392E-2</v>
      </c>
      <c r="J2045" s="8">
        <v>4.0165683444207463E-2</v>
      </c>
      <c r="K2045" s="8">
        <v>1.444485249112515E-2</v>
      </c>
      <c r="L2045" s="8">
        <v>2.803622379357407E-2</v>
      </c>
      <c r="M2045" s="18">
        <v>0.12529899928602811</v>
      </c>
    </row>
    <row r="2046" spans="1:13" x14ac:dyDescent="0.45">
      <c r="A2046" t="s">
        <v>1428</v>
      </c>
      <c r="B2046" s="18">
        <v>25.08</v>
      </c>
      <c r="C2046" s="18">
        <v>24.87</v>
      </c>
      <c r="D2046" s="18">
        <v>24.650099999999998</v>
      </c>
      <c r="E2046" s="18">
        <v>24.725000000000001</v>
      </c>
      <c r="F2046" s="18">
        <v>23.78</v>
      </c>
      <c r="G2046" s="18">
        <v>24.918392000000001</v>
      </c>
      <c r="H2046" s="18">
        <v>24.468045</v>
      </c>
      <c r="I2046" s="8">
        <v>8.443908323281013E-3</v>
      </c>
      <c r="J2046" s="8">
        <v>1.7440091520926959E-2</v>
      </c>
      <c r="K2046" s="8">
        <v>1.435793731041435E-2</v>
      </c>
      <c r="L2046" s="8">
        <v>5.4667788057190858E-2</v>
      </c>
      <c r="M2046" s="18">
        <v>9.4909725211813178E-2</v>
      </c>
    </row>
    <row r="2047" spans="1:13" x14ac:dyDescent="0.45">
      <c r="A2047" t="s">
        <v>2267</v>
      </c>
      <c r="B2047" s="18">
        <v>8.51</v>
      </c>
      <c r="C2047" s="18">
        <v>7.55</v>
      </c>
      <c r="D2047" s="18">
        <v>8.61</v>
      </c>
      <c r="E2047" s="18">
        <v>8.39</v>
      </c>
      <c r="F2047" s="18">
        <v>8.43</v>
      </c>
      <c r="G2047" s="18">
        <v>7.7901999999999996</v>
      </c>
      <c r="H2047" s="18">
        <v>8.8024500000000003</v>
      </c>
      <c r="I2047" s="8">
        <v>0.1271523178807947</v>
      </c>
      <c r="J2047" s="8">
        <v>-1.16144018583042E-2</v>
      </c>
      <c r="K2047" s="8">
        <v>1.430274135876042E-2</v>
      </c>
      <c r="L2047" s="8">
        <v>9.4899169632265412E-3</v>
      </c>
      <c r="M2047" s="18">
        <v>0.13933057434447749</v>
      </c>
    </row>
    <row r="2048" spans="1:13" x14ac:dyDescent="0.45">
      <c r="A2048" t="s">
        <v>128</v>
      </c>
      <c r="B2048" s="18">
        <v>365.38</v>
      </c>
      <c r="C2048" s="18">
        <v>366.38</v>
      </c>
      <c r="D2048" s="18">
        <v>359</v>
      </c>
      <c r="E2048" s="18">
        <v>360.23</v>
      </c>
      <c r="F2048" s="18">
        <v>348.07</v>
      </c>
      <c r="G2048" s="18">
        <v>363.99039999999991</v>
      </c>
      <c r="H2048" s="18">
        <v>368.37405000000001</v>
      </c>
      <c r="I2048" s="8">
        <v>-2.729406626999276E-3</v>
      </c>
      <c r="J2048" s="8">
        <v>1.777158774373255E-2</v>
      </c>
      <c r="K2048" s="8">
        <v>1.4296421730561001E-2</v>
      </c>
      <c r="L2048" s="8">
        <v>4.9731375872669403E-2</v>
      </c>
      <c r="M2048" s="18">
        <v>7.9069978719963685E-2</v>
      </c>
    </row>
    <row r="2049" spans="1:13" x14ac:dyDescent="0.45">
      <c r="A2049" t="s">
        <v>2123</v>
      </c>
      <c r="B2049" s="18">
        <v>24.85</v>
      </c>
      <c r="C2049" s="18">
        <v>24.8</v>
      </c>
      <c r="D2049" s="18">
        <v>24.6</v>
      </c>
      <c r="E2049" s="18">
        <v>24.5</v>
      </c>
      <c r="F2049" s="18">
        <v>24.75</v>
      </c>
      <c r="G2049" s="18">
        <v>24.870308000000001</v>
      </c>
      <c r="H2049" s="18">
        <v>24.654291000000001</v>
      </c>
      <c r="I2049" s="8">
        <v>2.0161290322580072E-3</v>
      </c>
      <c r="J2049" s="8">
        <v>1.016260162601634E-2</v>
      </c>
      <c r="K2049" s="8">
        <v>1.428571428571423E-2</v>
      </c>
      <c r="L2049" s="8">
        <v>4.0404040404040664E-3</v>
      </c>
      <c r="M2049" s="18">
        <v>3.0504848984392648E-2</v>
      </c>
    </row>
    <row r="2050" spans="1:13" x14ac:dyDescent="0.45">
      <c r="A2050" t="s">
        <v>2109</v>
      </c>
      <c r="B2050" s="18">
        <v>24.92</v>
      </c>
      <c r="C2050" s="18">
        <v>24.94</v>
      </c>
      <c r="D2050" s="18">
        <v>24.886500000000002</v>
      </c>
      <c r="E2050" s="18">
        <v>24.6</v>
      </c>
      <c r="F2050" s="18">
        <v>25.17</v>
      </c>
      <c r="G2050" s="18">
        <v>24.904114</v>
      </c>
      <c r="H2050" s="18">
        <v>24.784078000000001</v>
      </c>
      <c r="I2050" s="8">
        <v>-8.0192461908579205E-4</v>
      </c>
      <c r="J2050" s="8">
        <v>1.34611134550866E-3</v>
      </c>
      <c r="K2050" s="8">
        <v>1.3008130081300751E-2</v>
      </c>
      <c r="L2050" s="8">
        <v>-9.9324592769169939E-3</v>
      </c>
      <c r="M2050" s="18">
        <v>3.619857530806625E-3</v>
      </c>
    </row>
    <row r="2051" spans="1:13" x14ac:dyDescent="0.45">
      <c r="A2051" t="s">
        <v>2383</v>
      </c>
      <c r="B2051" s="18">
        <v>58.64</v>
      </c>
      <c r="C2051" s="18">
        <v>63.08</v>
      </c>
      <c r="D2051" s="18">
        <v>61.47</v>
      </c>
      <c r="E2051" s="18">
        <v>57.9</v>
      </c>
      <c r="F2051" s="18">
        <v>62.84</v>
      </c>
      <c r="G2051" s="18">
        <v>61.345200000000013</v>
      </c>
      <c r="H2051" s="18">
        <v>60.219800000000014</v>
      </c>
      <c r="I2051" s="8">
        <v>-7.0386810399492683E-2</v>
      </c>
      <c r="J2051" s="8">
        <v>-4.6038718073857177E-2</v>
      </c>
      <c r="K2051" s="8">
        <v>1.278065630397229E-2</v>
      </c>
      <c r="L2051" s="8">
        <v>-6.6836409929980967E-2</v>
      </c>
      <c r="M2051" s="18">
        <v>-0.17048128209935851</v>
      </c>
    </row>
    <row r="2052" spans="1:13" x14ac:dyDescent="0.45">
      <c r="A2052" t="s">
        <v>83</v>
      </c>
      <c r="B2052" s="18">
        <v>563.86</v>
      </c>
      <c r="C2052" s="18">
        <v>556.53</v>
      </c>
      <c r="D2052" s="18">
        <v>559.76</v>
      </c>
      <c r="E2052" s="18">
        <v>556.80999999999995</v>
      </c>
      <c r="F2052" s="18">
        <v>1012.82</v>
      </c>
      <c r="G2052" s="18">
        <v>572.81989999999996</v>
      </c>
      <c r="H2052" s="18">
        <v>606.38325000000009</v>
      </c>
      <c r="I2052" s="8">
        <v>1.3170898244479369E-2</v>
      </c>
      <c r="J2052" s="8">
        <v>7.3245676718594046E-3</v>
      </c>
      <c r="K2052" s="8">
        <v>1.266141053501202E-2</v>
      </c>
      <c r="L2052" s="8">
        <v>-0.44327718646946163</v>
      </c>
      <c r="M2052" s="18">
        <v>-0.41012031001811078</v>
      </c>
    </row>
    <row r="2053" spans="1:13" x14ac:dyDescent="0.45">
      <c r="A2053" t="s">
        <v>1937</v>
      </c>
      <c r="B2053" s="18">
        <v>258.95</v>
      </c>
      <c r="C2053" s="18">
        <v>287.08999999999997</v>
      </c>
      <c r="D2053" s="18">
        <v>243.87</v>
      </c>
      <c r="E2053" s="18">
        <v>255.82</v>
      </c>
      <c r="F2053" s="18">
        <v>194.73</v>
      </c>
      <c r="G2053" s="18">
        <v>258.1266</v>
      </c>
      <c r="H2053" s="18">
        <v>263.47205000000002</v>
      </c>
      <c r="I2053" s="8">
        <v>-9.8018043122365728E-2</v>
      </c>
      <c r="J2053" s="8">
        <v>6.1836224217820979E-2</v>
      </c>
      <c r="K2053" s="8">
        <v>1.223516535063718E-2</v>
      </c>
      <c r="L2053" s="8">
        <v>0.3297899655933858</v>
      </c>
      <c r="M2053" s="18">
        <v>0.30584331203947818</v>
      </c>
    </row>
    <row r="2054" spans="1:13" x14ac:dyDescent="0.45">
      <c r="A2054" t="s">
        <v>1327</v>
      </c>
      <c r="B2054" s="18">
        <v>45.45</v>
      </c>
      <c r="C2054" s="18">
        <v>52.42</v>
      </c>
      <c r="D2054" s="18">
        <v>52.51</v>
      </c>
      <c r="E2054" s="18">
        <v>44.91</v>
      </c>
      <c r="F2054" s="18">
        <v>47.53</v>
      </c>
      <c r="G2054" s="18">
        <v>50.464599999999997</v>
      </c>
      <c r="H2054" s="18">
        <v>51.866449999999993</v>
      </c>
      <c r="I2054" s="8">
        <v>-0.13296451735978629</v>
      </c>
      <c r="J2054" s="8">
        <v>-0.1344505808417443</v>
      </c>
      <c r="K2054" s="8">
        <v>1.2024048096192621E-2</v>
      </c>
      <c r="L2054" s="8">
        <v>-4.3761834630759437E-2</v>
      </c>
      <c r="M2054" s="18">
        <v>-0.29915288473609752</v>
      </c>
    </row>
    <row r="2055" spans="1:13" x14ac:dyDescent="0.45">
      <c r="A2055" t="s">
        <v>2049</v>
      </c>
      <c r="B2055" s="18">
        <v>45.84</v>
      </c>
      <c r="C2055" s="18">
        <v>47.19</v>
      </c>
      <c r="D2055" s="18">
        <v>54.19</v>
      </c>
      <c r="E2055" s="18">
        <v>45.31</v>
      </c>
      <c r="F2055" s="18">
        <v>46.29</v>
      </c>
      <c r="G2055" s="18">
        <v>47.5974</v>
      </c>
      <c r="H2055" s="18">
        <v>50.117449999999998</v>
      </c>
      <c r="I2055" s="8">
        <v>-2.8607755880483029E-2</v>
      </c>
      <c r="J2055" s="8">
        <v>-0.15408747001291739</v>
      </c>
      <c r="K2055" s="8">
        <v>1.169719708673589E-2</v>
      </c>
      <c r="L2055" s="8">
        <v>-9.7213220998054739E-3</v>
      </c>
      <c r="M2055" s="18">
        <v>-0.18071935090647009</v>
      </c>
    </row>
    <row r="2056" spans="1:13" x14ac:dyDescent="0.45">
      <c r="A2056" t="s">
        <v>819</v>
      </c>
      <c r="B2056" s="18">
        <v>13.86</v>
      </c>
      <c r="C2056" s="18">
        <v>14.24</v>
      </c>
      <c r="D2056" s="18">
        <v>14.27</v>
      </c>
      <c r="E2056" s="18">
        <v>13.7</v>
      </c>
      <c r="F2056" s="18">
        <v>14.17</v>
      </c>
      <c r="G2056" s="18">
        <v>14.138002</v>
      </c>
      <c r="H2056" s="18">
        <v>14.188661</v>
      </c>
      <c r="I2056" s="8">
        <v>-2.6685393258427E-2</v>
      </c>
      <c r="J2056" s="8">
        <v>-2.8731604765241728E-2</v>
      </c>
      <c r="K2056" s="8">
        <v>1.167883211678844E-2</v>
      </c>
      <c r="L2056" s="8">
        <v>-2.1877205363443949E-2</v>
      </c>
      <c r="M2056" s="18">
        <v>-6.5615371270324241E-2</v>
      </c>
    </row>
    <row r="2057" spans="1:13" x14ac:dyDescent="0.45">
      <c r="A2057" t="s">
        <v>1197</v>
      </c>
      <c r="B2057" s="18">
        <v>32.25</v>
      </c>
      <c r="C2057" s="18">
        <v>34.130000000000003</v>
      </c>
      <c r="D2057" s="18">
        <v>35.22</v>
      </c>
      <c r="E2057" s="18">
        <v>31.89</v>
      </c>
      <c r="F2057" s="18">
        <v>34.22</v>
      </c>
      <c r="G2057" s="18">
        <v>34.699199999999998</v>
      </c>
      <c r="H2057" s="18">
        <v>34.855449999999998</v>
      </c>
      <c r="I2057" s="8">
        <v>-5.5083504248461868E-2</v>
      </c>
      <c r="J2057" s="8">
        <v>-8.4327086882453162E-2</v>
      </c>
      <c r="K2057" s="8">
        <v>1.128880526810905E-2</v>
      </c>
      <c r="L2057" s="8">
        <v>-5.7568673290473327E-2</v>
      </c>
      <c r="M2057" s="18">
        <v>-0.18569045915327931</v>
      </c>
    </row>
    <row r="2058" spans="1:13" x14ac:dyDescent="0.45">
      <c r="A2058" t="s">
        <v>1132</v>
      </c>
      <c r="B2058" s="18">
        <v>25.17</v>
      </c>
      <c r="C2058" s="18">
        <v>25.25</v>
      </c>
      <c r="D2058" s="18">
        <v>25.22</v>
      </c>
      <c r="E2058" s="18">
        <v>24.89</v>
      </c>
      <c r="F2058" s="18">
        <v>25.1401</v>
      </c>
      <c r="G2058" s="18">
        <v>25.118568</v>
      </c>
      <c r="H2058" s="18">
        <v>25.062546000000001</v>
      </c>
      <c r="I2058" s="8">
        <v>-3.1683168316830601E-3</v>
      </c>
      <c r="J2058" s="8">
        <v>-1.982553528945163E-3</v>
      </c>
      <c r="K2058" s="8">
        <v>1.124949779027729E-2</v>
      </c>
      <c r="L2058" s="8">
        <v>1.189334966845923E-3</v>
      </c>
      <c r="M2058" s="18">
        <v>7.2879623964949847E-3</v>
      </c>
    </row>
    <row r="2059" spans="1:13" x14ac:dyDescent="0.45">
      <c r="A2059" t="s">
        <v>944</v>
      </c>
      <c r="B2059" s="18">
        <v>25.73</v>
      </c>
      <c r="C2059" s="18">
        <v>27.01</v>
      </c>
      <c r="D2059" s="18">
        <v>29.85</v>
      </c>
      <c r="E2059" s="18">
        <v>25.45</v>
      </c>
      <c r="F2059" s="18">
        <v>26.76</v>
      </c>
      <c r="G2059" s="18">
        <v>26.7394</v>
      </c>
      <c r="H2059" s="18">
        <v>28.61375</v>
      </c>
      <c r="I2059" s="8">
        <v>-4.7389855609033749E-2</v>
      </c>
      <c r="J2059" s="8">
        <v>-0.13802345058626461</v>
      </c>
      <c r="K2059" s="8">
        <v>1.100196463654224E-2</v>
      </c>
      <c r="L2059" s="8">
        <v>-3.8490284005979092E-2</v>
      </c>
      <c r="M2059" s="18">
        <v>-0.21290162556473519</v>
      </c>
    </row>
    <row r="2060" spans="1:13" x14ac:dyDescent="0.45">
      <c r="A2060" t="s">
        <v>2039</v>
      </c>
      <c r="B2060" s="18">
        <v>24.87</v>
      </c>
      <c r="C2060" s="18">
        <v>24.5</v>
      </c>
      <c r="D2060" s="18">
        <v>24.49</v>
      </c>
      <c r="E2060" s="18">
        <v>24.6</v>
      </c>
      <c r="F2060" s="18">
        <v>24.52</v>
      </c>
      <c r="G2060" s="18">
        <v>24.504512000000009</v>
      </c>
      <c r="H2060" s="18">
        <v>24.283664000000002</v>
      </c>
      <c r="I2060" s="8">
        <v>1.510204081632649E-2</v>
      </c>
      <c r="J2060" s="8">
        <v>1.551653736218883E-2</v>
      </c>
      <c r="K2060" s="8">
        <v>1.0975609756097571E-2</v>
      </c>
      <c r="L2060" s="8">
        <v>1.4274061990212189E-2</v>
      </c>
      <c r="M2060" s="18">
        <v>5.5868249924825093E-2</v>
      </c>
    </row>
    <row r="2061" spans="1:13" x14ac:dyDescent="0.45">
      <c r="A2061" t="s">
        <v>255</v>
      </c>
      <c r="B2061" s="18">
        <v>1695.01</v>
      </c>
      <c r="C2061" s="18">
        <v>1546.56</v>
      </c>
      <c r="D2061" s="18">
        <v>1584.38</v>
      </c>
      <c r="E2061" s="18">
        <v>1677.11</v>
      </c>
      <c r="F2061" s="18">
        <v>1913.38</v>
      </c>
      <c r="G2061" s="18">
        <v>1492.8706</v>
      </c>
      <c r="H2061" s="18">
        <v>1753.8806500000001</v>
      </c>
      <c r="I2061" s="8">
        <v>9.5987223256776444E-2</v>
      </c>
      <c r="J2061" s="8">
        <v>6.9825420669283877E-2</v>
      </c>
      <c r="K2061" s="8">
        <v>1.067312221619332E-2</v>
      </c>
      <c r="L2061" s="8">
        <v>-0.1141278784141154</v>
      </c>
      <c r="M2061" s="18">
        <v>6.2357887728138217E-2</v>
      </c>
    </row>
    <row r="2062" spans="1:13" x14ac:dyDescent="0.45">
      <c r="A2062" t="s">
        <v>1230</v>
      </c>
      <c r="B2062" s="18">
        <v>13.19</v>
      </c>
      <c r="C2062" s="18">
        <v>13.34</v>
      </c>
      <c r="D2062" s="18">
        <v>12.85</v>
      </c>
      <c r="E2062" s="18">
        <v>13.055</v>
      </c>
      <c r="F2062" s="18">
        <v>13.2</v>
      </c>
      <c r="G2062" s="18">
        <v>13.183612</v>
      </c>
      <c r="H2062" s="18">
        <v>13.1427475</v>
      </c>
      <c r="I2062" s="8">
        <v>-1.124437781109444E-2</v>
      </c>
      <c r="J2062" s="8">
        <v>2.6459143968871501E-2</v>
      </c>
      <c r="K2062" s="8">
        <v>1.034086556874758E-2</v>
      </c>
      <c r="L2062" s="8">
        <v>-7.575757575757347E-4</v>
      </c>
      <c r="M2062" s="18">
        <v>2.479805596894891E-2</v>
      </c>
    </row>
    <row r="2063" spans="1:13" x14ac:dyDescent="0.45">
      <c r="A2063" t="s">
        <v>2298</v>
      </c>
      <c r="B2063" s="18">
        <v>128.43</v>
      </c>
      <c r="C2063" s="18">
        <v>130.22999999999999</v>
      </c>
      <c r="D2063" s="18">
        <v>119.94</v>
      </c>
      <c r="E2063" s="18">
        <v>127.14</v>
      </c>
      <c r="F2063" s="18">
        <v>239.18</v>
      </c>
      <c r="G2063" s="18">
        <v>123.8274</v>
      </c>
      <c r="H2063" s="18">
        <v>137.42585</v>
      </c>
      <c r="I2063" s="8">
        <v>-1.3821700069108321E-2</v>
      </c>
      <c r="J2063" s="8">
        <v>7.0785392696348204E-2</v>
      </c>
      <c r="K2063" s="8">
        <v>1.0146295422369001E-2</v>
      </c>
      <c r="L2063" s="8">
        <v>-0.46304038799230712</v>
      </c>
      <c r="M2063" s="18">
        <v>-0.39593039994269819</v>
      </c>
    </row>
    <row r="2064" spans="1:13" x14ac:dyDescent="0.45">
      <c r="A2064" t="s">
        <v>2474</v>
      </c>
      <c r="B2064" s="18">
        <v>79.239999999999995</v>
      </c>
      <c r="C2064" s="18">
        <v>87.32</v>
      </c>
      <c r="D2064" s="18">
        <v>89.34</v>
      </c>
      <c r="E2064" s="18">
        <v>78.47</v>
      </c>
      <c r="F2064" s="18">
        <v>78.849999999999994</v>
      </c>
      <c r="G2064" s="18">
        <v>84.928200000000004</v>
      </c>
      <c r="H2064" s="18">
        <v>90.383949999999999</v>
      </c>
      <c r="I2064" s="8">
        <v>-9.2533211177278973E-2</v>
      </c>
      <c r="J2064" s="8">
        <v>-0.11305126483098279</v>
      </c>
      <c r="K2064" s="8">
        <v>9.8126672613736421E-3</v>
      </c>
      <c r="L2064" s="8">
        <v>4.9461001902346702E-3</v>
      </c>
      <c r="M2064" s="18">
        <v>-0.19082570855665351</v>
      </c>
    </row>
    <row r="2065" spans="1:13" x14ac:dyDescent="0.45">
      <c r="A2065" t="s">
        <v>549</v>
      </c>
      <c r="B2065" s="18">
        <v>20.56</v>
      </c>
      <c r="C2065" s="18">
        <v>20.66</v>
      </c>
      <c r="D2065" s="18">
        <v>20.04</v>
      </c>
      <c r="E2065" s="18">
        <v>20.37</v>
      </c>
      <c r="F2065" s="18">
        <v>22.53</v>
      </c>
      <c r="G2065" s="18">
        <v>20.579339999999998</v>
      </c>
      <c r="H2065" s="18">
        <v>20.28304838</v>
      </c>
      <c r="I2065" s="8">
        <v>-4.8402710551791461E-3</v>
      </c>
      <c r="J2065" s="8">
        <v>2.5948103792415189E-2</v>
      </c>
      <c r="K2065" s="8">
        <v>9.3274423171330056E-3</v>
      </c>
      <c r="L2065" s="8">
        <v>-8.7438970261873195E-2</v>
      </c>
      <c r="M2065" s="18">
        <v>-5.7003695207504153E-2</v>
      </c>
    </row>
    <row r="2066" spans="1:13" x14ac:dyDescent="0.45">
      <c r="A2066" t="s">
        <v>527</v>
      </c>
      <c r="B2066" s="18">
        <v>2.17</v>
      </c>
      <c r="C2066" s="18">
        <v>2.2200000000000002</v>
      </c>
      <c r="D2066" s="18">
        <v>2.34</v>
      </c>
      <c r="E2066" s="18">
        <v>2.15</v>
      </c>
      <c r="F2066" s="18">
        <v>2.4700000000000002</v>
      </c>
      <c r="G2066" s="18">
        <v>2.2349999999999999</v>
      </c>
      <c r="H2066" s="18">
        <v>2.2287499999999998</v>
      </c>
      <c r="I2066" s="8">
        <v>-2.2522522522522629E-2</v>
      </c>
      <c r="J2066" s="8">
        <v>-7.2649572649572614E-2</v>
      </c>
      <c r="K2066" s="8">
        <v>9.302325581395321E-3</v>
      </c>
      <c r="L2066" s="8">
        <v>-0.1214574898785427</v>
      </c>
      <c r="M2066" s="18">
        <v>-0.2073272594692426</v>
      </c>
    </row>
    <row r="2067" spans="1:13" x14ac:dyDescent="0.45">
      <c r="A2067" t="s">
        <v>1249</v>
      </c>
      <c r="B2067" s="18">
        <v>70.5</v>
      </c>
      <c r="C2067" s="18">
        <v>86.81</v>
      </c>
      <c r="D2067" s="18">
        <v>85.27</v>
      </c>
      <c r="E2067" s="18">
        <v>69.89</v>
      </c>
      <c r="F2067" s="18">
        <v>111.96</v>
      </c>
      <c r="G2067" s="18">
        <v>81.259200000000007</v>
      </c>
      <c r="H2067" s="18">
        <v>83.771199999999993</v>
      </c>
      <c r="I2067" s="8">
        <v>-0.18788158046308029</v>
      </c>
      <c r="J2067" s="8">
        <v>-0.17321449513310661</v>
      </c>
      <c r="K2067" s="8">
        <v>8.7280011446557726E-3</v>
      </c>
      <c r="L2067" s="8">
        <v>-0.37031082529474812</v>
      </c>
      <c r="M2067" s="18">
        <v>-0.7226788997462793</v>
      </c>
    </row>
    <row r="2068" spans="1:13" x14ac:dyDescent="0.45">
      <c r="A2068" t="s">
        <v>241</v>
      </c>
      <c r="B2068" s="18">
        <v>62.33</v>
      </c>
      <c r="C2068" s="18">
        <v>66.62</v>
      </c>
      <c r="D2068" s="18">
        <v>67.08</v>
      </c>
      <c r="E2068" s="18">
        <v>61.82</v>
      </c>
      <c r="F2068" s="18">
        <v>73.53</v>
      </c>
      <c r="G2068" s="18">
        <v>64.419399999999996</v>
      </c>
      <c r="H2068" s="18">
        <v>68.161749999999998</v>
      </c>
      <c r="I2068" s="8">
        <v>-6.439507655358756E-2</v>
      </c>
      <c r="J2068" s="8">
        <v>-7.0810971973762626E-2</v>
      </c>
      <c r="K2068" s="8">
        <v>8.2497573600777141E-3</v>
      </c>
      <c r="L2068" s="8">
        <v>-0.15231878144974839</v>
      </c>
      <c r="M2068" s="18">
        <v>-0.27927507261702089</v>
      </c>
    </row>
    <row r="2069" spans="1:13" x14ac:dyDescent="0.45">
      <c r="A2069" t="s">
        <v>1817</v>
      </c>
      <c r="B2069" s="18">
        <v>1.26</v>
      </c>
      <c r="C2069" s="18">
        <v>1.32</v>
      </c>
      <c r="D2069" s="18">
        <v>1.62</v>
      </c>
      <c r="E2069" s="18">
        <v>1.25</v>
      </c>
      <c r="F2069" s="18">
        <v>1.06</v>
      </c>
      <c r="G2069" s="18">
        <v>1.3288</v>
      </c>
      <c r="H2069" s="18">
        <v>1.56125</v>
      </c>
      <c r="I2069" s="8">
        <v>-4.5454545454545532E-2</v>
      </c>
      <c r="J2069" s="8">
        <v>-0.22222222222222229</v>
      </c>
      <c r="K2069" s="8">
        <v>8.0000000000000071E-3</v>
      </c>
      <c r="L2069" s="8">
        <v>0.1886792452830188</v>
      </c>
      <c r="M2069" s="18">
        <v>-7.0997522393749013E-2</v>
      </c>
    </row>
    <row r="2070" spans="1:13" x14ac:dyDescent="0.45">
      <c r="A2070" t="s">
        <v>207</v>
      </c>
      <c r="B2070" s="18">
        <v>187.92</v>
      </c>
      <c r="C2070" s="18">
        <v>211.85</v>
      </c>
      <c r="D2070" s="18">
        <v>212.88</v>
      </c>
      <c r="E2070" s="18">
        <v>186.58</v>
      </c>
      <c r="F2070" s="18">
        <v>164.84</v>
      </c>
      <c r="G2070" s="18">
        <v>201.98140000000001</v>
      </c>
      <c r="H2070" s="18">
        <v>201.24680000000001</v>
      </c>
      <c r="I2070" s="8">
        <v>-0.11295728109511451</v>
      </c>
      <c r="J2070" s="8">
        <v>-0.1172491544532132</v>
      </c>
      <c r="K2070" s="8">
        <v>7.181905884874995E-3</v>
      </c>
      <c r="L2070" s="8">
        <v>0.14001455957291919</v>
      </c>
      <c r="M2070" s="18">
        <v>-8.3009970090533458E-2</v>
      </c>
    </row>
    <row r="2071" spans="1:13" x14ac:dyDescent="0.45">
      <c r="A2071" t="s">
        <v>2040</v>
      </c>
      <c r="B2071" s="18">
        <v>24.872800000000002</v>
      </c>
      <c r="C2071" s="18">
        <v>24.68</v>
      </c>
      <c r="D2071" s="18">
        <v>24.54</v>
      </c>
      <c r="E2071" s="18">
        <v>24.704999999999998</v>
      </c>
      <c r="F2071" s="18">
        <v>24.35</v>
      </c>
      <c r="G2071" s="18">
        <v>24.732244000000001</v>
      </c>
      <c r="H2071" s="18">
        <v>24.588266999999991</v>
      </c>
      <c r="I2071" s="8">
        <v>7.811993517018001E-3</v>
      </c>
      <c r="J2071" s="8">
        <v>1.3561532192339239E-2</v>
      </c>
      <c r="K2071" s="8">
        <v>6.7921473385954556E-3</v>
      </c>
      <c r="L2071" s="8">
        <v>2.1470225872689989E-2</v>
      </c>
      <c r="M2071" s="18">
        <v>4.9635898920642678E-2</v>
      </c>
    </row>
    <row r="2072" spans="1:13" x14ac:dyDescent="0.45">
      <c r="A2072" t="s">
        <v>27</v>
      </c>
      <c r="B2072" s="18">
        <v>914.8</v>
      </c>
      <c r="C2072" s="18">
        <v>979.25</v>
      </c>
      <c r="D2072" s="18">
        <v>970.17</v>
      </c>
      <c r="E2072" s="18">
        <v>908.75</v>
      </c>
      <c r="F2072" s="18">
        <v>883.11</v>
      </c>
      <c r="G2072" s="18">
        <v>952.11740000000009</v>
      </c>
      <c r="H2072" s="18">
        <v>972.54694999999992</v>
      </c>
      <c r="I2072" s="8">
        <v>-6.5815675261679862E-2</v>
      </c>
      <c r="J2072" s="8">
        <v>-5.7072471834833112E-2</v>
      </c>
      <c r="K2072" s="8">
        <v>6.6574965612105066E-3</v>
      </c>
      <c r="L2072" s="8">
        <v>3.5884544394243052E-2</v>
      </c>
      <c r="M2072" s="18">
        <v>-8.0346106141059415E-2</v>
      </c>
    </row>
    <row r="2073" spans="1:13" x14ac:dyDescent="0.45">
      <c r="A2073" t="s">
        <v>2453</v>
      </c>
      <c r="B2073" s="18">
        <v>3.39</v>
      </c>
      <c r="C2073" s="18">
        <v>3.6</v>
      </c>
      <c r="D2073" s="18">
        <v>3.83</v>
      </c>
      <c r="E2073" s="18">
        <v>3.37</v>
      </c>
      <c r="F2073" s="18">
        <v>3.87</v>
      </c>
      <c r="G2073" s="18">
        <v>3.5621999999999998</v>
      </c>
      <c r="H2073" s="18">
        <v>3.7568000000000001</v>
      </c>
      <c r="I2073" s="8">
        <v>-5.8333333333333348E-2</v>
      </c>
      <c r="J2073" s="8">
        <v>-0.1148825065274152</v>
      </c>
      <c r="K2073" s="8">
        <v>5.9347181008901906E-3</v>
      </c>
      <c r="L2073" s="8">
        <v>-0.124031007751938</v>
      </c>
      <c r="M2073" s="18">
        <v>-0.2913121295117963</v>
      </c>
    </row>
    <row r="2074" spans="1:13" x14ac:dyDescent="0.45">
      <c r="A2074" t="s">
        <v>1794</v>
      </c>
      <c r="B2074" s="18">
        <v>11.92</v>
      </c>
      <c r="C2074" s="18">
        <v>11.5601</v>
      </c>
      <c r="D2074" s="18">
        <v>11.3933</v>
      </c>
      <c r="E2074" s="18">
        <v>11.86</v>
      </c>
      <c r="F2074" s="18">
        <v>12.94</v>
      </c>
      <c r="G2074" s="18">
        <v>11.552016</v>
      </c>
      <c r="H2074" s="18">
        <v>11.801239499999999</v>
      </c>
      <c r="I2074" s="8">
        <v>3.1132948676914522E-2</v>
      </c>
      <c r="J2074" s="8">
        <v>4.6228924016746609E-2</v>
      </c>
      <c r="K2074" s="8">
        <v>5.0590219224284638E-3</v>
      </c>
      <c r="L2074" s="8">
        <v>-7.8825347758887165E-2</v>
      </c>
      <c r="M2074" s="18">
        <v>3.5955468572024252E-3</v>
      </c>
    </row>
    <row r="2075" spans="1:13" x14ac:dyDescent="0.45">
      <c r="A2075" t="s">
        <v>1656</v>
      </c>
      <c r="B2075" s="18">
        <v>3.09</v>
      </c>
      <c r="C2075" s="18">
        <v>3.09</v>
      </c>
      <c r="D2075" s="18">
        <v>3.09</v>
      </c>
      <c r="E2075" s="18">
        <v>3.0750000000000002</v>
      </c>
      <c r="F2075" s="18">
        <v>3.27</v>
      </c>
      <c r="G2075" s="18">
        <v>3.0927039999999999</v>
      </c>
      <c r="H2075" s="18">
        <v>3.0894895</v>
      </c>
      <c r="I2075" s="8">
        <v>0</v>
      </c>
      <c r="J2075" s="8">
        <v>0</v>
      </c>
      <c r="K2075" s="8">
        <v>4.8780487804878092E-3</v>
      </c>
      <c r="L2075" s="8">
        <v>-5.5045871559633031E-2</v>
      </c>
      <c r="M2075" s="18">
        <v>-5.0167822779145221E-2</v>
      </c>
    </row>
    <row r="2076" spans="1:13" x14ac:dyDescent="0.45">
      <c r="A2076" t="s">
        <v>1211</v>
      </c>
      <c r="B2076" s="18">
        <v>24.900500000000001</v>
      </c>
      <c r="C2076" s="18">
        <v>24.76</v>
      </c>
      <c r="D2076" s="18">
        <v>24.66</v>
      </c>
      <c r="E2076" s="18">
        <v>24.78</v>
      </c>
      <c r="F2076" s="18">
        <v>24.185700000000001</v>
      </c>
      <c r="G2076" s="18">
        <v>24.928533999999999</v>
      </c>
      <c r="H2076" s="18">
        <v>24.729514500000001</v>
      </c>
      <c r="I2076" s="8">
        <v>5.6744749596122626E-3</v>
      </c>
      <c r="J2076" s="8">
        <v>9.7526358475263919E-3</v>
      </c>
      <c r="K2076" s="8">
        <v>4.8627925746569378E-3</v>
      </c>
      <c r="L2076" s="8">
        <v>2.9554654196487951E-2</v>
      </c>
      <c r="M2076" s="18">
        <v>4.9844557578283537E-2</v>
      </c>
    </row>
    <row r="2077" spans="1:13" x14ac:dyDescent="0.45">
      <c r="A2077" t="s">
        <v>613</v>
      </c>
      <c r="B2077" s="18">
        <v>6.26</v>
      </c>
      <c r="C2077" s="18">
        <v>6.87</v>
      </c>
      <c r="D2077" s="18">
        <v>8.39</v>
      </c>
      <c r="E2077" s="18">
        <v>6.23</v>
      </c>
      <c r="F2077" s="18">
        <v>9.36</v>
      </c>
      <c r="G2077" s="18">
        <v>6.81</v>
      </c>
      <c r="H2077" s="18">
        <v>7.9166500000000006</v>
      </c>
      <c r="I2077" s="8">
        <v>-8.879184861717615E-2</v>
      </c>
      <c r="J2077" s="8">
        <v>-0.25387365911799759</v>
      </c>
      <c r="K2077" s="8">
        <v>4.8154093097911854E-3</v>
      </c>
      <c r="L2077" s="8">
        <v>-0.33119658119658107</v>
      </c>
      <c r="M2077" s="18">
        <v>-0.66904667962196374</v>
      </c>
    </row>
    <row r="2078" spans="1:13" x14ac:dyDescent="0.45">
      <c r="A2078" t="s">
        <v>86</v>
      </c>
      <c r="B2078" s="18">
        <v>80.040000000000006</v>
      </c>
      <c r="C2078" s="18">
        <v>83.81</v>
      </c>
      <c r="D2078" s="18">
        <v>95.15</v>
      </c>
      <c r="E2078" s="18">
        <v>79.69</v>
      </c>
      <c r="F2078" s="18">
        <v>96.58</v>
      </c>
      <c r="G2078" s="18">
        <v>86.932000000000002</v>
      </c>
      <c r="H2078" s="18">
        <v>92.625900000000001</v>
      </c>
      <c r="I2078" s="8">
        <v>-4.4982698961937628E-2</v>
      </c>
      <c r="J2078" s="8">
        <v>-0.15880189174986861</v>
      </c>
      <c r="K2078" s="8">
        <v>4.3920190739115128E-3</v>
      </c>
      <c r="L2078" s="8">
        <v>-0.1712569890246427</v>
      </c>
      <c r="M2078" s="18">
        <v>-0.3706495606625374</v>
      </c>
    </row>
    <row r="2079" spans="1:13" x14ac:dyDescent="0.45">
      <c r="A2079" t="s">
        <v>2016</v>
      </c>
      <c r="B2079" s="18">
        <v>23.5</v>
      </c>
      <c r="C2079" s="18">
        <v>23.5</v>
      </c>
      <c r="D2079" s="18">
        <v>23.37</v>
      </c>
      <c r="E2079" s="18">
        <v>23.4</v>
      </c>
      <c r="F2079" s="18">
        <v>21.5</v>
      </c>
      <c r="G2079" s="18">
        <v>23.146360000000001</v>
      </c>
      <c r="H2079" s="18">
        <v>23.006650499999999</v>
      </c>
      <c r="I2079" s="8">
        <v>0</v>
      </c>
      <c r="J2079" s="8">
        <v>5.5626872058194277E-3</v>
      </c>
      <c r="K2079" s="8">
        <v>4.2735042735042583E-3</v>
      </c>
      <c r="L2079" s="8">
        <v>9.3023255813953432E-2</v>
      </c>
      <c r="M2079" s="18">
        <v>0.1028594472932771</v>
      </c>
    </row>
    <row r="2080" spans="1:13" x14ac:dyDescent="0.45">
      <c r="A2080" t="s">
        <v>1569</v>
      </c>
      <c r="B2080" s="18">
        <v>26.13</v>
      </c>
      <c r="C2080" s="18">
        <v>32.15</v>
      </c>
      <c r="D2080" s="18">
        <v>32.5</v>
      </c>
      <c r="E2080" s="18">
        <v>26.02</v>
      </c>
      <c r="F2080" s="18">
        <v>35.42</v>
      </c>
      <c r="G2080" s="18">
        <v>31.327400000000001</v>
      </c>
      <c r="H2080" s="18">
        <v>34.747050000000002</v>
      </c>
      <c r="I2080" s="8">
        <v>-0.18724727838258159</v>
      </c>
      <c r="J2080" s="8">
        <v>-0.19600000000000009</v>
      </c>
      <c r="K2080" s="8">
        <v>4.2275172943888606E-3</v>
      </c>
      <c r="L2080" s="8">
        <v>-0.26228119706380582</v>
      </c>
      <c r="M2080" s="18">
        <v>-0.64130095815199861</v>
      </c>
    </row>
    <row r="2081" spans="1:13" x14ac:dyDescent="0.45">
      <c r="A2081" t="s">
        <v>393</v>
      </c>
      <c r="B2081" s="18">
        <v>91.25</v>
      </c>
      <c r="C2081" s="18">
        <v>88.01</v>
      </c>
      <c r="D2081" s="18">
        <v>99.96</v>
      </c>
      <c r="E2081" s="18">
        <v>90.88</v>
      </c>
      <c r="F2081" s="18">
        <v>104.56</v>
      </c>
      <c r="G2081" s="18">
        <v>88.358400000000003</v>
      </c>
      <c r="H2081" s="18">
        <v>94.759900000000002</v>
      </c>
      <c r="I2081" s="8">
        <v>3.6813998409271687E-2</v>
      </c>
      <c r="J2081" s="8">
        <v>-8.7134853941576607E-2</v>
      </c>
      <c r="K2081" s="8">
        <v>4.0713028169014898E-3</v>
      </c>
      <c r="L2081" s="8">
        <v>-0.12729533282325939</v>
      </c>
      <c r="M2081" s="18">
        <v>-0.1735448855386629</v>
      </c>
    </row>
    <row r="2082" spans="1:13" x14ac:dyDescent="0.45">
      <c r="A2082" t="s">
        <v>1795</v>
      </c>
      <c r="B2082" s="18">
        <v>11.585000000000001</v>
      </c>
      <c r="C2082" s="18">
        <v>11.57</v>
      </c>
      <c r="D2082" s="18">
        <v>11.77</v>
      </c>
      <c r="E2082" s="18">
        <v>11.55</v>
      </c>
      <c r="F2082" s="18">
        <v>11.67</v>
      </c>
      <c r="G2082" s="18">
        <v>11.4436</v>
      </c>
      <c r="H2082" s="18">
        <v>11.637895</v>
      </c>
      <c r="I2082" s="8">
        <v>1.2964563526360879E-3</v>
      </c>
      <c r="J2082" s="8">
        <v>-1.57179269328801E-2</v>
      </c>
      <c r="K2082" s="8">
        <v>3.0303030303029388E-3</v>
      </c>
      <c r="L2082" s="8">
        <v>-7.2836332476434729E-3</v>
      </c>
      <c r="M2082" s="18">
        <v>-1.8674800797584549E-2</v>
      </c>
    </row>
    <row r="2083" spans="1:13" x14ac:dyDescent="0.45">
      <c r="A2083" t="s">
        <v>1526</v>
      </c>
      <c r="B2083" s="18">
        <v>46.89</v>
      </c>
      <c r="C2083" s="18">
        <v>49.31</v>
      </c>
      <c r="D2083" s="18">
        <v>47.14</v>
      </c>
      <c r="E2083" s="18">
        <v>46.75</v>
      </c>
      <c r="F2083" s="18">
        <v>68.25</v>
      </c>
      <c r="G2083" s="18">
        <v>48.968800000000002</v>
      </c>
      <c r="H2083" s="18">
        <v>51.318249999999999</v>
      </c>
      <c r="I2083" s="8">
        <v>-4.9077266274589422E-2</v>
      </c>
      <c r="J2083" s="8">
        <v>-5.3033517182859979E-3</v>
      </c>
      <c r="K2083" s="8">
        <v>2.9946524064170532E-3</v>
      </c>
      <c r="L2083" s="8">
        <v>-0.31296703296703299</v>
      </c>
      <c r="M2083" s="18">
        <v>-0.36435299855349129</v>
      </c>
    </row>
    <row r="2084" spans="1:13" x14ac:dyDescent="0.45">
      <c r="A2084" t="s">
        <v>2380</v>
      </c>
      <c r="B2084" s="18">
        <v>36.81</v>
      </c>
      <c r="C2084" s="18">
        <v>41.12</v>
      </c>
      <c r="D2084" s="18">
        <v>41.06</v>
      </c>
      <c r="E2084" s="18">
        <v>36.71</v>
      </c>
      <c r="F2084" s="18">
        <v>43.31</v>
      </c>
      <c r="G2084" s="18">
        <v>39.642799999999987</v>
      </c>
      <c r="H2084" s="18">
        <v>39.45975</v>
      </c>
      <c r="I2084" s="8">
        <v>-0.1048151750972761</v>
      </c>
      <c r="J2084" s="8">
        <v>-0.1035070628348758</v>
      </c>
      <c r="K2084" s="8">
        <v>2.7240533914465459E-3</v>
      </c>
      <c r="L2084" s="8">
        <v>-0.15008081274532439</v>
      </c>
      <c r="M2084" s="18">
        <v>-0.3556789972860297</v>
      </c>
    </row>
    <row r="2085" spans="1:13" x14ac:dyDescent="0.45">
      <c r="A2085" t="s">
        <v>814</v>
      </c>
      <c r="B2085" s="18">
        <v>15.15</v>
      </c>
      <c r="C2085" s="18">
        <v>15.95</v>
      </c>
      <c r="D2085" s="18">
        <v>15.67</v>
      </c>
      <c r="E2085" s="18">
        <v>15.11</v>
      </c>
      <c r="F2085" s="18">
        <v>17.93</v>
      </c>
      <c r="G2085" s="18">
        <v>15.583</v>
      </c>
      <c r="H2085" s="18">
        <v>16.340900000000001</v>
      </c>
      <c r="I2085" s="8">
        <v>-5.0156739811912147E-2</v>
      </c>
      <c r="J2085" s="8">
        <v>-3.3184428844926561E-2</v>
      </c>
      <c r="K2085" s="8">
        <v>2.647253474520328E-3</v>
      </c>
      <c r="L2085" s="8">
        <v>-0.15504740658114891</v>
      </c>
      <c r="M2085" s="18">
        <v>-0.23574132176346729</v>
      </c>
    </row>
    <row r="2086" spans="1:13" x14ac:dyDescent="0.45">
      <c r="A2086" t="s">
        <v>973</v>
      </c>
      <c r="B2086" s="18">
        <v>24.65</v>
      </c>
      <c r="C2086" s="18">
        <v>24.22</v>
      </c>
      <c r="D2086" s="18">
        <v>23.21</v>
      </c>
      <c r="E2086" s="18">
        <v>24.59</v>
      </c>
      <c r="F2086" s="18"/>
      <c r="G2086" s="18">
        <v>24.713462</v>
      </c>
      <c r="H2086" s="18">
        <v>24.321710499999998</v>
      </c>
      <c r="I2086" s="8">
        <v>1.775392237819973E-2</v>
      </c>
      <c r="J2086" s="8">
        <v>6.2042223179663791E-2</v>
      </c>
      <c r="K2086" s="8">
        <v>2.4400162667750358E-3</v>
      </c>
      <c r="L2086" s="8"/>
      <c r="M2086" s="18">
        <v>8.2236161824638554E-2</v>
      </c>
    </row>
    <row r="2087" spans="1:13" x14ac:dyDescent="0.45">
      <c r="A2087" t="s">
        <v>2371</v>
      </c>
      <c r="B2087" s="18">
        <v>4.95</v>
      </c>
      <c r="C2087" s="18">
        <v>5.04</v>
      </c>
      <c r="D2087" s="18">
        <v>7.08</v>
      </c>
      <c r="E2087" s="18">
        <v>4.9400000000000004</v>
      </c>
      <c r="F2087" s="18">
        <v>8.84</v>
      </c>
      <c r="G2087" s="18">
        <v>5.2441999999999993</v>
      </c>
      <c r="H2087" s="18">
        <v>6.5136500000000002</v>
      </c>
      <c r="I2087" s="8">
        <v>-1.785714285714279E-2</v>
      </c>
      <c r="J2087" s="8">
        <v>-0.30084745762711862</v>
      </c>
      <c r="K2087" s="8">
        <v>2.0242914979755611E-3</v>
      </c>
      <c r="L2087" s="8">
        <v>-0.44004524886877833</v>
      </c>
      <c r="M2087" s="18">
        <v>-0.75672555785506412</v>
      </c>
    </row>
    <row r="2088" spans="1:13" x14ac:dyDescent="0.45">
      <c r="A2088" t="s">
        <v>1932</v>
      </c>
      <c r="B2088" s="18">
        <v>25.27</v>
      </c>
      <c r="C2088" s="18">
        <v>25.37</v>
      </c>
      <c r="D2088" s="18">
        <v>24.85</v>
      </c>
      <c r="E2088" s="18">
        <v>25.23</v>
      </c>
      <c r="F2088" s="18"/>
      <c r="G2088" s="18">
        <v>25.238648000000001</v>
      </c>
      <c r="H2088" s="18"/>
      <c r="I2088" s="8">
        <v>-3.9416633819472358E-3</v>
      </c>
      <c r="J2088" s="8">
        <v>1.6901408450704199E-2</v>
      </c>
      <c r="K2088" s="8">
        <v>1.585414189456902E-3</v>
      </c>
      <c r="L2088" s="8"/>
      <c r="M2088" s="18">
        <v>1.4545159258213871E-2</v>
      </c>
    </row>
    <row r="2089" spans="1:13" x14ac:dyDescent="0.45">
      <c r="A2089" t="s">
        <v>84</v>
      </c>
      <c r="B2089" s="18">
        <v>520</v>
      </c>
      <c r="C2089" s="18">
        <v>519.66999999999996</v>
      </c>
      <c r="D2089" s="18">
        <v>549.79999999999995</v>
      </c>
      <c r="E2089" s="18">
        <v>519.19000000000005</v>
      </c>
      <c r="F2089" s="18">
        <v>544.86</v>
      </c>
      <c r="G2089" s="18">
        <v>520.47880000000009</v>
      </c>
      <c r="H2089" s="18">
        <v>550.33124999999995</v>
      </c>
      <c r="I2089" s="8">
        <v>6.3501837704715847E-4</v>
      </c>
      <c r="J2089" s="8">
        <v>-5.4201527828301121E-2</v>
      </c>
      <c r="K2089" s="8">
        <v>1.560122498507122E-3</v>
      </c>
      <c r="L2089" s="8">
        <v>-4.5626399442058492E-2</v>
      </c>
      <c r="M2089" s="18">
        <v>-9.7632786394805327E-2</v>
      </c>
    </row>
    <row r="2090" spans="1:13" x14ac:dyDescent="0.45">
      <c r="A2090" t="s">
        <v>124</v>
      </c>
      <c r="B2090" s="18">
        <v>141.03</v>
      </c>
      <c r="C2090" s="18">
        <v>140.09</v>
      </c>
      <c r="D2090" s="18">
        <v>142.68</v>
      </c>
      <c r="E2090" s="18">
        <v>140.87</v>
      </c>
      <c r="F2090" s="18">
        <v>142.57</v>
      </c>
      <c r="G2090" s="18">
        <v>140.85980000000001</v>
      </c>
      <c r="H2090" s="18">
        <v>138.32525000000001</v>
      </c>
      <c r="I2090" s="8">
        <v>6.7099721607537521E-3</v>
      </c>
      <c r="J2090" s="8">
        <v>-1.156433978132887E-2</v>
      </c>
      <c r="K2090" s="8">
        <v>1.1357989635834009E-3</v>
      </c>
      <c r="L2090" s="8">
        <v>-1.080171143999431E-2</v>
      </c>
      <c r="M2090" s="18">
        <v>-1.452028009698603E-2</v>
      </c>
    </row>
    <row r="2091" spans="1:13" x14ac:dyDescent="0.45">
      <c r="A2091" t="s">
        <v>1642</v>
      </c>
      <c r="B2091" s="18">
        <v>14.4</v>
      </c>
      <c r="C2091" s="18">
        <v>14.92</v>
      </c>
      <c r="D2091" s="18">
        <v>14.71</v>
      </c>
      <c r="E2091" s="18">
        <v>14.39</v>
      </c>
      <c r="F2091" s="18">
        <v>16.440000000000001</v>
      </c>
      <c r="G2091" s="18">
        <v>14.8324</v>
      </c>
      <c r="H2091" s="18">
        <v>14.9123</v>
      </c>
      <c r="I2091" s="8">
        <v>-3.4852546916890097E-2</v>
      </c>
      <c r="J2091" s="8">
        <v>-2.1074099252209381E-2</v>
      </c>
      <c r="K2091" s="8">
        <v>6.9492703266149647E-4</v>
      </c>
      <c r="L2091" s="8">
        <v>-0.124087591240876</v>
      </c>
      <c r="M2091" s="18">
        <v>-0.179319310377314</v>
      </c>
    </row>
    <row r="2092" spans="1:13" x14ac:dyDescent="0.45">
      <c r="A2092" t="s">
        <v>2424</v>
      </c>
      <c r="B2092" s="18">
        <v>32.840000000000003</v>
      </c>
      <c r="C2092" s="18">
        <v>38.049999999999997</v>
      </c>
      <c r="D2092" s="18">
        <v>44.05</v>
      </c>
      <c r="E2092" s="18">
        <v>32.82</v>
      </c>
      <c r="F2092" s="18">
        <v>31.76</v>
      </c>
      <c r="G2092" s="18">
        <v>39.013399999999997</v>
      </c>
      <c r="H2092" s="18">
        <v>39.238624999999999</v>
      </c>
      <c r="I2092" s="8">
        <v>-0.13692509855453339</v>
      </c>
      <c r="J2092" s="8">
        <v>-0.25448354143019281</v>
      </c>
      <c r="K2092" s="8">
        <v>6.0938452163328272E-4</v>
      </c>
      <c r="L2092" s="8">
        <v>3.400503778337538E-2</v>
      </c>
      <c r="M2092" s="18">
        <v>-0.35679421767971747</v>
      </c>
    </row>
    <row r="2093" spans="1:13" x14ac:dyDescent="0.45">
      <c r="A2093" t="s">
        <v>1108</v>
      </c>
      <c r="B2093" s="18">
        <v>24.81</v>
      </c>
      <c r="C2093" s="18">
        <v>24.86</v>
      </c>
      <c r="D2093" s="18">
        <v>24.672000000000001</v>
      </c>
      <c r="E2093" s="18">
        <v>24.8</v>
      </c>
      <c r="F2093" s="18">
        <v>24.77</v>
      </c>
      <c r="G2093" s="18">
        <v>24.851929999999999</v>
      </c>
      <c r="H2093" s="18">
        <v>24.758419499999999</v>
      </c>
      <c r="I2093" s="8">
        <v>-2.011263073209979E-3</v>
      </c>
      <c r="J2093" s="8">
        <v>5.5933852140077622E-3</v>
      </c>
      <c r="K2093" s="8">
        <v>4.0322580645146822E-4</v>
      </c>
      <c r="L2093" s="8">
        <v>1.6148566814695451E-3</v>
      </c>
      <c r="M2093" s="18">
        <v>5.6002046287187968E-3</v>
      </c>
    </row>
    <row r="2094" spans="1:13" x14ac:dyDescent="0.45">
      <c r="A2094" t="s">
        <v>2124</v>
      </c>
      <c r="B2094" s="18">
        <v>25.4</v>
      </c>
      <c r="C2094" s="18">
        <v>25.39</v>
      </c>
      <c r="D2094" s="18">
        <v>25.35</v>
      </c>
      <c r="E2094" s="18">
        <v>25.4</v>
      </c>
      <c r="F2094" s="18">
        <v>25.36</v>
      </c>
      <c r="G2094" s="18">
        <v>25.423795999999999</v>
      </c>
      <c r="H2094" s="18">
        <v>25.364491000000001</v>
      </c>
      <c r="I2094" s="8">
        <v>3.9385584875928359E-4</v>
      </c>
      <c r="J2094" s="8">
        <v>1.9723865877709912E-3</v>
      </c>
      <c r="K2094" s="8">
        <v>0</v>
      </c>
      <c r="L2094" s="8">
        <v>1.577287066246047E-3</v>
      </c>
      <c r="M2094" s="18">
        <v>3.9435295027763217E-3</v>
      </c>
    </row>
    <row r="2095" spans="1:13" x14ac:dyDescent="0.45">
      <c r="A2095" t="s">
        <v>2223</v>
      </c>
      <c r="B2095" s="18">
        <v>17.899999999999999</v>
      </c>
      <c r="C2095" s="18">
        <v>18.3</v>
      </c>
      <c r="D2095" s="18">
        <v>18.350000000000001</v>
      </c>
      <c r="E2095" s="18">
        <v>17.899999999999999</v>
      </c>
      <c r="F2095" s="18">
        <v>19.7</v>
      </c>
      <c r="G2095" s="18">
        <v>17.869199999999999</v>
      </c>
      <c r="H2095" s="18">
        <v>19.046626499999999</v>
      </c>
      <c r="I2095" s="8">
        <v>-2.1857923497267891E-2</v>
      </c>
      <c r="J2095" s="8">
        <v>-2.4523160762942919E-2</v>
      </c>
      <c r="K2095" s="8">
        <v>0</v>
      </c>
      <c r="L2095" s="8">
        <v>-9.137055837563457E-2</v>
      </c>
      <c r="M2095" s="18">
        <v>-0.13775164263584541</v>
      </c>
    </row>
    <row r="2096" spans="1:13" x14ac:dyDescent="0.45">
      <c r="A2096" t="s">
        <v>638</v>
      </c>
      <c r="B2096" s="18">
        <v>24.57</v>
      </c>
      <c r="C2096" s="18">
        <v>23.79</v>
      </c>
      <c r="D2096" s="18">
        <v>22.95</v>
      </c>
      <c r="E2096" s="18">
        <v>24.57</v>
      </c>
      <c r="F2096" s="18">
        <v>17.420000000000002</v>
      </c>
      <c r="G2096" s="18">
        <v>23.597000000000001</v>
      </c>
      <c r="H2096" s="18">
        <v>25.287949999999999</v>
      </c>
      <c r="I2096" s="8">
        <v>3.2786885245901683E-2</v>
      </c>
      <c r="J2096" s="8">
        <v>7.0588235294117618E-2</v>
      </c>
      <c r="K2096" s="8">
        <v>0</v>
      </c>
      <c r="L2096" s="8">
        <v>0.41044776119402981</v>
      </c>
      <c r="M2096" s="18">
        <v>0.51382288173404911</v>
      </c>
    </row>
    <row r="2097" spans="1:13" x14ac:dyDescent="0.45">
      <c r="A2097" t="s">
        <v>258</v>
      </c>
      <c r="B2097" s="18">
        <v>68.13</v>
      </c>
      <c r="C2097" s="18">
        <v>68.64</v>
      </c>
      <c r="D2097" s="18">
        <v>80.22</v>
      </c>
      <c r="E2097" s="18">
        <v>68.14</v>
      </c>
      <c r="F2097" s="18">
        <v>84.63</v>
      </c>
      <c r="G2097" s="18">
        <v>69.155000000000001</v>
      </c>
      <c r="H2097" s="18">
        <v>75.280799999999999</v>
      </c>
      <c r="I2097" s="8">
        <v>-7.4300699300700046E-3</v>
      </c>
      <c r="J2097" s="8">
        <v>-0.1507105459985042</v>
      </c>
      <c r="K2097" s="8">
        <v>-1.467566774289164E-4</v>
      </c>
      <c r="L2097" s="8">
        <v>-0.19496632399858199</v>
      </c>
      <c r="M2097" s="18">
        <v>-0.35325369660458522</v>
      </c>
    </row>
    <row r="2098" spans="1:13" x14ac:dyDescent="0.45">
      <c r="A2098" t="s">
        <v>427</v>
      </c>
      <c r="B2098" s="18">
        <v>91.77</v>
      </c>
      <c r="C2098" s="18">
        <v>85.04</v>
      </c>
      <c r="D2098" s="18">
        <v>102.4</v>
      </c>
      <c r="E2098" s="18">
        <v>91.79</v>
      </c>
      <c r="F2098" s="18">
        <v>123.96</v>
      </c>
      <c r="G2098" s="18">
        <v>88.003800000000012</v>
      </c>
      <c r="H2098" s="18">
        <v>100.1135</v>
      </c>
      <c r="I2098" s="8">
        <v>7.9139228598306577E-2</v>
      </c>
      <c r="J2098" s="8">
        <v>-0.10380859375000009</v>
      </c>
      <c r="K2098" s="8">
        <v>-2.1788865889538209E-4</v>
      </c>
      <c r="L2098" s="8">
        <v>-0.25968054211035818</v>
      </c>
      <c r="M2098" s="18">
        <v>-0.28456779592094711</v>
      </c>
    </row>
    <row r="2099" spans="1:13" x14ac:dyDescent="0.45">
      <c r="A2099" t="s">
        <v>2116</v>
      </c>
      <c r="B2099" s="18">
        <v>25.448799999999999</v>
      </c>
      <c r="C2099" s="18">
        <v>25.445</v>
      </c>
      <c r="D2099" s="18">
        <v>25.454999999999998</v>
      </c>
      <c r="E2099" s="18">
        <v>25.47</v>
      </c>
      <c r="F2099" s="18">
        <v>25.43</v>
      </c>
      <c r="G2099" s="18">
        <v>25.55677</v>
      </c>
      <c r="H2099" s="18">
        <v>25.433995500000002</v>
      </c>
      <c r="I2099" s="8">
        <v>1.4934171742964081E-4</v>
      </c>
      <c r="J2099" s="8">
        <v>-2.435670791592903E-4</v>
      </c>
      <c r="K2099" s="8">
        <v>-8.3235178641538621E-4</v>
      </c>
      <c r="L2099" s="8">
        <v>7.3928430987013627E-4</v>
      </c>
      <c r="M2099" s="18">
        <v>-1.8729283827489951E-4</v>
      </c>
    </row>
    <row r="2100" spans="1:13" x14ac:dyDescent="0.45">
      <c r="A2100" t="s">
        <v>1751</v>
      </c>
      <c r="B2100" s="18">
        <v>12</v>
      </c>
      <c r="C2100" s="18">
        <v>11.71</v>
      </c>
      <c r="D2100" s="18">
        <v>11.8832</v>
      </c>
      <c r="E2100" s="18">
        <v>12.01</v>
      </c>
      <c r="F2100" s="18">
        <v>11.78</v>
      </c>
      <c r="G2100" s="18">
        <v>11.804295460000001</v>
      </c>
      <c r="H2100" s="18">
        <v>11.914264865</v>
      </c>
      <c r="I2100" s="8">
        <v>2.476515798462842E-2</v>
      </c>
      <c r="J2100" s="8">
        <v>9.8290022889457873E-3</v>
      </c>
      <c r="K2100" s="8">
        <v>-8.3263946711076287E-4</v>
      </c>
      <c r="L2100" s="8">
        <v>1.8675721561969501E-2</v>
      </c>
      <c r="M2100" s="18">
        <v>5.2437242368432953E-2</v>
      </c>
    </row>
    <row r="2101" spans="1:13" x14ac:dyDescent="0.45">
      <c r="A2101" t="s">
        <v>755</v>
      </c>
      <c r="B2101" s="18">
        <v>10.79</v>
      </c>
      <c r="C2101" s="18">
        <v>10.35</v>
      </c>
      <c r="D2101" s="18">
        <v>10.331</v>
      </c>
      <c r="E2101" s="18">
        <v>10.8</v>
      </c>
      <c r="F2101" s="18">
        <v>11.44</v>
      </c>
      <c r="G2101" s="18">
        <v>10.41162252</v>
      </c>
      <c r="H2101" s="18">
        <v>10.584982719999999</v>
      </c>
      <c r="I2101" s="8">
        <v>4.2512077294685868E-2</v>
      </c>
      <c r="J2101" s="8">
        <v>4.4429387280998878E-2</v>
      </c>
      <c r="K2101" s="8">
        <v>-9.2592592592610767E-4</v>
      </c>
      <c r="L2101" s="8">
        <v>-5.6818181818181879E-2</v>
      </c>
      <c r="M2101" s="18">
        <v>2.919735683157676E-2</v>
      </c>
    </row>
    <row r="2102" spans="1:13" x14ac:dyDescent="0.45">
      <c r="A2102" t="s">
        <v>1354</v>
      </c>
      <c r="B2102" s="18">
        <v>9.27</v>
      </c>
      <c r="C2102" s="18">
        <v>9.49</v>
      </c>
      <c r="D2102" s="18">
        <v>9.4730000000000008</v>
      </c>
      <c r="E2102" s="18">
        <v>9.2799999999999994</v>
      </c>
      <c r="F2102" s="18">
        <v>10.92</v>
      </c>
      <c r="G2102" s="18">
        <v>9.2655539999999998</v>
      </c>
      <c r="H2102" s="18">
        <v>9.6010334999999998</v>
      </c>
      <c r="I2102" s="8">
        <v>-2.3182297154899941E-2</v>
      </c>
      <c r="J2102" s="8">
        <v>-2.1429325451282729E-2</v>
      </c>
      <c r="K2102" s="8">
        <v>-1.0775862068965749E-3</v>
      </c>
      <c r="L2102" s="8">
        <v>-0.15109890109890109</v>
      </c>
      <c r="M2102" s="18">
        <v>-0.1967881099119804</v>
      </c>
    </row>
    <row r="2103" spans="1:13" x14ac:dyDescent="0.45">
      <c r="A2103" t="s">
        <v>1323</v>
      </c>
      <c r="B2103" s="18">
        <v>24.76</v>
      </c>
      <c r="C2103" s="18">
        <v>25.11</v>
      </c>
      <c r="D2103" s="18">
        <v>25.07</v>
      </c>
      <c r="E2103" s="18">
        <v>24.8</v>
      </c>
      <c r="F2103" s="18">
        <v>23.5</v>
      </c>
      <c r="G2103" s="18">
        <v>24.945817999999999</v>
      </c>
      <c r="H2103" s="18">
        <v>24.949985999999999</v>
      </c>
      <c r="I2103" s="8">
        <v>-1.3938669852648239E-2</v>
      </c>
      <c r="J2103" s="8">
        <v>-1.2365376944555201E-2</v>
      </c>
      <c r="K2103" s="8">
        <v>-1.612903225806428E-3</v>
      </c>
      <c r="L2103" s="8">
        <v>5.3617021276595837E-2</v>
      </c>
      <c r="M2103" s="18">
        <v>2.570007125358598E-2</v>
      </c>
    </row>
    <row r="2104" spans="1:13" x14ac:dyDescent="0.45">
      <c r="A2104" t="s">
        <v>882</v>
      </c>
      <c r="B2104" s="18">
        <v>58.78</v>
      </c>
      <c r="C2104" s="18">
        <v>67.94</v>
      </c>
      <c r="D2104" s="18">
        <v>62.41</v>
      </c>
      <c r="E2104" s="18">
        <v>58.88</v>
      </c>
      <c r="F2104" s="18">
        <v>98.44</v>
      </c>
      <c r="G2104" s="18">
        <v>64.073399999999992</v>
      </c>
      <c r="H2104" s="18">
        <v>64.09575000000001</v>
      </c>
      <c r="I2104" s="8">
        <v>-0.13482484545186921</v>
      </c>
      <c r="J2104" s="8">
        <v>-5.8163755808363971E-2</v>
      </c>
      <c r="K2104" s="8">
        <v>-1.698369565217406E-3</v>
      </c>
      <c r="L2104" s="8">
        <v>-0.40288500609508332</v>
      </c>
      <c r="M2104" s="18">
        <v>-0.59757197692053388</v>
      </c>
    </row>
    <row r="2105" spans="1:13" x14ac:dyDescent="0.45">
      <c r="A2105" t="s">
        <v>544</v>
      </c>
      <c r="B2105" s="18">
        <v>70.52</v>
      </c>
      <c r="C2105" s="18">
        <v>72.31</v>
      </c>
      <c r="D2105" s="18">
        <v>70.98</v>
      </c>
      <c r="E2105" s="18">
        <v>70.680000000000007</v>
      </c>
      <c r="F2105" s="18">
        <v>73.88</v>
      </c>
      <c r="G2105" s="18">
        <v>72.271199999999993</v>
      </c>
      <c r="H2105" s="18">
        <v>73.402100000000004</v>
      </c>
      <c r="I2105" s="8">
        <v>-2.4754529110773141E-2</v>
      </c>
      <c r="J2105" s="8">
        <v>-6.4806987883911926E-3</v>
      </c>
      <c r="K2105" s="8">
        <v>-2.2637238256933978E-3</v>
      </c>
      <c r="L2105" s="8">
        <v>-4.5479155387114223E-2</v>
      </c>
      <c r="M2105" s="18">
        <v>-7.8978107111971951E-2</v>
      </c>
    </row>
    <row r="2106" spans="1:13" x14ac:dyDescent="0.45">
      <c r="A2106" t="s">
        <v>1322</v>
      </c>
      <c r="B2106" s="18">
        <v>24.75</v>
      </c>
      <c r="C2106" s="18">
        <v>24.9</v>
      </c>
      <c r="D2106" s="18">
        <v>24.8459</v>
      </c>
      <c r="E2106" s="18">
        <v>24.81</v>
      </c>
      <c r="F2106" s="18">
        <v>24.62</v>
      </c>
      <c r="G2106" s="18">
        <v>24.708110000000001</v>
      </c>
      <c r="H2106" s="18">
        <v>24.803255499999999</v>
      </c>
      <c r="I2106" s="8">
        <v>-6.0240963855421334E-3</v>
      </c>
      <c r="J2106" s="8">
        <v>-3.8597917563863988E-3</v>
      </c>
      <c r="K2106" s="8">
        <v>-2.4183796856105388E-3</v>
      </c>
      <c r="L2106" s="8">
        <v>5.2802599512591364E-3</v>
      </c>
      <c r="M2106" s="18">
        <v>-7.0220078762799343E-3</v>
      </c>
    </row>
    <row r="2107" spans="1:13" x14ac:dyDescent="0.45">
      <c r="A2107" t="s">
        <v>210</v>
      </c>
      <c r="B2107" s="18">
        <v>101.58</v>
      </c>
      <c r="C2107" s="18">
        <v>115.41</v>
      </c>
      <c r="D2107" s="18">
        <v>104.95</v>
      </c>
      <c r="E2107" s="18">
        <v>101.88</v>
      </c>
      <c r="F2107" s="18">
        <v>166.81</v>
      </c>
      <c r="G2107" s="18">
        <v>109.79340000000001</v>
      </c>
      <c r="H2107" s="18">
        <v>129.017</v>
      </c>
      <c r="I2107" s="8">
        <v>-0.1198336365999479</v>
      </c>
      <c r="J2107" s="8">
        <v>-3.2110528823249163E-2</v>
      </c>
      <c r="K2107" s="8">
        <v>-2.9446407538280539E-3</v>
      </c>
      <c r="L2107" s="8">
        <v>-0.39104370241592229</v>
      </c>
      <c r="M2107" s="18">
        <v>-0.54593250859294751</v>
      </c>
    </row>
    <row r="2108" spans="1:13" x14ac:dyDescent="0.45">
      <c r="A2108" t="s">
        <v>2425</v>
      </c>
      <c r="B2108" s="18">
        <v>34.869999999999997</v>
      </c>
      <c r="C2108" s="18">
        <v>35.65</v>
      </c>
      <c r="D2108" s="18">
        <v>48.92</v>
      </c>
      <c r="E2108" s="18">
        <v>34.979999999999997</v>
      </c>
      <c r="F2108" s="18">
        <v>48.57</v>
      </c>
      <c r="G2108" s="18">
        <v>38.816000000000003</v>
      </c>
      <c r="H2108" s="18">
        <v>46.61780000000001</v>
      </c>
      <c r="I2108" s="8">
        <v>-2.1879382889200549E-2</v>
      </c>
      <c r="J2108" s="8">
        <v>-0.28720359771054788</v>
      </c>
      <c r="K2108" s="8">
        <v>-3.1446540880503142E-3</v>
      </c>
      <c r="L2108" s="8">
        <v>-0.28206711962116537</v>
      </c>
      <c r="M2108" s="18">
        <v>-0.59429475430896417</v>
      </c>
    </row>
    <row r="2109" spans="1:13" x14ac:dyDescent="0.45">
      <c r="A2109" t="s">
        <v>2477</v>
      </c>
      <c r="B2109" s="18">
        <v>77.13</v>
      </c>
      <c r="C2109" s="18">
        <v>93.81</v>
      </c>
      <c r="D2109" s="18">
        <v>108.43</v>
      </c>
      <c r="E2109" s="18">
        <v>77.44</v>
      </c>
      <c r="F2109" s="18">
        <v>104.19</v>
      </c>
      <c r="G2109" s="18">
        <v>86.305399999999992</v>
      </c>
      <c r="H2109" s="18">
        <v>93.927199999999999</v>
      </c>
      <c r="I2109" s="8">
        <v>-0.17780620402942129</v>
      </c>
      <c r="J2109" s="8">
        <v>-0.28866549847828099</v>
      </c>
      <c r="K2109" s="8">
        <v>-4.0030991735537924E-3</v>
      </c>
      <c r="L2109" s="8">
        <v>-0.25971782320760151</v>
      </c>
      <c r="M2109" s="18">
        <v>-0.73019262488885761</v>
      </c>
    </row>
    <row r="2110" spans="1:13" x14ac:dyDescent="0.45">
      <c r="A2110" t="s">
        <v>1857</v>
      </c>
      <c r="B2110" s="18">
        <v>12.43</v>
      </c>
      <c r="C2110" s="18">
        <v>14.18</v>
      </c>
      <c r="D2110" s="18">
        <v>14.62</v>
      </c>
      <c r="E2110" s="18">
        <v>12.48</v>
      </c>
      <c r="F2110" s="18">
        <v>14.81</v>
      </c>
      <c r="G2110" s="18">
        <v>13.844799999999999</v>
      </c>
      <c r="H2110" s="18">
        <v>14.45585</v>
      </c>
      <c r="I2110" s="8">
        <v>-0.12341325811001411</v>
      </c>
      <c r="J2110" s="8">
        <v>-0.1497948016415869</v>
      </c>
      <c r="K2110" s="8">
        <v>-4.0064102564103532E-3</v>
      </c>
      <c r="L2110" s="8">
        <v>-0.1607022282241729</v>
      </c>
      <c r="M2110" s="18">
        <v>-0.43791669823218432</v>
      </c>
    </row>
    <row r="2111" spans="1:13" x14ac:dyDescent="0.45">
      <c r="A2111" t="s">
        <v>1664</v>
      </c>
      <c r="B2111" s="18">
        <v>7.06</v>
      </c>
      <c r="C2111" s="18">
        <v>7.14</v>
      </c>
      <c r="D2111" s="18">
        <v>7.12</v>
      </c>
      <c r="E2111" s="18">
        <v>7.09</v>
      </c>
      <c r="F2111" s="18">
        <v>7.27</v>
      </c>
      <c r="G2111" s="18">
        <v>7.081999999999999</v>
      </c>
      <c r="H2111" s="18">
        <v>7.1282424999999998</v>
      </c>
      <c r="I2111" s="8">
        <v>-1.120448179271705E-2</v>
      </c>
      <c r="J2111" s="8">
        <v>-8.4269662921349076E-3</v>
      </c>
      <c r="K2111" s="8">
        <v>-4.2313117066290484E-3</v>
      </c>
      <c r="L2111" s="8">
        <v>-2.8885832187070189E-2</v>
      </c>
      <c r="M2111" s="18">
        <v>-5.2748591978551203E-2</v>
      </c>
    </row>
    <row r="2112" spans="1:13" x14ac:dyDescent="0.45">
      <c r="A2112" t="s">
        <v>140</v>
      </c>
      <c r="B2112" s="18">
        <v>186.42</v>
      </c>
      <c r="C2112" s="18">
        <v>195.24</v>
      </c>
      <c r="D2112" s="18">
        <v>202.7</v>
      </c>
      <c r="E2112" s="18">
        <v>187.23</v>
      </c>
      <c r="F2112" s="18">
        <v>221.02</v>
      </c>
      <c r="G2112" s="18">
        <v>191.15199999999999</v>
      </c>
      <c r="H2112" s="18">
        <v>205.34549999999999</v>
      </c>
      <c r="I2112" s="8">
        <v>-4.5175169022741317E-2</v>
      </c>
      <c r="J2112" s="8">
        <v>-8.0315737543167232E-2</v>
      </c>
      <c r="K2112" s="8">
        <v>-4.3262297708700492E-3</v>
      </c>
      <c r="L2112" s="8">
        <v>-0.1565469188308751</v>
      </c>
      <c r="M2112" s="18">
        <v>-0.28636405516765367</v>
      </c>
    </row>
    <row r="2113" spans="1:13" x14ac:dyDescent="0.45">
      <c r="A2113" t="s">
        <v>773</v>
      </c>
      <c r="B2113" s="18">
        <v>11.28</v>
      </c>
      <c r="C2113" s="18">
        <v>11.82</v>
      </c>
      <c r="D2113" s="18">
        <v>11.72</v>
      </c>
      <c r="E2113" s="18">
        <v>11.33</v>
      </c>
      <c r="F2113" s="18">
        <v>12.45</v>
      </c>
      <c r="G2113" s="18">
        <v>11.5944</v>
      </c>
      <c r="H2113" s="18">
        <v>11.607384</v>
      </c>
      <c r="I2113" s="8">
        <v>-4.5685279187817278E-2</v>
      </c>
      <c r="J2113" s="8">
        <v>-3.754266211604107E-2</v>
      </c>
      <c r="K2113" s="8">
        <v>-4.4130626654899094E-3</v>
      </c>
      <c r="L2113" s="8">
        <v>-9.3975903614457845E-2</v>
      </c>
      <c r="M2113" s="18">
        <v>-0.18161690758380611</v>
      </c>
    </row>
    <row r="2114" spans="1:13" x14ac:dyDescent="0.45">
      <c r="A2114" t="s">
        <v>1492</v>
      </c>
      <c r="B2114" s="18">
        <v>26.13</v>
      </c>
      <c r="C2114" s="18">
        <v>26.225000000000001</v>
      </c>
      <c r="D2114" s="18">
        <v>26.45</v>
      </c>
      <c r="E2114" s="18">
        <v>26.25</v>
      </c>
      <c r="F2114" s="18">
        <v>25.11</v>
      </c>
      <c r="G2114" s="18">
        <v>25.631186</v>
      </c>
      <c r="H2114" s="18">
        <v>25.988184</v>
      </c>
      <c r="I2114" s="8">
        <v>-3.6224976167780198E-3</v>
      </c>
      <c r="J2114" s="8">
        <v>-1.2098298676748611E-2</v>
      </c>
      <c r="K2114" s="8">
        <v>-4.5714285714285596E-3</v>
      </c>
      <c r="L2114" s="8">
        <v>4.0621266427718128E-2</v>
      </c>
      <c r="M2114" s="18">
        <v>2.0329041562762939E-2</v>
      </c>
    </row>
    <row r="2115" spans="1:13" x14ac:dyDescent="0.45">
      <c r="A2115" t="s">
        <v>508</v>
      </c>
      <c r="B2115" s="18">
        <v>24.7</v>
      </c>
      <c r="C2115" s="18">
        <v>25.27</v>
      </c>
      <c r="D2115" s="18">
        <v>26.18</v>
      </c>
      <c r="E2115" s="18">
        <v>24.82</v>
      </c>
      <c r="F2115" s="18">
        <v>32.880000000000003</v>
      </c>
      <c r="G2115" s="18">
        <v>25.324200000000001</v>
      </c>
      <c r="H2115" s="18">
        <v>27.081600000000002</v>
      </c>
      <c r="I2115" s="8">
        <v>-2.255639097744366E-2</v>
      </c>
      <c r="J2115" s="8">
        <v>-5.6531703590527171E-2</v>
      </c>
      <c r="K2115" s="8">
        <v>-4.8348106365834198E-3</v>
      </c>
      <c r="L2115" s="8">
        <v>-0.24878345498783461</v>
      </c>
      <c r="M2115" s="18">
        <v>-0.33270636019238892</v>
      </c>
    </row>
    <row r="2116" spans="1:13" x14ac:dyDescent="0.45">
      <c r="A2116" t="s">
        <v>2295</v>
      </c>
      <c r="B2116" s="18">
        <v>48.57</v>
      </c>
      <c r="C2116" s="18">
        <v>62.54</v>
      </c>
      <c r="D2116" s="18">
        <v>65.900000000000006</v>
      </c>
      <c r="E2116" s="18">
        <v>48.81</v>
      </c>
      <c r="F2116" s="18">
        <v>74.63</v>
      </c>
      <c r="G2116" s="18">
        <v>55.986499999999999</v>
      </c>
      <c r="H2116" s="18">
        <v>63.095024999999993</v>
      </c>
      <c r="I2116" s="8">
        <v>-0.22337703869523509</v>
      </c>
      <c r="J2116" s="8">
        <v>-0.26297420333839161</v>
      </c>
      <c r="K2116" s="8">
        <v>-4.9170251997542316E-3</v>
      </c>
      <c r="L2116" s="8">
        <v>-0.34918933404796992</v>
      </c>
      <c r="M2116" s="18">
        <v>-0.84045760128135083</v>
      </c>
    </row>
    <row r="2117" spans="1:13" x14ac:dyDescent="0.45">
      <c r="A2117" t="s">
        <v>573</v>
      </c>
      <c r="B2117" s="18">
        <v>5.91</v>
      </c>
      <c r="C2117" s="18">
        <v>6.14</v>
      </c>
      <c r="D2117" s="18">
        <v>7.17</v>
      </c>
      <c r="E2117" s="18">
        <v>5.94</v>
      </c>
      <c r="F2117" s="18">
        <v>7.2510000000000003</v>
      </c>
      <c r="G2117" s="18">
        <v>6.0932000000000004</v>
      </c>
      <c r="H2117" s="18">
        <v>6.770925000000001</v>
      </c>
      <c r="I2117" s="8">
        <v>-3.7459283387622062E-2</v>
      </c>
      <c r="J2117" s="8">
        <v>-0.1757322175732218</v>
      </c>
      <c r="K2117" s="8">
        <v>-5.050505050505083E-3</v>
      </c>
      <c r="L2117" s="8">
        <v>-0.18494000827472079</v>
      </c>
      <c r="M2117" s="18">
        <v>-0.4031820142860697</v>
      </c>
    </row>
    <row r="2118" spans="1:13" x14ac:dyDescent="0.45">
      <c r="A2118" t="s">
        <v>1437</v>
      </c>
      <c r="B2118" s="18">
        <v>36.049999999999997</v>
      </c>
      <c r="C2118" s="18">
        <v>36.049999999999997</v>
      </c>
      <c r="D2118" s="18">
        <v>42.62</v>
      </c>
      <c r="E2118" s="18">
        <v>36.24</v>
      </c>
      <c r="F2118" s="18">
        <v>65.72</v>
      </c>
      <c r="G2118" s="18">
        <v>37.437600000000003</v>
      </c>
      <c r="H2118" s="18">
        <v>42.856499999999997</v>
      </c>
      <c r="I2118" s="8">
        <v>0</v>
      </c>
      <c r="J2118" s="8">
        <v>-0.15415297982168</v>
      </c>
      <c r="K2118" s="8">
        <v>-5.2428256070641277E-3</v>
      </c>
      <c r="L2118" s="8">
        <v>-0.4514607425441266</v>
      </c>
      <c r="M2118" s="18">
        <v>-0.6108565479728707</v>
      </c>
    </row>
    <row r="2119" spans="1:13" x14ac:dyDescent="0.45">
      <c r="A2119" t="s">
        <v>137</v>
      </c>
      <c r="B2119" s="18">
        <v>26.25</v>
      </c>
      <c r="C2119" s="18">
        <v>29.42</v>
      </c>
      <c r="D2119" s="18">
        <v>27.62</v>
      </c>
      <c r="E2119" s="18">
        <v>26.39</v>
      </c>
      <c r="F2119" s="18">
        <v>21.91</v>
      </c>
      <c r="G2119" s="18">
        <v>28.4756</v>
      </c>
      <c r="H2119" s="18">
        <v>26.88495</v>
      </c>
      <c r="I2119" s="8">
        <v>-0.1077498300475868</v>
      </c>
      <c r="J2119" s="8">
        <v>-4.9601737871107887E-2</v>
      </c>
      <c r="K2119" s="8">
        <v>-5.3050397877983926E-3</v>
      </c>
      <c r="L2119" s="8">
        <v>0.19808306709265169</v>
      </c>
      <c r="M2119" s="18">
        <v>3.5426459386158633E-2</v>
      </c>
    </row>
    <row r="2120" spans="1:13" x14ac:dyDescent="0.45">
      <c r="A2120" t="s">
        <v>1978</v>
      </c>
      <c r="B2120" s="18">
        <v>25.35</v>
      </c>
      <c r="C2120" s="18">
        <v>25.75</v>
      </c>
      <c r="D2120" s="18">
        <v>25.28</v>
      </c>
      <c r="E2120" s="18">
        <v>25.49</v>
      </c>
      <c r="F2120" s="18">
        <v>25.8</v>
      </c>
      <c r="G2120" s="18">
        <v>25.464683999999998</v>
      </c>
      <c r="H2120" s="18">
        <v>25.408722000000001</v>
      </c>
      <c r="I2120" s="8">
        <v>-1.55339805825242E-2</v>
      </c>
      <c r="J2120" s="8">
        <v>2.7689873417722222E-3</v>
      </c>
      <c r="K2120" s="8">
        <v>-5.4923499411533294E-3</v>
      </c>
      <c r="L2120" s="8">
        <v>-1.7441860465116199E-2</v>
      </c>
      <c r="M2120" s="18">
        <v>-3.5699203647021498E-2</v>
      </c>
    </row>
    <row r="2121" spans="1:13" x14ac:dyDescent="0.45">
      <c r="A2121" t="s">
        <v>163</v>
      </c>
      <c r="B2121" s="18">
        <v>23.375</v>
      </c>
      <c r="C2121" s="18">
        <v>25.39</v>
      </c>
      <c r="D2121" s="18">
        <v>31.51</v>
      </c>
      <c r="E2121" s="18">
        <v>23.51</v>
      </c>
      <c r="F2121" s="18">
        <v>44.47</v>
      </c>
      <c r="G2121" s="18">
        <v>25.837399999999999</v>
      </c>
      <c r="H2121" s="18">
        <v>28.948425</v>
      </c>
      <c r="I2121" s="8">
        <v>-7.9361953525009854E-2</v>
      </c>
      <c r="J2121" s="8">
        <v>-0.25817200888606789</v>
      </c>
      <c r="K2121" s="8">
        <v>-5.7422373458103637E-3</v>
      </c>
      <c r="L2121" s="8">
        <v>-0.47436474027434228</v>
      </c>
      <c r="M2121" s="18">
        <v>-0.81764094003123045</v>
      </c>
    </row>
    <row r="2122" spans="1:13" x14ac:dyDescent="0.45">
      <c r="A2122" t="s">
        <v>603</v>
      </c>
      <c r="B2122" s="18">
        <v>32.61</v>
      </c>
      <c r="C2122" s="18">
        <v>34.64</v>
      </c>
      <c r="D2122" s="18">
        <v>35.729999999999997</v>
      </c>
      <c r="E2122" s="18">
        <v>32.799999999999997</v>
      </c>
      <c r="F2122" s="18">
        <v>38.340000000000003</v>
      </c>
      <c r="G2122" s="18">
        <v>34.187399999999997</v>
      </c>
      <c r="H2122" s="18">
        <v>35.797699999999999</v>
      </c>
      <c r="I2122" s="8">
        <v>-5.8602771362586632E-2</v>
      </c>
      <c r="J2122" s="8">
        <v>-8.732157850545752E-2</v>
      </c>
      <c r="K2122" s="8">
        <v>-5.7926829268292179E-3</v>
      </c>
      <c r="L2122" s="8">
        <v>-0.14945226917057911</v>
      </c>
      <c r="M2122" s="18">
        <v>-0.30116930196545239</v>
      </c>
    </row>
    <row r="2123" spans="1:13" x14ac:dyDescent="0.45">
      <c r="A2123" t="s">
        <v>721</v>
      </c>
      <c r="B2123" s="18">
        <v>13.69</v>
      </c>
      <c r="C2123" s="18">
        <v>15.6</v>
      </c>
      <c r="D2123" s="18">
        <v>15.41</v>
      </c>
      <c r="E2123" s="18">
        <v>13.77</v>
      </c>
      <c r="F2123" s="18">
        <v>16.809999999999999</v>
      </c>
      <c r="G2123" s="18">
        <v>14.9716</v>
      </c>
      <c r="H2123" s="18">
        <v>15.9857</v>
      </c>
      <c r="I2123" s="8">
        <v>-0.1224358974358974</v>
      </c>
      <c r="J2123" s="8">
        <v>-0.1116158338741078</v>
      </c>
      <c r="K2123" s="8">
        <v>-5.8097312999273454E-3</v>
      </c>
      <c r="L2123" s="8">
        <v>-0.18560380725758471</v>
      </c>
      <c r="M2123" s="18">
        <v>-0.42546526986751732</v>
      </c>
    </row>
    <row r="2124" spans="1:13" x14ac:dyDescent="0.45">
      <c r="A2124" t="s">
        <v>632</v>
      </c>
      <c r="B2124" s="18">
        <v>6.83</v>
      </c>
      <c r="C2124" s="18">
        <v>6.9</v>
      </c>
      <c r="D2124" s="18">
        <v>7.59</v>
      </c>
      <c r="E2124" s="18">
        <v>6.87</v>
      </c>
      <c r="F2124" s="18">
        <v>9.66</v>
      </c>
      <c r="G2124" s="18">
        <v>6.9189999999999996</v>
      </c>
      <c r="H2124" s="18">
        <v>7.4738499999999997</v>
      </c>
      <c r="I2124" s="8">
        <v>-1.014492753623197E-2</v>
      </c>
      <c r="J2124" s="8">
        <v>-0.1001317523056653</v>
      </c>
      <c r="K2124" s="8">
        <v>-5.8224163027656983E-3</v>
      </c>
      <c r="L2124" s="8">
        <v>-0.29296066252587988</v>
      </c>
      <c r="M2124" s="18">
        <v>-0.40905975867054289</v>
      </c>
    </row>
    <row r="2125" spans="1:13" x14ac:dyDescent="0.45">
      <c r="A2125" t="s">
        <v>2100</v>
      </c>
      <c r="B2125" s="18">
        <v>24.8</v>
      </c>
      <c r="C2125" s="18">
        <v>24.583400000000001</v>
      </c>
      <c r="D2125" s="18">
        <v>24.889900000000001</v>
      </c>
      <c r="E2125" s="18">
        <v>24.95</v>
      </c>
      <c r="F2125" s="18">
        <v>25.4</v>
      </c>
      <c r="G2125" s="18">
        <v>24.583227999999998</v>
      </c>
      <c r="H2125" s="18">
        <v>24.768401000000001</v>
      </c>
      <c r="I2125" s="8">
        <v>8.8108235638681975E-3</v>
      </c>
      <c r="J2125" s="8">
        <v>-3.6119068377132861E-3</v>
      </c>
      <c r="K2125" s="8">
        <v>-6.0120240480960874E-3</v>
      </c>
      <c r="L2125" s="8">
        <v>-2.362204724409445E-2</v>
      </c>
      <c r="M2125" s="18">
        <v>-2.4435154566035618E-2</v>
      </c>
    </row>
    <row r="2126" spans="1:13" x14ac:dyDescent="0.45">
      <c r="A2126" t="s">
        <v>1306</v>
      </c>
      <c r="B2126" s="18">
        <v>4.72</v>
      </c>
      <c r="C2126" s="18">
        <v>4.82</v>
      </c>
      <c r="D2126" s="18">
        <v>4.3600000000000003</v>
      </c>
      <c r="E2126" s="18">
        <v>4.75</v>
      </c>
      <c r="F2126" s="18">
        <v>7.54</v>
      </c>
      <c r="G2126" s="18">
        <v>4.7644000000000002</v>
      </c>
      <c r="H2126" s="18">
        <v>5.2103000000000002</v>
      </c>
      <c r="I2126" s="8">
        <v>-2.0746887966805131E-2</v>
      </c>
      <c r="J2126" s="8">
        <v>8.256880733944949E-2</v>
      </c>
      <c r="K2126" s="8">
        <v>-6.3157894736842746E-3</v>
      </c>
      <c r="L2126" s="8">
        <v>-0.37400530503978779</v>
      </c>
      <c r="M2126" s="18">
        <v>-0.31849917514082771</v>
      </c>
    </row>
    <row r="2127" spans="1:13" x14ac:dyDescent="0.45">
      <c r="A2127" t="s">
        <v>517</v>
      </c>
      <c r="B2127" s="18">
        <v>143.49</v>
      </c>
      <c r="C2127" s="18">
        <v>149.79</v>
      </c>
      <c r="D2127" s="18">
        <v>158.80000000000001</v>
      </c>
      <c r="E2127" s="18">
        <v>144.41</v>
      </c>
      <c r="F2127" s="18">
        <v>190.03</v>
      </c>
      <c r="G2127" s="18">
        <v>149.27119999999999</v>
      </c>
      <c r="H2127" s="18">
        <v>158.33314999999999</v>
      </c>
      <c r="I2127" s="8">
        <v>-4.205888243540945E-2</v>
      </c>
      <c r="J2127" s="8">
        <v>-9.6410579345088121E-2</v>
      </c>
      <c r="K2127" s="8">
        <v>-6.3707499480644136E-3</v>
      </c>
      <c r="L2127" s="8">
        <v>-0.24490869862653261</v>
      </c>
      <c r="M2127" s="18">
        <v>-0.38974891035509462</v>
      </c>
    </row>
    <row r="2128" spans="1:13" x14ac:dyDescent="0.45">
      <c r="A2128" t="s">
        <v>1688</v>
      </c>
      <c r="B2128" s="18">
        <v>13.21</v>
      </c>
      <c r="C2128" s="18">
        <v>13.57</v>
      </c>
      <c r="D2128" s="18">
        <v>14.7</v>
      </c>
      <c r="E2128" s="18">
        <v>13.3</v>
      </c>
      <c r="F2128" s="18">
        <v>16.57</v>
      </c>
      <c r="G2128" s="18">
        <v>13.877000000000001</v>
      </c>
      <c r="H2128" s="18">
        <v>14.760400000000001</v>
      </c>
      <c r="I2128" s="8">
        <v>-2.6529108327192241E-2</v>
      </c>
      <c r="J2128" s="8">
        <v>-0.10136054421768689</v>
      </c>
      <c r="K2128" s="8">
        <v>-6.7669172932330879E-3</v>
      </c>
      <c r="L2128" s="8">
        <v>-0.20277610138805069</v>
      </c>
      <c r="M2128" s="18">
        <v>-0.33743267122616288</v>
      </c>
    </row>
    <row r="2129" spans="1:13" x14ac:dyDescent="0.45">
      <c r="A2129" t="s">
        <v>751</v>
      </c>
      <c r="B2129" s="18">
        <v>10.06</v>
      </c>
      <c r="C2129" s="18">
        <v>9.8699999999999992</v>
      </c>
      <c r="D2129" s="18">
        <v>9.68</v>
      </c>
      <c r="E2129" s="18">
        <v>10.130000000000001</v>
      </c>
      <c r="F2129" s="18">
        <v>11.77</v>
      </c>
      <c r="G2129" s="18">
        <v>9.7704000000000004</v>
      </c>
      <c r="H2129" s="18">
        <v>10.1255205</v>
      </c>
      <c r="I2129" s="8">
        <v>1.9250253292806722E-2</v>
      </c>
      <c r="J2129" s="8">
        <v>3.9256198347107578E-2</v>
      </c>
      <c r="K2129" s="8">
        <v>-6.9101678183612902E-3</v>
      </c>
      <c r="L2129" s="8">
        <v>-0.14528462192013589</v>
      </c>
      <c r="M2129" s="18">
        <v>-9.3688338098582902E-2</v>
      </c>
    </row>
    <row r="2130" spans="1:13" x14ac:dyDescent="0.45">
      <c r="A2130" t="s">
        <v>1320</v>
      </c>
      <c r="B2130" s="18">
        <v>9.6681000000000008</v>
      </c>
      <c r="C2130" s="18">
        <v>9.32</v>
      </c>
      <c r="D2130" s="18">
        <v>9.6446000000000005</v>
      </c>
      <c r="E2130" s="18">
        <v>9.74</v>
      </c>
      <c r="F2130" s="18">
        <v>9.1</v>
      </c>
      <c r="G2130" s="18">
        <v>9.4615099999999988</v>
      </c>
      <c r="H2130" s="18">
        <v>9.552073</v>
      </c>
      <c r="I2130" s="8">
        <v>3.7349785407725378E-2</v>
      </c>
      <c r="J2130" s="8">
        <v>2.4365966447545961E-3</v>
      </c>
      <c r="K2130" s="8">
        <v>-7.3819301848048191E-3</v>
      </c>
      <c r="L2130" s="8">
        <v>6.24285714285715E-2</v>
      </c>
      <c r="M2130" s="18">
        <v>9.4833023296246655E-2</v>
      </c>
    </row>
    <row r="2131" spans="1:13" x14ac:dyDescent="0.45">
      <c r="A2131" t="s">
        <v>1218</v>
      </c>
      <c r="B2131" s="18">
        <v>3.88</v>
      </c>
      <c r="C2131" s="18">
        <v>3.85</v>
      </c>
      <c r="D2131" s="18">
        <v>4.1100000000000003</v>
      </c>
      <c r="E2131" s="18">
        <v>3.91</v>
      </c>
      <c r="F2131" s="18">
        <v>6.04</v>
      </c>
      <c r="G2131" s="18">
        <v>3.8719999999999999</v>
      </c>
      <c r="H2131" s="18">
        <v>4.2766999999999999</v>
      </c>
      <c r="I2131" s="8">
        <v>7.7922077922076838E-3</v>
      </c>
      <c r="J2131" s="8">
        <v>-5.5961070559610859E-2</v>
      </c>
      <c r="K2131" s="8">
        <v>-7.6726342710997653E-3</v>
      </c>
      <c r="L2131" s="8">
        <v>-0.35761589403973509</v>
      </c>
      <c r="M2131" s="18">
        <v>-0.41345739107823809</v>
      </c>
    </row>
    <row r="2132" spans="1:13" x14ac:dyDescent="0.45">
      <c r="A2132" t="s">
        <v>473</v>
      </c>
      <c r="B2132" s="18">
        <v>517.57000000000005</v>
      </c>
      <c r="C2132" s="18">
        <v>558.41</v>
      </c>
      <c r="D2132" s="18">
        <v>559.9</v>
      </c>
      <c r="E2132" s="18">
        <v>521.67999999999995</v>
      </c>
      <c r="F2132" s="18">
        <v>579.45000000000005</v>
      </c>
      <c r="G2132" s="18">
        <v>551.72540000000004</v>
      </c>
      <c r="H2132" s="18">
        <v>571.99609999999996</v>
      </c>
      <c r="I2132" s="8">
        <v>-7.3136226070449895E-2</v>
      </c>
      <c r="J2132" s="8">
        <v>-7.560278621182337E-2</v>
      </c>
      <c r="K2132" s="8">
        <v>-7.8783928845267415E-3</v>
      </c>
      <c r="L2132" s="8">
        <v>-0.1067909224264388</v>
      </c>
      <c r="M2132" s="18">
        <v>-0.26340832759323879</v>
      </c>
    </row>
    <row r="2133" spans="1:13" x14ac:dyDescent="0.45">
      <c r="A2133" t="s">
        <v>1782</v>
      </c>
      <c r="B2133" s="18">
        <v>46.48</v>
      </c>
      <c r="C2133" s="18">
        <v>46.52</v>
      </c>
      <c r="D2133" s="18">
        <v>46.01</v>
      </c>
      <c r="E2133" s="18">
        <v>46.85</v>
      </c>
      <c r="F2133" s="18">
        <v>45.9</v>
      </c>
      <c r="G2133" s="18">
        <v>46.957599999999992</v>
      </c>
      <c r="H2133" s="18">
        <v>46.930399999999999</v>
      </c>
      <c r="I2133" s="8">
        <v>-8.5984522785909068E-4</v>
      </c>
      <c r="J2133" s="8">
        <v>1.02151706150837E-2</v>
      </c>
      <c r="K2133" s="8">
        <v>-7.8975453575240717E-3</v>
      </c>
      <c r="L2133" s="8">
        <v>1.2636165577341931E-2</v>
      </c>
      <c r="M2133" s="18">
        <v>1.409394560704247E-2</v>
      </c>
    </row>
    <row r="2134" spans="1:13" x14ac:dyDescent="0.45">
      <c r="A2134" t="s">
        <v>2261</v>
      </c>
      <c r="B2134" s="18">
        <v>49.97</v>
      </c>
      <c r="C2134" s="18">
        <v>51.1</v>
      </c>
      <c r="D2134" s="18">
        <v>52.73</v>
      </c>
      <c r="E2134" s="18">
        <v>50.38</v>
      </c>
      <c r="F2134" s="18">
        <v>53.42</v>
      </c>
      <c r="G2134" s="18">
        <v>51.314999999999998</v>
      </c>
      <c r="H2134" s="18">
        <v>54.300849999999997</v>
      </c>
      <c r="I2134" s="8">
        <v>-2.21135029354208E-2</v>
      </c>
      <c r="J2134" s="8">
        <v>-5.2342120235160161E-2</v>
      </c>
      <c r="K2134" s="8">
        <v>-8.1381500595475442E-3</v>
      </c>
      <c r="L2134" s="8">
        <v>-6.4582553350804983E-2</v>
      </c>
      <c r="M2134" s="18">
        <v>-0.14717632658093349</v>
      </c>
    </row>
    <row r="2135" spans="1:13" x14ac:dyDescent="0.45">
      <c r="A2135" t="s">
        <v>425</v>
      </c>
      <c r="B2135" s="18">
        <v>225.35</v>
      </c>
      <c r="C2135" s="18">
        <v>229.07</v>
      </c>
      <c r="D2135" s="18">
        <v>240.09</v>
      </c>
      <c r="E2135" s="18">
        <v>227.2</v>
      </c>
      <c r="F2135" s="18">
        <v>200.67</v>
      </c>
      <c r="G2135" s="18">
        <v>230.46100000000001</v>
      </c>
      <c r="H2135" s="18">
        <v>233.80045000000001</v>
      </c>
      <c r="I2135" s="8">
        <v>-1.6239577421748749E-2</v>
      </c>
      <c r="J2135" s="8">
        <v>-6.1393644050147911E-2</v>
      </c>
      <c r="K2135" s="8">
        <v>-8.1426056338027575E-3</v>
      </c>
      <c r="L2135" s="8">
        <v>0.1229879902327204</v>
      </c>
      <c r="M2135" s="18">
        <v>3.7212163127021032E-2</v>
      </c>
    </row>
    <row r="2136" spans="1:13" x14ac:dyDescent="0.45">
      <c r="A2136" t="s">
        <v>1324</v>
      </c>
      <c r="B2136" s="18">
        <v>23</v>
      </c>
      <c r="C2136" s="18">
        <v>22.8</v>
      </c>
      <c r="D2136" s="18">
        <v>22.5</v>
      </c>
      <c r="E2136" s="18">
        <v>23.19</v>
      </c>
      <c r="F2136" s="18">
        <v>23.05</v>
      </c>
      <c r="G2136" s="18">
        <v>22.863562000000002</v>
      </c>
      <c r="H2136" s="18">
        <v>22.812693500000002</v>
      </c>
      <c r="I2136" s="8">
        <v>8.7719298245614308E-3</v>
      </c>
      <c r="J2136" s="8">
        <v>2.222222222222214E-2</v>
      </c>
      <c r="K2136" s="8">
        <v>-8.1931867184131812E-3</v>
      </c>
      <c r="L2136" s="8">
        <v>-2.1691973969631961E-3</v>
      </c>
      <c r="M2136" s="18">
        <v>2.06317679314072E-2</v>
      </c>
    </row>
    <row r="2137" spans="1:13" x14ac:dyDescent="0.45">
      <c r="A2137" t="s">
        <v>2483</v>
      </c>
      <c r="B2137" s="18">
        <v>82.37</v>
      </c>
      <c r="C2137" s="18">
        <v>86.01</v>
      </c>
      <c r="D2137" s="18">
        <v>86.48</v>
      </c>
      <c r="E2137" s="18">
        <v>83.08</v>
      </c>
      <c r="F2137" s="18">
        <v>147.80000000000001</v>
      </c>
      <c r="G2137" s="18">
        <v>82.979200000000006</v>
      </c>
      <c r="H2137" s="18">
        <v>92.240799999999993</v>
      </c>
      <c r="I2137" s="8">
        <v>-4.2320660388326943E-2</v>
      </c>
      <c r="J2137" s="8">
        <v>-4.7525439407955623E-2</v>
      </c>
      <c r="K2137" s="8">
        <v>-8.5459797785266689E-3</v>
      </c>
      <c r="L2137" s="8">
        <v>-0.44269282814614341</v>
      </c>
      <c r="M2137" s="18">
        <v>-0.54108490772095263</v>
      </c>
    </row>
    <row r="2138" spans="1:13" x14ac:dyDescent="0.45">
      <c r="A2138" t="s">
        <v>1064</v>
      </c>
      <c r="B2138" s="18">
        <v>9.15</v>
      </c>
      <c r="C2138" s="18">
        <v>9.1199999999999992</v>
      </c>
      <c r="D2138" s="18">
        <v>8.99</v>
      </c>
      <c r="E2138" s="18">
        <v>9.23</v>
      </c>
      <c r="F2138" s="18">
        <v>11.99</v>
      </c>
      <c r="G2138" s="18">
        <v>9.1</v>
      </c>
      <c r="H2138" s="18">
        <v>10.03295</v>
      </c>
      <c r="I2138" s="8">
        <v>3.2894736842106198E-3</v>
      </c>
      <c r="J2138" s="8">
        <v>1.7797552836485101E-2</v>
      </c>
      <c r="K2138" s="8">
        <v>-8.6673889490791467E-3</v>
      </c>
      <c r="L2138" s="8">
        <v>-0.2368640533778148</v>
      </c>
      <c r="M2138" s="18">
        <v>-0.2244444158061982</v>
      </c>
    </row>
    <row r="2139" spans="1:13" x14ac:dyDescent="0.45">
      <c r="A2139" t="s">
        <v>875</v>
      </c>
      <c r="B2139" s="18">
        <v>25.14</v>
      </c>
      <c r="C2139" s="18">
        <v>25.42</v>
      </c>
      <c r="D2139" s="18">
        <v>25.71</v>
      </c>
      <c r="E2139" s="18">
        <v>25.37</v>
      </c>
      <c r="F2139" s="18">
        <v>25.83</v>
      </c>
      <c r="G2139" s="18">
        <v>25.475622000000001</v>
      </c>
      <c r="H2139" s="18">
        <v>25.679797000000001</v>
      </c>
      <c r="I2139" s="8">
        <v>-1.1014948859166099E-2</v>
      </c>
      <c r="J2139" s="8">
        <v>-2.217036172695452E-2</v>
      </c>
      <c r="K2139" s="8">
        <v>-9.0658257784785867E-3</v>
      </c>
      <c r="L2139" s="8">
        <v>-2.6713124274099779E-2</v>
      </c>
      <c r="M2139" s="18">
        <v>-6.8964260638698982E-2</v>
      </c>
    </row>
    <row r="2140" spans="1:13" x14ac:dyDescent="0.45">
      <c r="A2140" t="s">
        <v>1015</v>
      </c>
      <c r="B2140" s="18">
        <v>46.81</v>
      </c>
      <c r="C2140" s="18">
        <v>46.29</v>
      </c>
      <c r="D2140" s="18">
        <v>46.29</v>
      </c>
      <c r="E2140" s="18">
        <v>47.24</v>
      </c>
      <c r="F2140" s="18">
        <v>53.08</v>
      </c>
      <c r="G2140" s="18">
        <v>46.16</v>
      </c>
      <c r="H2140" s="18">
        <v>46.384099999999997</v>
      </c>
      <c r="I2140" s="8">
        <v>1.1233527759775489E-2</v>
      </c>
      <c r="J2140" s="8">
        <v>1.1233527759775489E-2</v>
      </c>
      <c r="K2140" s="8">
        <v>-9.1024555461473033E-3</v>
      </c>
      <c r="L2140" s="8">
        <v>-0.1181235870384325</v>
      </c>
      <c r="M2140" s="18">
        <v>-0.1047589870650288</v>
      </c>
    </row>
    <row r="2141" spans="1:13" x14ac:dyDescent="0.45">
      <c r="A2141" t="s">
        <v>1355</v>
      </c>
      <c r="B2141" s="18">
        <v>9.76</v>
      </c>
      <c r="C2141" s="18">
        <v>11.4</v>
      </c>
      <c r="D2141" s="18">
        <v>11.72</v>
      </c>
      <c r="E2141" s="18">
        <v>9.85</v>
      </c>
      <c r="F2141" s="18">
        <v>13.72</v>
      </c>
      <c r="G2141" s="18">
        <v>11.0662</v>
      </c>
      <c r="H2141" s="18">
        <v>11.61515</v>
      </c>
      <c r="I2141" s="8">
        <v>-0.14385964912280699</v>
      </c>
      <c r="J2141" s="8">
        <v>-0.16723549488054609</v>
      </c>
      <c r="K2141" s="8">
        <v>-9.1370558375634126E-3</v>
      </c>
      <c r="L2141" s="8">
        <v>-0.28862973760932947</v>
      </c>
      <c r="M2141" s="18">
        <v>-0.60886193745024608</v>
      </c>
    </row>
    <row r="2142" spans="1:13" x14ac:dyDescent="0.45">
      <c r="A2142" t="s">
        <v>2390</v>
      </c>
      <c r="B2142" s="18">
        <v>24.25</v>
      </c>
      <c r="C2142" s="18">
        <v>24.28</v>
      </c>
      <c r="D2142" s="18">
        <v>23.61</v>
      </c>
      <c r="E2142" s="18">
        <v>24.5</v>
      </c>
      <c r="F2142" s="18">
        <v>25.33</v>
      </c>
      <c r="G2142" s="18">
        <v>24.066904000000001</v>
      </c>
      <c r="H2142" s="18">
        <v>24.191734</v>
      </c>
      <c r="I2142" s="8">
        <v>-1.2355848434926211E-3</v>
      </c>
      <c r="J2142" s="8">
        <v>2.7107157983905061E-2</v>
      </c>
      <c r="K2142" s="8">
        <v>-1.0204081632653071E-2</v>
      </c>
      <c r="L2142" s="8">
        <v>-4.2637189103829409E-2</v>
      </c>
      <c r="M2142" s="18">
        <v>-2.6969697596070041E-2</v>
      </c>
    </row>
    <row r="2143" spans="1:13" x14ac:dyDescent="0.45">
      <c r="A2143" t="s">
        <v>604</v>
      </c>
      <c r="B2143" s="18">
        <v>19.27</v>
      </c>
      <c r="C2143" s="18">
        <v>20.83</v>
      </c>
      <c r="D2143" s="18">
        <v>22.1</v>
      </c>
      <c r="E2143" s="18">
        <v>19.47</v>
      </c>
      <c r="F2143" s="18">
        <v>38.32</v>
      </c>
      <c r="G2143" s="18">
        <v>19.129200000000001</v>
      </c>
      <c r="H2143" s="18">
        <v>21.93515</v>
      </c>
      <c r="I2143" s="8">
        <v>-7.489198271723474E-2</v>
      </c>
      <c r="J2143" s="8">
        <v>-0.12805429864253401</v>
      </c>
      <c r="K2143" s="8">
        <v>-1.027221366204412E-2</v>
      </c>
      <c r="L2143" s="8">
        <v>-0.49712943632567852</v>
      </c>
      <c r="M2143" s="18">
        <v>-0.71034793134749141</v>
      </c>
    </row>
    <row r="2144" spans="1:13" x14ac:dyDescent="0.45">
      <c r="A2144" t="s">
        <v>79</v>
      </c>
      <c r="B2144" s="18">
        <v>138.84</v>
      </c>
      <c r="C2144" s="18">
        <v>143.1</v>
      </c>
      <c r="D2144" s="18">
        <v>136.08000000000001</v>
      </c>
      <c r="E2144" s="18">
        <v>140.30000000000001</v>
      </c>
      <c r="F2144" s="18">
        <v>167.97</v>
      </c>
      <c r="G2144" s="18">
        <v>144.0658</v>
      </c>
      <c r="H2144" s="18">
        <v>142.42812499999999</v>
      </c>
      <c r="I2144" s="8">
        <v>-2.97693920335429E-2</v>
      </c>
      <c r="J2144" s="8">
        <v>2.0282186948853639E-2</v>
      </c>
      <c r="K2144" s="8">
        <v>-1.040627227369928E-2</v>
      </c>
      <c r="L2144" s="8">
        <v>-0.1734238256831577</v>
      </c>
      <c r="M2144" s="18">
        <v>-0.19331730304154629</v>
      </c>
    </row>
    <row r="2145" spans="1:13" x14ac:dyDescent="0.45">
      <c r="A2145" t="s">
        <v>2441</v>
      </c>
      <c r="B2145" s="18">
        <v>14.57</v>
      </c>
      <c r="C2145" s="18">
        <v>16.149999999999999</v>
      </c>
      <c r="D2145" s="18">
        <v>14.77</v>
      </c>
      <c r="E2145" s="18">
        <v>14.73</v>
      </c>
      <c r="F2145" s="18">
        <v>17.489999999999998</v>
      </c>
      <c r="G2145" s="18">
        <v>14.968</v>
      </c>
      <c r="H2145" s="18">
        <v>15.47705</v>
      </c>
      <c r="I2145" s="8">
        <v>-9.7832817337461186E-2</v>
      </c>
      <c r="J2145" s="8">
        <v>-1.354096140825989E-2</v>
      </c>
      <c r="K2145" s="8">
        <v>-1.086218601493549E-2</v>
      </c>
      <c r="L2145" s="8">
        <v>-0.16695254431103479</v>
      </c>
      <c r="M2145" s="18">
        <v>-0.28918850907169141</v>
      </c>
    </row>
    <row r="2146" spans="1:13" x14ac:dyDescent="0.45">
      <c r="A2146" t="s">
        <v>1567</v>
      </c>
      <c r="B2146" s="18">
        <v>26.188700000000001</v>
      </c>
      <c r="C2146" s="18">
        <v>26.041</v>
      </c>
      <c r="D2146" s="18">
        <v>26.05</v>
      </c>
      <c r="E2146" s="18">
        <v>26.477900000000002</v>
      </c>
      <c r="F2146" s="18">
        <v>26.55</v>
      </c>
      <c r="G2146" s="18">
        <v>26.099422000000001</v>
      </c>
      <c r="H2146" s="18">
        <v>26.426874999999999</v>
      </c>
      <c r="I2146" s="8">
        <v>5.6718251987251112E-3</v>
      </c>
      <c r="J2146" s="8">
        <v>5.324376199616232E-3</v>
      </c>
      <c r="K2146" s="8">
        <v>-1.092231634684027E-2</v>
      </c>
      <c r="L2146" s="8">
        <v>-1.3608286252353999E-2</v>
      </c>
      <c r="M2146" s="18">
        <v>-1.3534401200852921E-2</v>
      </c>
    </row>
    <row r="2147" spans="1:13" x14ac:dyDescent="0.45">
      <c r="A2147" t="s">
        <v>1977</v>
      </c>
      <c r="B2147" s="18">
        <v>12.55</v>
      </c>
      <c r="C2147" s="18">
        <v>12.39</v>
      </c>
      <c r="D2147" s="18">
        <v>13.14</v>
      </c>
      <c r="E2147" s="18">
        <v>12.69</v>
      </c>
      <c r="F2147" s="18">
        <v>14.29</v>
      </c>
      <c r="G2147" s="18">
        <v>12.2058</v>
      </c>
      <c r="H2147" s="18">
        <v>12.899900000000001</v>
      </c>
      <c r="I2147" s="8">
        <v>1.2913640032284009E-2</v>
      </c>
      <c r="J2147" s="8">
        <v>-4.4901065449010617E-2</v>
      </c>
      <c r="K2147" s="8">
        <v>-1.103230890464924E-2</v>
      </c>
      <c r="L2147" s="8">
        <v>-0.1217634709587123</v>
      </c>
      <c r="M2147" s="18">
        <v>-0.16478320528008819</v>
      </c>
    </row>
    <row r="2148" spans="1:13" x14ac:dyDescent="0.45">
      <c r="A2148" t="s">
        <v>2093</v>
      </c>
      <c r="B2148" s="18">
        <v>14.81</v>
      </c>
      <c r="C2148" s="18">
        <v>14.8</v>
      </c>
      <c r="D2148" s="18">
        <v>14.71</v>
      </c>
      <c r="E2148" s="18">
        <v>15</v>
      </c>
      <c r="F2148" s="18">
        <v>15.54</v>
      </c>
      <c r="G2148" s="18">
        <v>14.732177999999999</v>
      </c>
      <c r="H2148" s="18">
        <v>14.950296939999999</v>
      </c>
      <c r="I2148" s="8">
        <v>6.7567567567561326E-4</v>
      </c>
      <c r="J2148" s="8">
        <v>6.7980965329708098E-3</v>
      </c>
      <c r="K2148" s="8">
        <v>-1.26666666666666E-2</v>
      </c>
      <c r="L2148" s="8">
        <v>-4.6975546975546838E-2</v>
      </c>
      <c r="M2148" s="18">
        <v>-5.2168441433567032E-2</v>
      </c>
    </row>
    <row r="2149" spans="1:13" x14ac:dyDescent="0.45">
      <c r="A2149" t="s">
        <v>834</v>
      </c>
      <c r="B2149" s="18">
        <v>11.59</v>
      </c>
      <c r="C2149" s="18">
        <v>12.54</v>
      </c>
      <c r="D2149" s="18">
        <v>14.59</v>
      </c>
      <c r="E2149" s="18">
        <v>11.74</v>
      </c>
      <c r="F2149" s="18">
        <v>13.29</v>
      </c>
      <c r="G2149" s="18">
        <v>12.925800000000001</v>
      </c>
      <c r="H2149" s="18">
        <v>13.40465</v>
      </c>
      <c r="I2149" s="8">
        <v>-7.575757575757569E-2</v>
      </c>
      <c r="J2149" s="8">
        <v>-0.205620287868403</v>
      </c>
      <c r="K2149" s="8">
        <v>-1.2776831345826301E-2</v>
      </c>
      <c r="L2149" s="8">
        <v>-0.12791572610985699</v>
      </c>
      <c r="M2149" s="18">
        <v>-0.42207042108166198</v>
      </c>
    </row>
    <row r="2150" spans="1:13" x14ac:dyDescent="0.45">
      <c r="A2150" t="s">
        <v>1470</v>
      </c>
      <c r="B2150" s="18">
        <v>121.64</v>
      </c>
      <c r="C2150" s="18">
        <v>127.07</v>
      </c>
      <c r="D2150" s="18">
        <v>136.35</v>
      </c>
      <c r="E2150" s="18">
        <v>123.22</v>
      </c>
      <c r="F2150" s="18">
        <v>135.1</v>
      </c>
      <c r="G2150" s="18">
        <v>125.5064</v>
      </c>
      <c r="H2150" s="18">
        <v>131.88409999999999</v>
      </c>
      <c r="I2150" s="8">
        <v>-4.2732352246793059E-2</v>
      </c>
      <c r="J2150" s="8">
        <v>-0.1078841217455079</v>
      </c>
      <c r="K2150" s="8">
        <v>-1.282259373478334E-2</v>
      </c>
      <c r="L2150" s="8">
        <v>-9.9629903774981488E-2</v>
      </c>
      <c r="M2150" s="18">
        <v>-0.26306897150206582</v>
      </c>
    </row>
    <row r="2151" spans="1:13" x14ac:dyDescent="0.45">
      <c r="A2151" t="s">
        <v>1483</v>
      </c>
      <c r="B2151" s="18">
        <v>105.36</v>
      </c>
      <c r="C2151" s="18">
        <v>105.52</v>
      </c>
      <c r="D2151" s="18">
        <v>121.77</v>
      </c>
      <c r="E2151" s="18">
        <v>106.73</v>
      </c>
      <c r="F2151" s="18">
        <v>129.11000000000001</v>
      </c>
      <c r="G2151" s="18">
        <v>105.426</v>
      </c>
      <c r="H2151" s="18">
        <v>119.58369999999999</v>
      </c>
      <c r="I2151" s="8">
        <v>-1.5163002274449779E-3</v>
      </c>
      <c r="J2151" s="8">
        <v>-0.13476225671347619</v>
      </c>
      <c r="K2151" s="8">
        <v>-1.2836128548674219E-2</v>
      </c>
      <c r="L2151" s="8">
        <v>-0.1839516691193557</v>
      </c>
      <c r="M2151" s="18">
        <v>-0.33306635460895112</v>
      </c>
    </row>
    <row r="2152" spans="1:13" x14ac:dyDescent="0.45">
      <c r="A2152" t="s">
        <v>983</v>
      </c>
      <c r="B2152" s="18">
        <v>4.38</v>
      </c>
      <c r="C2152" s="18">
        <v>5.29</v>
      </c>
      <c r="D2152" s="18">
        <v>4.68</v>
      </c>
      <c r="E2152" s="18">
        <v>4.4400000000000004</v>
      </c>
      <c r="F2152" s="18">
        <v>9.6300000000000008</v>
      </c>
      <c r="G2152" s="18">
        <v>4.617</v>
      </c>
      <c r="H2152" s="18">
        <v>5.0804</v>
      </c>
      <c r="I2152" s="8">
        <v>-0.17202268431001891</v>
      </c>
      <c r="J2152" s="8">
        <v>-6.4102564102564097E-2</v>
      </c>
      <c r="K2152" s="8">
        <v>-1.3513513513513599E-2</v>
      </c>
      <c r="L2152" s="8">
        <v>-0.54517133956386299</v>
      </c>
      <c r="M2152" s="18">
        <v>-0.79481010148995956</v>
      </c>
    </row>
    <row r="2153" spans="1:13" x14ac:dyDescent="0.45">
      <c r="A2153" t="s">
        <v>1576</v>
      </c>
      <c r="B2153" s="18">
        <v>2.15</v>
      </c>
      <c r="C2153" s="18">
        <v>2.25</v>
      </c>
      <c r="D2153" s="18">
        <v>2.4500000000000002</v>
      </c>
      <c r="E2153" s="18">
        <v>2.1800000000000002</v>
      </c>
      <c r="F2153" s="18">
        <v>1.59</v>
      </c>
      <c r="G2153" s="18">
        <v>2.1692200000000001</v>
      </c>
      <c r="H2153" s="18">
        <v>2.1434505000000001</v>
      </c>
      <c r="I2153" s="8">
        <v>-4.4444444444444509E-2</v>
      </c>
      <c r="J2153" s="8">
        <v>-0.1224489795918369</v>
      </c>
      <c r="K2153" s="8">
        <v>-1.37614678899084E-2</v>
      </c>
      <c r="L2153" s="8">
        <v>0.35220125786163509</v>
      </c>
      <c r="M2153" s="18">
        <v>0.17154636593544539</v>
      </c>
    </row>
    <row r="2154" spans="1:13" x14ac:dyDescent="0.45">
      <c r="A2154" t="s">
        <v>1321</v>
      </c>
      <c r="B2154" s="18">
        <v>24.85</v>
      </c>
      <c r="C2154" s="18">
        <v>24.66</v>
      </c>
      <c r="D2154" s="18">
        <v>24.89</v>
      </c>
      <c r="E2154" s="18">
        <v>25.2</v>
      </c>
      <c r="F2154" s="18">
        <v>24.89</v>
      </c>
      <c r="G2154" s="18">
        <v>24.883921999999998</v>
      </c>
      <c r="H2154" s="18">
        <v>24.988762999999999</v>
      </c>
      <c r="I2154" s="8">
        <v>7.7047850770479709E-3</v>
      </c>
      <c r="J2154" s="8">
        <v>-1.607071112896707E-3</v>
      </c>
      <c r="K2154" s="8">
        <v>-1.388888888888884E-2</v>
      </c>
      <c r="L2154" s="8">
        <v>-1.607071112896707E-3</v>
      </c>
      <c r="M2154" s="18">
        <v>-9.3982460376342836E-3</v>
      </c>
    </row>
    <row r="2155" spans="1:13" x14ac:dyDescent="0.45">
      <c r="A2155" t="s">
        <v>1480</v>
      </c>
      <c r="B2155" s="18">
        <v>11.34</v>
      </c>
      <c r="C2155" s="18">
        <v>12.5</v>
      </c>
      <c r="D2155" s="18">
        <v>14.46</v>
      </c>
      <c r="E2155" s="18">
        <v>11.5</v>
      </c>
      <c r="F2155" s="18">
        <v>11.679399999999999</v>
      </c>
      <c r="G2155" s="18">
        <v>13.742599999999999</v>
      </c>
      <c r="H2155" s="18">
        <v>14.18995</v>
      </c>
      <c r="I2155" s="8">
        <v>-9.2799999999999994E-2</v>
      </c>
      <c r="J2155" s="8">
        <v>-0.21576763485477179</v>
      </c>
      <c r="K2155" s="8">
        <v>-1.391304347826083E-2</v>
      </c>
      <c r="L2155" s="8">
        <v>-2.9059711971505361E-2</v>
      </c>
      <c r="M2155" s="18">
        <v>-0.35154039030453799</v>
      </c>
    </row>
    <row r="2156" spans="1:13" x14ac:dyDescent="0.45">
      <c r="A2156" t="s">
        <v>432</v>
      </c>
      <c r="B2156" s="18">
        <v>240.43</v>
      </c>
      <c r="C2156" s="18">
        <v>252.06</v>
      </c>
      <c r="D2156" s="18">
        <v>263.97000000000003</v>
      </c>
      <c r="E2156" s="18">
        <v>243.99</v>
      </c>
      <c r="F2156" s="18">
        <v>287.75</v>
      </c>
      <c r="G2156" s="18">
        <v>245.34899999999999</v>
      </c>
      <c r="H2156" s="18">
        <v>277.68439999999998</v>
      </c>
      <c r="I2156" s="8">
        <v>-4.6139807982226388E-2</v>
      </c>
      <c r="J2156" s="8">
        <v>-8.9176800393984235E-2</v>
      </c>
      <c r="K2156" s="8">
        <v>-1.4590761916472021E-2</v>
      </c>
      <c r="L2156" s="8">
        <v>-0.16444830582102521</v>
      </c>
      <c r="M2156" s="18">
        <v>-0.31435567611370779</v>
      </c>
    </row>
    <row r="2157" spans="1:13" x14ac:dyDescent="0.45">
      <c r="A2157" t="s">
        <v>135</v>
      </c>
      <c r="B2157" s="18">
        <v>306.94</v>
      </c>
      <c r="C2157" s="18">
        <v>298.5</v>
      </c>
      <c r="D2157" s="18">
        <v>313.58</v>
      </c>
      <c r="E2157" s="18">
        <v>311.52999999999997</v>
      </c>
      <c r="F2157" s="18">
        <v>289.62</v>
      </c>
      <c r="G2157" s="18">
        <v>298.1508</v>
      </c>
      <c r="H2157" s="18">
        <v>314.06285000000003</v>
      </c>
      <c r="I2157" s="8">
        <v>2.827470686767164E-2</v>
      </c>
      <c r="J2157" s="8">
        <v>-2.1174819822692759E-2</v>
      </c>
      <c r="K2157" s="8">
        <v>-1.473373350881124E-2</v>
      </c>
      <c r="L2157" s="8">
        <v>5.9802499827359863E-2</v>
      </c>
      <c r="M2157" s="18">
        <v>5.2168653363527502E-2</v>
      </c>
    </row>
    <row r="2158" spans="1:13" x14ac:dyDescent="0.45">
      <c r="A2158" t="s">
        <v>202</v>
      </c>
      <c r="B2158" s="18">
        <v>24.23</v>
      </c>
      <c r="C2158" s="18">
        <v>23.85</v>
      </c>
      <c r="D2158" s="18">
        <v>25.1</v>
      </c>
      <c r="E2158" s="18">
        <v>24.6</v>
      </c>
      <c r="F2158" s="18">
        <v>24.87</v>
      </c>
      <c r="G2158" s="18">
        <v>23.941600000000001</v>
      </c>
      <c r="H2158" s="18">
        <v>25.641249999999999</v>
      </c>
      <c r="I2158" s="8">
        <v>1.5932914046121519E-2</v>
      </c>
      <c r="J2158" s="8">
        <v>-3.4661354581673298E-2</v>
      </c>
      <c r="K2158" s="8">
        <v>-1.5040650406504151E-2</v>
      </c>
      <c r="L2158" s="8">
        <v>-2.573381584238044E-2</v>
      </c>
      <c r="M2158" s="18">
        <v>-5.9502906784436371E-2</v>
      </c>
    </row>
    <row r="2159" spans="1:13" x14ac:dyDescent="0.45">
      <c r="A2159" t="s">
        <v>668</v>
      </c>
      <c r="B2159" s="18">
        <v>131.61000000000001</v>
      </c>
      <c r="C2159" s="18">
        <v>137.05000000000001</v>
      </c>
      <c r="D2159" s="18">
        <v>158.33000000000001</v>
      </c>
      <c r="E2159" s="18">
        <v>133.66</v>
      </c>
      <c r="F2159" s="18">
        <v>160.58000000000001</v>
      </c>
      <c r="G2159" s="18">
        <v>137.52080000000001</v>
      </c>
      <c r="H2159" s="18">
        <v>148.55510000000001</v>
      </c>
      <c r="I2159" s="8">
        <v>-3.9693542502736157E-2</v>
      </c>
      <c r="J2159" s="8">
        <v>-0.16876144760942341</v>
      </c>
      <c r="K2159" s="8">
        <v>-1.5337423312883351E-2</v>
      </c>
      <c r="L2159" s="8">
        <v>-0.18040851911819661</v>
      </c>
      <c r="M2159" s="18">
        <v>-0.40420093254323941</v>
      </c>
    </row>
    <row r="2160" spans="1:13" x14ac:dyDescent="0.45">
      <c r="A2160" t="s">
        <v>1557</v>
      </c>
      <c r="B2160" s="18">
        <v>8.6</v>
      </c>
      <c r="C2160" s="18">
        <v>9.77</v>
      </c>
      <c r="D2160" s="18">
        <v>9.35</v>
      </c>
      <c r="E2160" s="18">
        <v>8.74</v>
      </c>
      <c r="F2160" s="18">
        <v>11.83</v>
      </c>
      <c r="G2160" s="18">
        <v>9.3284000000000002</v>
      </c>
      <c r="H2160" s="18">
        <v>9.73705</v>
      </c>
      <c r="I2160" s="8">
        <v>-0.1197543500511771</v>
      </c>
      <c r="J2160" s="8">
        <v>-8.0213903743315496E-2</v>
      </c>
      <c r="K2160" s="8">
        <v>-1.6018306636155669E-2</v>
      </c>
      <c r="L2160" s="8">
        <v>-0.27303465765004231</v>
      </c>
      <c r="M2160" s="18">
        <v>-0.48902121808069049</v>
      </c>
    </row>
    <row r="2161" spans="1:13" x14ac:dyDescent="0.45">
      <c r="A2161" t="s">
        <v>1021</v>
      </c>
      <c r="B2161" s="18">
        <v>18.75</v>
      </c>
      <c r="C2161" s="18">
        <v>20.43</v>
      </c>
      <c r="D2161" s="18">
        <v>22.23</v>
      </c>
      <c r="E2161" s="18">
        <v>19.059999999999999</v>
      </c>
      <c r="F2161" s="18">
        <v>12.61</v>
      </c>
      <c r="G2161" s="18">
        <v>20.401599999999998</v>
      </c>
      <c r="H2161" s="18">
        <v>20.787800000000001</v>
      </c>
      <c r="I2161" s="8">
        <v>-8.2232011747430223E-2</v>
      </c>
      <c r="J2161" s="8">
        <v>-0.15654520917678821</v>
      </c>
      <c r="K2161" s="8">
        <v>-1.6264428121720801E-2</v>
      </c>
      <c r="L2161" s="8">
        <v>0.48691514670896119</v>
      </c>
      <c r="M2161" s="18">
        <v>0.23187349766302201</v>
      </c>
    </row>
    <row r="2162" spans="1:13" x14ac:dyDescent="0.45">
      <c r="A2162" t="s">
        <v>1069</v>
      </c>
      <c r="B2162" s="18">
        <v>13.08</v>
      </c>
      <c r="C2162" s="18">
        <v>13.72</v>
      </c>
      <c r="D2162" s="18">
        <v>14.02</v>
      </c>
      <c r="E2162" s="18">
        <v>13.31</v>
      </c>
      <c r="F2162" s="18">
        <v>16.27</v>
      </c>
      <c r="G2162" s="18">
        <v>13.903600000000001</v>
      </c>
      <c r="H2162" s="18">
        <v>13.9634</v>
      </c>
      <c r="I2162" s="8">
        <v>-4.6647230320699729E-2</v>
      </c>
      <c r="J2162" s="8">
        <v>-6.7047075606276763E-2</v>
      </c>
      <c r="K2162" s="8">
        <v>-1.7280240420736281E-2</v>
      </c>
      <c r="L2162" s="8">
        <v>-0.1960663798401967</v>
      </c>
      <c r="M2162" s="18">
        <v>-0.32704092618790948</v>
      </c>
    </row>
    <row r="2163" spans="1:13" x14ac:dyDescent="0.45">
      <c r="A2163" t="s">
        <v>198</v>
      </c>
      <c r="B2163" s="18">
        <v>70.260000000000005</v>
      </c>
      <c r="C2163" s="18">
        <v>68.25</v>
      </c>
      <c r="D2163" s="18">
        <v>76.7</v>
      </c>
      <c r="E2163" s="18">
        <v>71.5</v>
      </c>
      <c r="F2163" s="18">
        <v>105.92</v>
      </c>
      <c r="G2163" s="18">
        <v>69.596800000000002</v>
      </c>
      <c r="H2163" s="18">
        <v>79.061499999999995</v>
      </c>
      <c r="I2163" s="8">
        <v>2.9450549450549479E-2</v>
      </c>
      <c r="J2163" s="8">
        <v>-8.396349413298565E-2</v>
      </c>
      <c r="K2163" s="8">
        <v>-1.7342657342657272E-2</v>
      </c>
      <c r="L2163" s="8">
        <v>-0.33666918429003012</v>
      </c>
      <c r="M2163" s="18">
        <v>-0.40852478631512362</v>
      </c>
    </row>
    <row r="2164" spans="1:13" x14ac:dyDescent="0.45">
      <c r="A2164" t="s">
        <v>1592</v>
      </c>
      <c r="B2164" s="18">
        <v>6.17</v>
      </c>
      <c r="C2164" s="18">
        <v>6.68</v>
      </c>
      <c r="D2164" s="18">
        <v>5.84</v>
      </c>
      <c r="E2164" s="18">
        <v>6.28</v>
      </c>
      <c r="F2164" s="18">
        <v>7.15</v>
      </c>
      <c r="G2164" s="18">
        <v>6.4976000000000003</v>
      </c>
      <c r="H2164" s="18">
        <v>6.9559499999999987</v>
      </c>
      <c r="I2164" s="8">
        <v>-7.634730538922152E-2</v>
      </c>
      <c r="J2164" s="8">
        <v>5.6506849315068441E-2</v>
      </c>
      <c r="K2164" s="8">
        <v>-1.7515923566879029E-2</v>
      </c>
      <c r="L2164" s="8">
        <v>-0.13706293706293721</v>
      </c>
      <c r="M2164" s="18">
        <v>-0.17441931670396929</v>
      </c>
    </row>
    <row r="2165" spans="1:13" x14ac:dyDescent="0.45">
      <c r="A2165" t="s">
        <v>1958</v>
      </c>
      <c r="B2165" s="18">
        <v>23.25</v>
      </c>
      <c r="C2165" s="18">
        <v>26.55</v>
      </c>
      <c r="D2165" s="18">
        <v>28.67</v>
      </c>
      <c r="E2165" s="18">
        <v>23.67</v>
      </c>
      <c r="F2165" s="18">
        <v>22.19</v>
      </c>
      <c r="G2165" s="18">
        <v>26.596399999999999</v>
      </c>
      <c r="H2165" s="18">
        <v>26.42925</v>
      </c>
      <c r="I2165" s="8">
        <v>-0.1242937853107345</v>
      </c>
      <c r="J2165" s="8">
        <v>-0.18904778514126269</v>
      </c>
      <c r="K2165" s="8">
        <v>-1.7743979721166151E-2</v>
      </c>
      <c r="L2165" s="8">
        <v>4.776926543488047E-2</v>
      </c>
      <c r="M2165" s="18">
        <v>-0.28331628473828302</v>
      </c>
    </row>
    <row r="2166" spans="1:13" x14ac:dyDescent="0.45">
      <c r="A2166" t="s">
        <v>592</v>
      </c>
      <c r="B2166" s="18">
        <v>82.91</v>
      </c>
      <c r="C2166" s="18">
        <v>88.58</v>
      </c>
      <c r="D2166" s="18">
        <v>95.51</v>
      </c>
      <c r="E2166" s="18">
        <v>84.41</v>
      </c>
      <c r="F2166" s="18">
        <v>99.05</v>
      </c>
      <c r="G2166" s="18">
        <v>87.663800000000009</v>
      </c>
      <c r="H2166" s="18">
        <v>97.160500000000013</v>
      </c>
      <c r="I2166" s="8">
        <v>-6.4009934522465617E-2</v>
      </c>
      <c r="J2166" s="8">
        <v>-0.1319233588105958</v>
      </c>
      <c r="K2166" s="8">
        <v>-1.777040634995852E-2</v>
      </c>
      <c r="L2166" s="8">
        <v>-0.1629480060575467</v>
      </c>
      <c r="M2166" s="18">
        <v>-0.37665170574056661</v>
      </c>
    </row>
    <row r="2167" spans="1:13" x14ac:dyDescent="0.45">
      <c r="A2167" t="s">
        <v>355</v>
      </c>
      <c r="B2167" s="18">
        <v>294.39999999999998</v>
      </c>
      <c r="C2167" s="18">
        <v>312.52</v>
      </c>
      <c r="D2167" s="18">
        <v>298.39</v>
      </c>
      <c r="E2167" s="18">
        <v>299.83</v>
      </c>
      <c r="F2167" s="18">
        <v>303.76</v>
      </c>
      <c r="G2167" s="18">
        <v>306.37279999999998</v>
      </c>
      <c r="H2167" s="18">
        <v>303.31734999999998</v>
      </c>
      <c r="I2167" s="8">
        <v>-5.7980289261487239E-2</v>
      </c>
      <c r="J2167" s="8">
        <v>-1.3371761788263711E-2</v>
      </c>
      <c r="K2167" s="8">
        <v>-1.8110262482073151E-2</v>
      </c>
      <c r="L2167" s="8">
        <v>-3.0813800368712171E-2</v>
      </c>
      <c r="M2167" s="18">
        <v>-0.1202761139005363</v>
      </c>
    </row>
    <row r="2168" spans="1:13" x14ac:dyDescent="0.45">
      <c r="A2168" t="s">
        <v>42</v>
      </c>
      <c r="B2168" s="18">
        <v>86.46</v>
      </c>
      <c r="C2168" s="18">
        <v>79.84</v>
      </c>
      <c r="D2168" s="18">
        <v>100.2</v>
      </c>
      <c r="E2168" s="18">
        <v>88.15</v>
      </c>
      <c r="F2168" s="18">
        <v>78.010000000000005</v>
      </c>
      <c r="G2168" s="18">
        <v>82.73790000000001</v>
      </c>
      <c r="H2168" s="18">
        <v>96.668374999999997</v>
      </c>
      <c r="I2168" s="8">
        <v>8.29158316633265E-2</v>
      </c>
      <c r="J2168" s="8">
        <v>-0.13712574850299411</v>
      </c>
      <c r="K2168" s="8">
        <v>-1.917186613726618E-2</v>
      </c>
      <c r="L2168" s="8">
        <v>0.10831944622484289</v>
      </c>
      <c r="M2168" s="18">
        <v>3.4937663247909152E-2</v>
      </c>
    </row>
    <row r="2169" spans="1:13" x14ac:dyDescent="0.45">
      <c r="A2169" t="s">
        <v>2472</v>
      </c>
      <c r="B2169" s="18">
        <v>69.540000000000006</v>
      </c>
      <c r="C2169" s="18">
        <v>74.16</v>
      </c>
      <c r="D2169" s="18">
        <v>77.959999999999994</v>
      </c>
      <c r="E2169" s="18">
        <v>70.900000000000006</v>
      </c>
      <c r="F2169" s="18">
        <v>96.59</v>
      </c>
      <c r="G2169" s="18">
        <v>71.927799999999991</v>
      </c>
      <c r="H2169" s="18">
        <v>76.608149999999995</v>
      </c>
      <c r="I2169" s="8">
        <v>-6.2297734627831607E-2</v>
      </c>
      <c r="J2169" s="8">
        <v>-0.10800410466906089</v>
      </c>
      <c r="K2169" s="8">
        <v>-1.9181946403385001E-2</v>
      </c>
      <c r="L2169" s="8">
        <v>-0.28004969458536078</v>
      </c>
      <c r="M2169" s="18">
        <v>-0.46953348028563818</v>
      </c>
    </row>
    <row r="2170" spans="1:13" x14ac:dyDescent="0.45">
      <c r="A2170" t="s">
        <v>1853</v>
      </c>
      <c r="B2170" s="18">
        <v>31.82</v>
      </c>
      <c r="C2170" s="18">
        <v>34.1</v>
      </c>
      <c r="D2170" s="18">
        <v>34.090000000000003</v>
      </c>
      <c r="E2170" s="18">
        <v>32.450000000000003</v>
      </c>
      <c r="F2170" s="18">
        <v>42.76</v>
      </c>
      <c r="G2170" s="18">
        <v>32.398999999999987</v>
      </c>
      <c r="H2170" s="18">
        <v>36.009950000000003</v>
      </c>
      <c r="I2170" s="8">
        <v>-6.6862170087976569E-2</v>
      </c>
      <c r="J2170" s="8">
        <v>-6.6588442358462951E-2</v>
      </c>
      <c r="K2170" s="8">
        <v>-1.941448382126354E-2</v>
      </c>
      <c r="L2170" s="8">
        <v>-0.25584658559401308</v>
      </c>
      <c r="M2170" s="18">
        <v>-0.40871168186171608</v>
      </c>
    </row>
    <row r="2171" spans="1:13" x14ac:dyDescent="0.45">
      <c r="A2171" t="s">
        <v>489</v>
      </c>
      <c r="B2171" s="18">
        <v>41.32</v>
      </c>
      <c r="C2171" s="18">
        <v>43.57</v>
      </c>
      <c r="D2171" s="18">
        <v>42.03</v>
      </c>
      <c r="E2171" s="18">
        <v>42.17</v>
      </c>
      <c r="F2171" s="18">
        <v>44.18</v>
      </c>
      <c r="G2171" s="18">
        <v>43.5428</v>
      </c>
      <c r="H2171" s="18">
        <v>42.636249999999997</v>
      </c>
      <c r="I2171" s="8">
        <v>-5.1641037411062629E-2</v>
      </c>
      <c r="J2171" s="8">
        <v>-1.6892695693552229E-2</v>
      </c>
      <c r="K2171" s="8">
        <v>-2.0156509366848541E-2</v>
      </c>
      <c r="L2171" s="8">
        <v>-6.4735174287007702E-2</v>
      </c>
      <c r="M2171" s="18">
        <v>-0.1534254167584711</v>
      </c>
    </row>
    <row r="2172" spans="1:13" x14ac:dyDescent="0.45">
      <c r="A2172" t="s">
        <v>810</v>
      </c>
      <c r="B2172" s="18">
        <v>3.38</v>
      </c>
      <c r="C2172" s="18">
        <v>3.62</v>
      </c>
      <c r="D2172" s="18">
        <v>3.88</v>
      </c>
      <c r="E2172" s="18">
        <v>3.45</v>
      </c>
      <c r="F2172" s="18">
        <v>4.46</v>
      </c>
      <c r="G2172" s="18">
        <v>3.6896</v>
      </c>
      <c r="H2172" s="18">
        <v>3.6970999999999998</v>
      </c>
      <c r="I2172" s="8">
        <v>-6.6298342541436517E-2</v>
      </c>
      <c r="J2172" s="8">
        <v>-0.12886597938144331</v>
      </c>
      <c r="K2172" s="8">
        <v>-2.0289855072463839E-2</v>
      </c>
      <c r="L2172" s="8">
        <v>-0.24215246636771301</v>
      </c>
      <c r="M2172" s="18">
        <v>-0.45760664336305668</v>
      </c>
    </row>
    <row r="2173" spans="1:13" x14ac:dyDescent="0.45">
      <c r="A2173" t="s">
        <v>52</v>
      </c>
      <c r="B2173" s="18">
        <v>448.09</v>
      </c>
      <c r="C2173" s="18">
        <v>467.54</v>
      </c>
      <c r="D2173" s="18">
        <v>526.04999999999995</v>
      </c>
      <c r="E2173" s="18">
        <v>457.63</v>
      </c>
      <c r="F2173" s="18">
        <v>481.95</v>
      </c>
      <c r="G2173" s="18">
        <v>461.04390000000001</v>
      </c>
      <c r="H2173" s="18">
        <v>516.09249999999997</v>
      </c>
      <c r="I2173" s="8">
        <v>-4.1600718655088409E-2</v>
      </c>
      <c r="J2173" s="8">
        <v>-0.1481988404144092</v>
      </c>
      <c r="K2173" s="8">
        <v>-2.084653541070303E-2</v>
      </c>
      <c r="L2173" s="8">
        <v>-7.025625064840757E-2</v>
      </c>
      <c r="M2173" s="18">
        <v>-0.28090234512860818</v>
      </c>
    </row>
    <row r="2174" spans="1:13" x14ac:dyDescent="0.45">
      <c r="A2174" t="s">
        <v>113</v>
      </c>
      <c r="B2174" s="18">
        <v>75.22</v>
      </c>
      <c r="C2174" s="18">
        <v>83.72</v>
      </c>
      <c r="D2174" s="18">
        <v>79.290000000000006</v>
      </c>
      <c r="E2174" s="18">
        <v>76.94</v>
      </c>
      <c r="F2174" s="18">
        <v>114.9</v>
      </c>
      <c r="G2174" s="18">
        <v>80.797600000000003</v>
      </c>
      <c r="H2174" s="18">
        <v>84.406700000000001</v>
      </c>
      <c r="I2174" s="8">
        <v>-0.1015289058767319</v>
      </c>
      <c r="J2174" s="8">
        <v>-5.1330558708538421E-2</v>
      </c>
      <c r="K2174" s="8">
        <v>-2.235508188198598E-2</v>
      </c>
      <c r="L2174" s="8">
        <v>-0.34534377719756321</v>
      </c>
      <c r="M2174" s="18">
        <v>-0.52055832366481947</v>
      </c>
    </row>
    <row r="2175" spans="1:13" x14ac:dyDescent="0.45">
      <c r="A2175" t="s">
        <v>184</v>
      </c>
      <c r="B2175" s="18">
        <v>306.76</v>
      </c>
      <c r="C2175" s="18">
        <v>302.01</v>
      </c>
      <c r="D2175" s="18">
        <v>308.77999999999997</v>
      </c>
      <c r="E2175" s="18">
        <v>313.83999999999997</v>
      </c>
      <c r="F2175" s="18">
        <v>341.7</v>
      </c>
      <c r="G2175" s="18">
        <v>293.04039999999998</v>
      </c>
      <c r="H2175" s="18">
        <v>305.19990000000001</v>
      </c>
      <c r="I2175" s="8">
        <v>1.5727956027946188E-2</v>
      </c>
      <c r="J2175" s="8">
        <v>-6.5418744737353318E-3</v>
      </c>
      <c r="K2175" s="8">
        <v>-2.25592658679582E-2</v>
      </c>
      <c r="L2175" s="8">
        <v>-0.10225343868890829</v>
      </c>
      <c r="M2175" s="18">
        <v>-0.11562662300265571</v>
      </c>
    </row>
    <row r="2176" spans="1:13" x14ac:dyDescent="0.45">
      <c r="A2176" t="s">
        <v>871</v>
      </c>
      <c r="B2176" s="18">
        <v>73.03</v>
      </c>
      <c r="C2176" s="18">
        <v>80.44</v>
      </c>
      <c r="D2176" s="18">
        <v>79.06</v>
      </c>
      <c r="E2176" s="18">
        <v>74.8</v>
      </c>
      <c r="F2176" s="18">
        <v>110.48</v>
      </c>
      <c r="G2176" s="18">
        <v>78.02</v>
      </c>
      <c r="H2176" s="18">
        <v>80.452150000000003</v>
      </c>
      <c r="I2176" s="8">
        <v>-9.2118349080059669E-2</v>
      </c>
      <c r="J2176" s="8">
        <v>-7.6271186440677985E-2</v>
      </c>
      <c r="K2176" s="8">
        <v>-2.3663101604277981E-2</v>
      </c>
      <c r="L2176" s="8">
        <v>-0.33897538015930478</v>
      </c>
      <c r="M2176" s="18">
        <v>-0.53102801728432047</v>
      </c>
    </row>
    <row r="2177" spans="1:13" x14ac:dyDescent="0.45">
      <c r="A2177" t="s">
        <v>72</v>
      </c>
      <c r="B2177" s="18">
        <v>144.78</v>
      </c>
      <c r="C2177" s="18">
        <v>148.22</v>
      </c>
      <c r="D2177" s="18">
        <v>171.12</v>
      </c>
      <c r="E2177" s="18">
        <v>148.34</v>
      </c>
      <c r="F2177" s="18">
        <v>191.86</v>
      </c>
      <c r="G2177" s="18">
        <v>146.6123</v>
      </c>
      <c r="H2177" s="18">
        <v>164.46854999999999</v>
      </c>
      <c r="I2177" s="8">
        <v>-2.3208743759276729E-2</v>
      </c>
      <c r="J2177" s="8">
        <v>-0.15392706872370271</v>
      </c>
      <c r="K2177" s="8">
        <v>-2.3998921396791158E-2</v>
      </c>
      <c r="L2177" s="8">
        <v>-0.24538726154487661</v>
      </c>
      <c r="M2177" s="18">
        <v>-0.4465219954246471</v>
      </c>
    </row>
    <row r="2178" spans="1:13" x14ac:dyDescent="0.45">
      <c r="A2178" t="s">
        <v>1506</v>
      </c>
      <c r="B2178" s="18">
        <v>15.23</v>
      </c>
      <c r="C2178" s="18">
        <v>17.760000000000002</v>
      </c>
      <c r="D2178" s="18">
        <v>15.75</v>
      </c>
      <c r="E2178" s="18">
        <v>15.62</v>
      </c>
      <c r="F2178" s="18">
        <v>24.54</v>
      </c>
      <c r="G2178" s="18">
        <v>16.768999999999998</v>
      </c>
      <c r="H2178" s="18">
        <v>18.90915</v>
      </c>
      <c r="I2178" s="8">
        <v>-0.142454954954955</v>
      </c>
      <c r="J2178" s="8">
        <v>-3.3015873015872943E-2</v>
      </c>
      <c r="K2178" s="8">
        <v>-2.4967989756722101E-2</v>
      </c>
      <c r="L2178" s="8">
        <v>-0.37938060309698451</v>
      </c>
      <c r="M2178" s="18">
        <v>-0.57981942082453453</v>
      </c>
    </row>
    <row r="2179" spans="1:13" x14ac:dyDescent="0.45">
      <c r="A2179" t="s">
        <v>2489</v>
      </c>
      <c r="B2179" s="18">
        <v>9.24</v>
      </c>
      <c r="C2179" s="18">
        <v>11.3</v>
      </c>
      <c r="D2179" s="18">
        <v>11.17</v>
      </c>
      <c r="E2179" s="18">
        <v>9.48</v>
      </c>
      <c r="F2179" s="18">
        <v>18.13</v>
      </c>
      <c r="G2179" s="18">
        <v>10.5724</v>
      </c>
      <c r="H2179" s="18">
        <v>11.39715</v>
      </c>
      <c r="I2179" s="8">
        <v>-0.18230088495575231</v>
      </c>
      <c r="J2179" s="8">
        <v>-0.17278424350940011</v>
      </c>
      <c r="K2179" s="8">
        <v>-2.5316455696202559E-2</v>
      </c>
      <c r="L2179" s="8">
        <v>-0.49034749034749031</v>
      </c>
      <c r="M2179" s="18">
        <v>-0.8707490745088452</v>
      </c>
    </row>
    <row r="2180" spans="1:13" x14ac:dyDescent="0.45">
      <c r="A2180" t="s">
        <v>566</v>
      </c>
      <c r="B2180" s="18">
        <v>161.22999999999999</v>
      </c>
      <c r="C2180" s="18">
        <v>199.74</v>
      </c>
      <c r="D2180" s="18">
        <v>196.47</v>
      </c>
      <c r="E2180" s="18">
        <v>165.45</v>
      </c>
      <c r="F2180" s="18">
        <v>185.76</v>
      </c>
      <c r="G2180" s="18">
        <v>185.4556</v>
      </c>
      <c r="H2180" s="18">
        <v>188.44255000000001</v>
      </c>
      <c r="I2180" s="8">
        <v>-0.1928006408330831</v>
      </c>
      <c r="J2180" s="8">
        <v>-0.17936580648445061</v>
      </c>
      <c r="K2180" s="8">
        <v>-2.5506195225143521E-2</v>
      </c>
      <c r="L2180" s="8">
        <v>-0.13205211024978469</v>
      </c>
      <c r="M2180" s="18">
        <v>-0.52972475279246189</v>
      </c>
    </row>
    <row r="2181" spans="1:13" x14ac:dyDescent="0.45">
      <c r="A2181" t="s">
        <v>2180</v>
      </c>
      <c r="B2181" s="18">
        <v>10.3</v>
      </c>
      <c r="C2181" s="18">
        <v>10.029999999999999</v>
      </c>
      <c r="D2181" s="18">
        <v>10.26</v>
      </c>
      <c r="E2181" s="18">
        <v>10.57</v>
      </c>
      <c r="F2181" s="18">
        <v>11.22</v>
      </c>
      <c r="G2181" s="18">
        <v>10.210599999999999</v>
      </c>
      <c r="H2181" s="18">
        <v>10.77985</v>
      </c>
      <c r="I2181" s="8">
        <v>2.691924227318054E-2</v>
      </c>
      <c r="J2181" s="8">
        <v>3.8986354775829568E-3</v>
      </c>
      <c r="K2181" s="8">
        <v>-2.554399243140959E-2</v>
      </c>
      <c r="L2181" s="8">
        <v>-8.199643493761144E-2</v>
      </c>
      <c r="M2181" s="18">
        <v>-7.672254961825753E-2</v>
      </c>
    </row>
    <row r="2182" spans="1:13" x14ac:dyDescent="0.45">
      <c r="A2182" t="s">
        <v>2484</v>
      </c>
      <c r="B2182" s="18">
        <v>21.04</v>
      </c>
      <c r="C2182" s="18">
        <v>21.88</v>
      </c>
      <c r="D2182" s="18">
        <v>22.52</v>
      </c>
      <c r="E2182" s="18">
        <v>21.61</v>
      </c>
      <c r="F2182" s="18">
        <v>22.29</v>
      </c>
      <c r="G2182" s="18">
        <v>21.688800000000001</v>
      </c>
      <c r="H2182" s="18">
        <v>22.736599999999999</v>
      </c>
      <c r="I2182" s="8">
        <v>-3.8391224862888478E-2</v>
      </c>
      <c r="J2182" s="8">
        <v>-6.5719360568383678E-2</v>
      </c>
      <c r="K2182" s="8">
        <v>-2.637667746413697E-2</v>
      </c>
      <c r="L2182" s="8">
        <v>-5.6078959174517773E-2</v>
      </c>
      <c r="M2182" s="18">
        <v>-0.1865662220699269</v>
      </c>
    </row>
    <row r="2183" spans="1:13" x14ac:dyDescent="0.45">
      <c r="A2183" t="s">
        <v>1250</v>
      </c>
      <c r="B2183" s="18">
        <v>56.67</v>
      </c>
      <c r="C2183" s="18">
        <v>59.97</v>
      </c>
      <c r="D2183" s="18">
        <v>51.22</v>
      </c>
      <c r="E2183" s="18">
        <v>58.31</v>
      </c>
      <c r="F2183" s="18">
        <v>60.21</v>
      </c>
      <c r="G2183" s="18">
        <v>59.250799999999998</v>
      </c>
      <c r="H2183" s="18">
        <v>58.744950000000003</v>
      </c>
      <c r="I2183" s="8">
        <v>-5.5027513756878421E-2</v>
      </c>
      <c r="J2183" s="8">
        <v>0.1064037485357283</v>
      </c>
      <c r="K2183" s="8">
        <v>-2.8125535928657189E-2</v>
      </c>
      <c r="L2183" s="8">
        <v>-5.879422022919778E-2</v>
      </c>
      <c r="M2183" s="18">
        <v>-3.5543521379005072E-2</v>
      </c>
    </row>
    <row r="2184" spans="1:13" x14ac:dyDescent="0.45">
      <c r="A2184" t="s">
        <v>1909</v>
      </c>
      <c r="B2184" s="18">
        <v>61.05</v>
      </c>
      <c r="C2184" s="18">
        <v>58.79</v>
      </c>
      <c r="D2184" s="18">
        <v>70.569999999999993</v>
      </c>
      <c r="E2184" s="18">
        <v>62.85</v>
      </c>
      <c r="F2184" s="18">
        <v>63.06</v>
      </c>
      <c r="G2184" s="18">
        <v>67.003</v>
      </c>
      <c r="H2184" s="18">
        <v>75.563149999999993</v>
      </c>
      <c r="I2184" s="8">
        <v>3.8441911889777192E-2</v>
      </c>
      <c r="J2184" s="8">
        <v>-0.1349015162250248</v>
      </c>
      <c r="K2184" s="8">
        <v>-2.863961813842486E-2</v>
      </c>
      <c r="L2184" s="8">
        <v>-3.1874405328258908E-2</v>
      </c>
      <c r="M2184" s="18">
        <v>-0.15697362780193139</v>
      </c>
    </row>
    <row r="2185" spans="1:13" x14ac:dyDescent="0.45">
      <c r="A2185" t="s">
        <v>2275</v>
      </c>
      <c r="B2185" s="18">
        <v>24.12</v>
      </c>
      <c r="C2185" s="18">
        <v>26.12</v>
      </c>
      <c r="D2185" s="18">
        <v>25.53</v>
      </c>
      <c r="E2185" s="18">
        <v>24.84</v>
      </c>
      <c r="F2185" s="18">
        <v>30.73</v>
      </c>
      <c r="G2185" s="18">
        <v>25.8596</v>
      </c>
      <c r="H2185" s="18">
        <v>27.318750000000001</v>
      </c>
      <c r="I2185" s="8">
        <v>-7.6569678407350739E-2</v>
      </c>
      <c r="J2185" s="8">
        <v>-5.5229142185663882E-2</v>
      </c>
      <c r="K2185" s="8">
        <v>-2.8985507246376718E-2</v>
      </c>
      <c r="L2185" s="8">
        <v>-0.21509925154572071</v>
      </c>
      <c r="M2185" s="18">
        <v>-0.37588357938511208</v>
      </c>
    </row>
    <row r="2186" spans="1:13" x14ac:dyDescent="0.45">
      <c r="A2186" t="s">
        <v>2219</v>
      </c>
      <c r="B2186" s="18">
        <v>18.63</v>
      </c>
      <c r="C2186" s="18">
        <v>18.36</v>
      </c>
      <c r="D2186" s="18">
        <v>18.55</v>
      </c>
      <c r="E2186" s="18">
        <v>19.2</v>
      </c>
      <c r="F2186" s="18">
        <v>18.07</v>
      </c>
      <c r="G2186" s="18">
        <v>18.4876</v>
      </c>
      <c r="H2186" s="18">
        <v>19.294</v>
      </c>
      <c r="I2186" s="8">
        <v>1.4705882352941121E-2</v>
      </c>
      <c r="J2186" s="8">
        <v>4.3126684636116694E-3</v>
      </c>
      <c r="K2186" s="8">
        <v>-2.9687499999999981E-2</v>
      </c>
      <c r="L2186" s="8">
        <v>3.0990592141671099E-2</v>
      </c>
      <c r="M2186" s="18">
        <v>2.0321642958223921E-2</v>
      </c>
    </row>
    <row r="2187" spans="1:13" x14ac:dyDescent="0.45">
      <c r="A2187" t="s">
        <v>2303</v>
      </c>
      <c r="B2187" s="18">
        <v>21.05</v>
      </c>
      <c r="C2187" s="18">
        <v>22.22</v>
      </c>
      <c r="D2187" s="18">
        <v>26.32</v>
      </c>
      <c r="E2187" s="18">
        <v>21.74</v>
      </c>
      <c r="F2187" s="18">
        <v>19.57</v>
      </c>
      <c r="G2187" s="18">
        <v>25.0032</v>
      </c>
      <c r="H2187" s="18">
        <v>26.88205</v>
      </c>
      <c r="I2187" s="8">
        <v>-5.265526552655253E-2</v>
      </c>
      <c r="J2187" s="8">
        <v>-0.2002279635258358</v>
      </c>
      <c r="K2187" s="8">
        <v>-3.1738730450781898E-2</v>
      </c>
      <c r="L2187" s="8">
        <v>7.5625958099131418E-2</v>
      </c>
      <c r="M2187" s="18">
        <v>-0.20899600140403879</v>
      </c>
    </row>
    <row r="2188" spans="1:13" x14ac:dyDescent="0.45">
      <c r="A2188" t="s">
        <v>2169</v>
      </c>
      <c r="B2188" s="18">
        <v>23.96</v>
      </c>
      <c r="C2188" s="18">
        <v>25.47</v>
      </c>
      <c r="D2188" s="18">
        <v>23.66</v>
      </c>
      <c r="E2188" s="18">
        <v>24.75</v>
      </c>
      <c r="F2188" s="18">
        <v>25.15</v>
      </c>
      <c r="G2188" s="18">
        <v>25.0138</v>
      </c>
      <c r="H2188" s="18">
        <v>24.960999999999999</v>
      </c>
      <c r="I2188" s="8">
        <v>-5.9285433843737627E-2</v>
      </c>
      <c r="J2188" s="8">
        <v>1.267962806424339E-2</v>
      </c>
      <c r="K2188" s="8">
        <v>-3.1919191919191903E-2</v>
      </c>
      <c r="L2188" s="8">
        <v>-4.7316103379721593E-2</v>
      </c>
      <c r="M2188" s="18">
        <v>-0.12584110107840771</v>
      </c>
    </row>
    <row r="2189" spans="1:13" x14ac:dyDescent="0.45">
      <c r="A2189" t="s">
        <v>1837</v>
      </c>
      <c r="B2189" s="18">
        <v>59.61</v>
      </c>
      <c r="C2189" s="18">
        <v>54.3</v>
      </c>
      <c r="D2189" s="18">
        <v>71.010000000000005</v>
      </c>
      <c r="E2189" s="18">
        <v>61.6</v>
      </c>
      <c r="F2189" s="18">
        <v>115.12</v>
      </c>
      <c r="G2189" s="18">
        <v>54.894599999999997</v>
      </c>
      <c r="H2189" s="18">
        <v>69.930350000000004</v>
      </c>
      <c r="I2189" s="8">
        <v>9.7790055248618835E-2</v>
      </c>
      <c r="J2189" s="8">
        <v>-0.16054076890578789</v>
      </c>
      <c r="K2189" s="8">
        <v>-3.2305194805194781E-2</v>
      </c>
      <c r="L2189" s="8">
        <v>-0.48219249478804732</v>
      </c>
      <c r="M2189" s="18">
        <v>-0.57724840325041116</v>
      </c>
    </row>
    <row r="2190" spans="1:13" x14ac:dyDescent="0.45">
      <c r="A2190" t="s">
        <v>914</v>
      </c>
      <c r="B2190" s="18">
        <v>4.4800000000000004</v>
      </c>
      <c r="C2190" s="18">
        <v>5.19</v>
      </c>
      <c r="D2190" s="18">
        <v>5.88</v>
      </c>
      <c r="E2190" s="18">
        <v>4.63</v>
      </c>
      <c r="F2190" s="18">
        <v>7.04</v>
      </c>
      <c r="G2190" s="18">
        <v>5.2346000000000004</v>
      </c>
      <c r="H2190" s="18">
        <v>5.92</v>
      </c>
      <c r="I2190" s="8">
        <v>-0.13680154142581891</v>
      </c>
      <c r="J2190" s="8">
        <v>-0.238095238095238</v>
      </c>
      <c r="K2190" s="8">
        <v>-3.239740820734327E-2</v>
      </c>
      <c r="L2190" s="8">
        <v>-0.36363636363636348</v>
      </c>
      <c r="M2190" s="18">
        <v>-0.77093055136476374</v>
      </c>
    </row>
    <row r="2191" spans="1:13" x14ac:dyDescent="0.45">
      <c r="A2191" t="s">
        <v>1206</v>
      </c>
      <c r="B2191" s="18">
        <v>10.75</v>
      </c>
      <c r="C2191" s="18">
        <v>11.61</v>
      </c>
      <c r="D2191" s="18">
        <v>11.05</v>
      </c>
      <c r="E2191" s="18">
        <v>11.11</v>
      </c>
      <c r="F2191" s="18">
        <v>12.82</v>
      </c>
      <c r="G2191" s="18">
        <v>11.1258</v>
      </c>
      <c r="H2191" s="18">
        <v>11.711600000000001</v>
      </c>
      <c r="I2191" s="8">
        <v>-7.407407407407407E-2</v>
      </c>
      <c r="J2191" s="8">
        <v>-2.714932126696834E-2</v>
      </c>
      <c r="K2191" s="8">
        <v>-3.2403240324032301E-2</v>
      </c>
      <c r="L2191" s="8">
        <v>-0.1614664586583463</v>
      </c>
      <c r="M2191" s="18">
        <v>-0.29509309432342101</v>
      </c>
    </row>
    <row r="2192" spans="1:13" x14ac:dyDescent="0.45">
      <c r="A2192" t="s">
        <v>164</v>
      </c>
      <c r="B2192" s="18">
        <v>103.06</v>
      </c>
      <c r="C2192" s="18">
        <v>111.63</v>
      </c>
      <c r="D2192" s="18">
        <v>113.41</v>
      </c>
      <c r="E2192" s="18">
        <v>106.53</v>
      </c>
      <c r="F2192" s="18">
        <v>120.86</v>
      </c>
      <c r="G2192" s="18">
        <v>107.6538</v>
      </c>
      <c r="H2192" s="18">
        <v>113.9366</v>
      </c>
      <c r="I2192" s="8">
        <v>-7.6771477201469041E-2</v>
      </c>
      <c r="J2192" s="8">
        <v>-9.12617934926373E-2</v>
      </c>
      <c r="K2192" s="8">
        <v>-3.2572984135924132E-2</v>
      </c>
      <c r="L2192" s="8">
        <v>-0.1472778421313917</v>
      </c>
      <c r="M2192" s="18">
        <v>-0.3478840969614222</v>
      </c>
    </row>
    <row r="2193" spans="1:13" x14ac:dyDescent="0.45">
      <c r="A2193" t="s">
        <v>1593</v>
      </c>
      <c r="B2193" s="18">
        <v>1.9446000000000001</v>
      </c>
      <c r="C2193" s="18">
        <v>1.77</v>
      </c>
      <c r="D2193" s="18">
        <v>1.319</v>
      </c>
      <c r="E2193" s="18">
        <v>2.0101</v>
      </c>
      <c r="F2193" s="18">
        <v>2.4</v>
      </c>
      <c r="G2193" s="18">
        <v>1.622522</v>
      </c>
      <c r="H2193" s="18">
        <v>1.3916930000000001</v>
      </c>
      <c r="I2193" s="8">
        <v>9.864406779661028E-2</v>
      </c>
      <c r="J2193" s="8">
        <v>0.47429871114480671</v>
      </c>
      <c r="K2193" s="8">
        <v>-3.2585443510273038E-2</v>
      </c>
      <c r="L2193" s="8">
        <v>-0.18975</v>
      </c>
      <c r="M2193" s="18">
        <v>0.35060733543114397</v>
      </c>
    </row>
    <row r="2194" spans="1:13" x14ac:dyDescent="0.45">
      <c r="A2194" t="s">
        <v>956</v>
      </c>
      <c r="B2194" s="18">
        <v>7.36</v>
      </c>
      <c r="C2194" s="18">
        <v>9.2799999999999994</v>
      </c>
      <c r="D2194" s="18">
        <v>6.76</v>
      </c>
      <c r="E2194" s="18">
        <v>7.61</v>
      </c>
      <c r="F2194" s="18">
        <v>6.07</v>
      </c>
      <c r="G2194" s="18">
        <v>8.5781999999999989</v>
      </c>
      <c r="H2194" s="18">
        <v>7.5566999999999993</v>
      </c>
      <c r="I2194" s="8">
        <v>-0.20689655172413779</v>
      </c>
      <c r="J2194" s="8">
        <v>8.8757396449704151E-2</v>
      </c>
      <c r="K2194" s="8">
        <v>-3.2851511169513792E-2</v>
      </c>
      <c r="L2194" s="8">
        <v>0.2125205930807248</v>
      </c>
      <c r="M2194" s="18">
        <v>6.1529926636777373E-2</v>
      </c>
    </row>
    <row r="2195" spans="1:13" x14ac:dyDescent="0.45">
      <c r="A2195" t="s">
        <v>2333</v>
      </c>
      <c r="B2195" s="18">
        <v>5.57</v>
      </c>
      <c r="C2195" s="18">
        <v>6.76</v>
      </c>
      <c r="D2195" s="18">
        <v>7.26</v>
      </c>
      <c r="E2195" s="18">
        <v>5.76</v>
      </c>
      <c r="F2195" s="18">
        <v>6.83</v>
      </c>
      <c r="G2195" s="18">
        <v>6.3315999999999999</v>
      </c>
      <c r="H2195" s="18">
        <v>6.912700000000001</v>
      </c>
      <c r="I2195" s="8">
        <v>-0.17603550295857981</v>
      </c>
      <c r="J2195" s="8">
        <v>-0.2327823691460055</v>
      </c>
      <c r="K2195" s="8">
        <v>-3.2986111111111049E-2</v>
      </c>
      <c r="L2195" s="8">
        <v>-0.18448023426061491</v>
      </c>
      <c r="M2195" s="18">
        <v>-0.62628421747631124</v>
      </c>
    </row>
    <row r="2196" spans="1:13" x14ac:dyDescent="0.45">
      <c r="A2196" t="s">
        <v>1402</v>
      </c>
      <c r="B2196" s="18">
        <v>9.0399999999999991</v>
      </c>
      <c r="C2196" s="18">
        <v>9.75</v>
      </c>
      <c r="D2196" s="18">
        <v>10.11</v>
      </c>
      <c r="E2196" s="18">
        <v>9.35</v>
      </c>
      <c r="F2196" s="18">
        <v>10.37</v>
      </c>
      <c r="G2196" s="18">
        <v>9.4405999999999999</v>
      </c>
      <c r="H2196" s="18">
        <v>9.958400000000001</v>
      </c>
      <c r="I2196" s="8">
        <v>-7.2820512820512939E-2</v>
      </c>
      <c r="J2196" s="8">
        <v>-0.10583580613254211</v>
      </c>
      <c r="K2196" s="8">
        <v>-3.3155080213903787E-2</v>
      </c>
      <c r="L2196" s="8">
        <v>-0.12825458052073291</v>
      </c>
      <c r="M2196" s="18">
        <v>-0.3400659796876917</v>
      </c>
    </row>
    <row r="2197" spans="1:13" x14ac:dyDescent="0.45">
      <c r="A2197" t="s">
        <v>191</v>
      </c>
      <c r="B2197" s="18">
        <v>66.12</v>
      </c>
      <c r="C2197" s="18">
        <v>67.86</v>
      </c>
      <c r="D2197" s="18">
        <v>69.77</v>
      </c>
      <c r="E2197" s="18">
        <v>68.42</v>
      </c>
      <c r="F2197" s="18">
        <v>70.17</v>
      </c>
      <c r="G2197" s="18">
        <v>68.121400000000008</v>
      </c>
      <c r="H2197" s="18">
        <v>68.633200000000002</v>
      </c>
      <c r="I2197" s="8">
        <v>-2.564102564102555E-2</v>
      </c>
      <c r="J2197" s="8">
        <v>-5.2314748459223008E-2</v>
      </c>
      <c r="K2197" s="8">
        <v>-3.3615901783104363E-2</v>
      </c>
      <c r="L2197" s="8">
        <v>-5.7716973065412569E-2</v>
      </c>
      <c r="M2197" s="18">
        <v>-0.1692886489487655</v>
      </c>
    </row>
    <row r="2198" spans="1:13" x14ac:dyDescent="0.45">
      <c r="A2198" t="s">
        <v>797</v>
      </c>
      <c r="B2198" s="18">
        <v>13.14</v>
      </c>
      <c r="C2198" s="18">
        <v>13.4</v>
      </c>
      <c r="D2198" s="18">
        <v>14.2</v>
      </c>
      <c r="E2198" s="18">
        <v>13.6</v>
      </c>
      <c r="F2198" s="18">
        <v>14.5</v>
      </c>
      <c r="G2198" s="18">
        <v>13.223599999999999</v>
      </c>
      <c r="H2198" s="18">
        <v>14.0944</v>
      </c>
      <c r="I2198" s="8">
        <v>-1.9402985074626899E-2</v>
      </c>
      <c r="J2198" s="8">
        <v>-7.4647887323943563E-2</v>
      </c>
      <c r="K2198" s="8">
        <v>-3.3823529411764593E-2</v>
      </c>
      <c r="L2198" s="8">
        <v>-9.379310344827585E-2</v>
      </c>
      <c r="M2198" s="18">
        <v>-0.2216675052586109</v>
      </c>
    </row>
    <row r="2199" spans="1:13" x14ac:dyDescent="0.45">
      <c r="A2199" t="s">
        <v>1767</v>
      </c>
      <c r="B2199" s="18">
        <v>5.37</v>
      </c>
      <c r="C2199" s="18">
        <v>4.8</v>
      </c>
      <c r="D2199" s="18">
        <v>5.0199999999999996</v>
      </c>
      <c r="E2199" s="18">
        <v>5.56</v>
      </c>
      <c r="F2199" s="18">
        <v>7.56</v>
      </c>
      <c r="G2199" s="18">
        <v>4.9263399999999997</v>
      </c>
      <c r="H2199" s="18">
        <v>5.5016350000000003</v>
      </c>
      <c r="I2199" s="8">
        <v>0.11875000000000011</v>
      </c>
      <c r="J2199" s="8">
        <v>6.9721115537848766E-2</v>
      </c>
      <c r="K2199" s="8">
        <v>-3.4172661870503503E-2</v>
      </c>
      <c r="L2199" s="8">
        <v>-0.28968253968253971</v>
      </c>
      <c r="M2199" s="18">
        <v>-0.13538408601519419</v>
      </c>
    </row>
    <row r="2200" spans="1:13" x14ac:dyDescent="0.45">
      <c r="A2200" t="s">
        <v>145</v>
      </c>
      <c r="B2200" s="18">
        <v>193.93</v>
      </c>
      <c r="C2200" s="18">
        <v>190.49</v>
      </c>
      <c r="D2200" s="18">
        <v>177.5</v>
      </c>
      <c r="E2200" s="18">
        <v>200.83</v>
      </c>
      <c r="F2200" s="18">
        <v>238.22</v>
      </c>
      <c r="G2200" s="18">
        <v>189.42179999999999</v>
      </c>
      <c r="H2200" s="18">
        <v>200.72450000000001</v>
      </c>
      <c r="I2200" s="8">
        <v>1.805869074492095E-2</v>
      </c>
      <c r="J2200" s="8">
        <v>9.2563380281690089E-2</v>
      </c>
      <c r="K2200" s="8">
        <v>-3.4357416720609553E-2</v>
      </c>
      <c r="L2200" s="8">
        <v>-0.1859205776173285</v>
      </c>
      <c r="M2200" s="18">
        <v>-0.10965592331132699</v>
      </c>
    </row>
    <row r="2201" spans="1:13" x14ac:dyDescent="0.45">
      <c r="A2201" t="s">
        <v>2117</v>
      </c>
      <c r="B2201" s="18">
        <v>220.14</v>
      </c>
      <c r="C2201" s="18">
        <v>223</v>
      </c>
      <c r="D2201" s="18">
        <v>197.67</v>
      </c>
      <c r="E2201" s="18">
        <v>228.1</v>
      </c>
      <c r="F2201" s="18">
        <v>280.42</v>
      </c>
      <c r="G2201" s="18">
        <v>219.02780000000001</v>
      </c>
      <c r="H2201" s="18">
        <v>231.20914999999999</v>
      </c>
      <c r="I2201" s="8">
        <v>-1.282511210762338E-2</v>
      </c>
      <c r="J2201" s="8">
        <v>0.1136743056609502</v>
      </c>
      <c r="K2201" s="8">
        <v>-3.4896975010960118E-2</v>
      </c>
      <c r="L2201" s="8">
        <v>-0.2149632693816419</v>
      </c>
      <c r="M2201" s="18">
        <v>-0.14901105083927521</v>
      </c>
    </row>
    <row r="2202" spans="1:13" x14ac:dyDescent="0.45">
      <c r="A2202" t="s">
        <v>695</v>
      </c>
      <c r="B2202" s="18">
        <v>102.93</v>
      </c>
      <c r="C2202" s="18">
        <v>103.12</v>
      </c>
      <c r="D2202" s="18">
        <v>107.68</v>
      </c>
      <c r="E2202" s="18">
        <v>106.69</v>
      </c>
      <c r="F2202" s="18">
        <v>160.80000000000001</v>
      </c>
      <c r="G2202" s="18">
        <v>105.6352</v>
      </c>
      <c r="H2202" s="18">
        <v>113.379</v>
      </c>
      <c r="I2202" s="8">
        <v>-1.84251357641585E-3</v>
      </c>
      <c r="J2202" s="8">
        <v>-4.4112184249628483E-2</v>
      </c>
      <c r="K2202" s="8">
        <v>-3.5242290748898619E-2</v>
      </c>
      <c r="L2202" s="8">
        <v>-0.35988805970149251</v>
      </c>
      <c r="M2202" s="18">
        <v>-0.44108504827643552</v>
      </c>
    </row>
    <row r="2203" spans="1:13" x14ac:dyDescent="0.45">
      <c r="A2203" t="s">
        <v>849</v>
      </c>
      <c r="B2203" s="18">
        <v>25.93</v>
      </c>
      <c r="C2203" s="18">
        <v>28.99</v>
      </c>
      <c r="D2203" s="18">
        <v>31.56</v>
      </c>
      <c r="E2203" s="18">
        <v>26.88</v>
      </c>
      <c r="F2203" s="18">
        <v>29.82</v>
      </c>
      <c r="G2203" s="18">
        <v>28.864000000000001</v>
      </c>
      <c r="H2203" s="18">
        <v>31.048200000000001</v>
      </c>
      <c r="I2203" s="8">
        <v>-0.1055536391859262</v>
      </c>
      <c r="J2203" s="8">
        <v>-0.17839036755386559</v>
      </c>
      <c r="K2203" s="8">
        <v>-3.5342261904761862E-2</v>
      </c>
      <c r="L2203" s="8">
        <v>-0.1304493628437291</v>
      </c>
      <c r="M2203" s="18">
        <v>-0.44973563148828283</v>
      </c>
    </row>
    <row r="2204" spans="1:13" x14ac:dyDescent="0.45">
      <c r="A2204" t="s">
        <v>2520</v>
      </c>
      <c r="B2204" s="18">
        <v>31.64</v>
      </c>
      <c r="C2204" s="18">
        <v>31.7</v>
      </c>
      <c r="D2204" s="18">
        <v>35.11</v>
      </c>
      <c r="E2204" s="18">
        <v>32.840000000000003</v>
      </c>
      <c r="F2204" s="18">
        <v>34.61</v>
      </c>
      <c r="G2204" s="18">
        <v>31.856999999999999</v>
      </c>
      <c r="H2204" s="18">
        <v>35.474350000000001</v>
      </c>
      <c r="I2204" s="8">
        <v>-1.892744479495279E-3</v>
      </c>
      <c r="J2204" s="8">
        <v>-9.8832241526630504E-2</v>
      </c>
      <c r="K2204" s="8">
        <v>-3.6540803897685881E-2</v>
      </c>
      <c r="L2204" s="8">
        <v>-8.5813348743137841E-2</v>
      </c>
      <c r="M2204" s="18">
        <v>-0.2230791386469495</v>
      </c>
    </row>
    <row r="2205" spans="1:13" x14ac:dyDescent="0.45">
      <c r="A2205" t="s">
        <v>2528</v>
      </c>
      <c r="B2205" s="18">
        <v>42.39</v>
      </c>
      <c r="C2205" s="18">
        <v>44.15</v>
      </c>
      <c r="D2205" s="18">
        <v>47.88</v>
      </c>
      <c r="E2205" s="18">
        <v>44.01</v>
      </c>
      <c r="F2205" s="18">
        <v>50.41</v>
      </c>
      <c r="G2205" s="18">
        <v>44.392000000000003</v>
      </c>
      <c r="H2205" s="18">
        <v>46.039200000000001</v>
      </c>
      <c r="I2205" s="8">
        <v>-3.9864099660249057E-2</v>
      </c>
      <c r="J2205" s="8">
        <v>-0.1146616541353384</v>
      </c>
      <c r="K2205" s="8">
        <v>-3.6809815950920137E-2</v>
      </c>
      <c r="L2205" s="8">
        <v>-0.15909541757587781</v>
      </c>
      <c r="M2205" s="18">
        <v>-0.35043098732238531</v>
      </c>
    </row>
    <row r="2206" spans="1:13" x14ac:dyDescent="0.45">
      <c r="A2206" t="s">
        <v>681</v>
      </c>
      <c r="B2206" s="18">
        <v>13.75</v>
      </c>
      <c r="C2206" s="18">
        <v>12.83</v>
      </c>
      <c r="D2206" s="18">
        <v>13.7</v>
      </c>
      <c r="E2206" s="18">
        <v>14.28</v>
      </c>
      <c r="F2206" s="18">
        <v>25.31</v>
      </c>
      <c r="G2206" s="18">
        <v>12.744199999999999</v>
      </c>
      <c r="H2206" s="18">
        <v>15.312150000000001</v>
      </c>
      <c r="I2206" s="8">
        <v>7.1706936866718696E-2</v>
      </c>
      <c r="J2206" s="8">
        <v>3.649635036496512E-3</v>
      </c>
      <c r="K2206" s="8">
        <v>-3.7114845938375329E-2</v>
      </c>
      <c r="L2206" s="8">
        <v>-0.45673646779928878</v>
      </c>
      <c r="M2206" s="18">
        <v>-0.4184947418344489</v>
      </c>
    </row>
    <row r="2207" spans="1:13" x14ac:dyDescent="0.45">
      <c r="A2207" t="s">
        <v>61</v>
      </c>
      <c r="B2207" s="18">
        <v>61.66</v>
      </c>
      <c r="C2207" s="18">
        <v>62.57</v>
      </c>
      <c r="D2207" s="18">
        <v>67.150000000000006</v>
      </c>
      <c r="E2207" s="18">
        <v>64.06</v>
      </c>
      <c r="F2207" s="18">
        <v>71.510000000000005</v>
      </c>
      <c r="G2207" s="18">
        <v>62.481200000000001</v>
      </c>
      <c r="H2207" s="18">
        <v>64.06797499999999</v>
      </c>
      <c r="I2207" s="8">
        <v>-1.4543711043631171E-2</v>
      </c>
      <c r="J2207" s="8">
        <v>-8.1757259865971821E-2</v>
      </c>
      <c r="K2207" s="8">
        <v>-3.7464876678114378E-2</v>
      </c>
      <c r="L2207" s="8">
        <v>-0.13774297301076791</v>
      </c>
      <c r="M2207" s="18">
        <v>-0.27150882059848519</v>
      </c>
    </row>
    <row r="2208" spans="1:13" x14ac:dyDescent="0.45">
      <c r="A2208" t="s">
        <v>685</v>
      </c>
      <c r="B2208" s="18">
        <v>72.31</v>
      </c>
      <c r="C2208" s="18">
        <v>73.599999999999994</v>
      </c>
      <c r="D2208" s="18">
        <v>77.11</v>
      </c>
      <c r="E2208" s="18">
        <v>75.14</v>
      </c>
      <c r="F2208" s="18">
        <v>83.77</v>
      </c>
      <c r="G2208" s="18">
        <v>73.566800000000001</v>
      </c>
      <c r="H2208" s="18">
        <v>76.025599999999997</v>
      </c>
      <c r="I2208" s="8">
        <v>-1.752717391304337E-2</v>
      </c>
      <c r="J2208" s="8">
        <v>-6.2248735572558611E-2</v>
      </c>
      <c r="K2208" s="8">
        <v>-3.7663029012509952E-2</v>
      </c>
      <c r="L2208" s="8">
        <v>-0.13680315148621211</v>
      </c>
      <c r="M2208" s="18">
        <v>-0.25424208998432413</v>
      </c>
    </row>
    <row r="2209" spans="1:13" x14ac:dyDescent="0.45">
      <c r="A2209" t="s">
        <v>441</v>
      </c>
      <c r="B2209" s="18">
        <v>105.92</v>
      </c>
      <c r="C2209" s="18">
        <v>110.85</v>
      </c>
      <c r="D2209" s="18">
        <v>104.66</v>
      </c>
      <c r="E2209" s="18">
        <v>110.18</v>
      </c>
      <c r="F2209" s="18">
        <v>117.39</v>
      </c>
      <c r="G2209" s="18">
        <v>109.4058</v>
      </c>
      <c r="H2209" s="18">
        <v>108.8772</v>
      </c>
      <c r="I2209" s="8">
        <v>-4.4474515110509587E-2</v>
      </c>
      <c r="J2209" s="8">
        <v>1.2038983374737191E-2</v>
      </c>
      <c r="K2209" s="8">
        <v>-3.8664004356507631E-2</v>
      </c>
      <c r="L2209" s="8">
        <v>-9.7708493057330204E-2</v>
      </c>
      <c r="M2209" s="18">
        <v>-0.16880802914961021</v>
      </c>
    </row>
    <row r="2210" spans="1:13" x14ac:dyDescent="0.45">
      <c r="A2210" t="s">
        <v>219</v>
      </c>
      <c r="B2210" s="18">
        <v>413.5</v>
      </c>
      <c r="C2210" s="18">
        <v>458.97</v>
      </c>
      <c r="D2210" s="18">
        <v>469.92</v>
      </c>
      <c r="E2210" s="18">
        <v>430.72</v>
      </c>
      <c r="F2210" s="18">
        <v>425.31</v>
      </c>
      <c r="G2210" s="18">
        <v>445.10410000000002</v>
      </c>
      <c r="H2210" s="18">
        <v>456.27924999999988</v>
      </c>
      <c r="I2210" s="8">
        <v>-9.9069655968799797E-2</v>
      </c>
      <c r="J2210" s="8">
        <v>-0.1200629894450119</v>
      </c>
      <c r="K2210" s="8">
        <v>-3.9979569093610778E-2</v>
      </c>
      <c r="L2210" s="8">
        <v>-2.7767981002092549E-2</v>
      </c>
      <c r="M2210" s="18">
        <v>-0.28688019550951499</v>
      </c>
    </row>
    <row r="2211" spans="1:13" x14ac:dyDescent="0.45">
      <c r="A2211" t="s">
        <v>690</v>
      </c>
      <c r="B2211" s="18">
        <v>27.35</v>
      </c>
      <c r="C2211" s="18">
        <v>31.41</v>
      </c>
      <c r="D2211" s="18">
        <v>30.94</v>
      </c>
      <c r="E2211" s="18">
        <v>28.49</v>
      </c>
      <c r="F2211" s="18">
        <v>35.630000000000003</v>
      </c>
      <c r="G2211" s="18">
        <v>29.8202</v>
      </c>
      <c r="H2211" s="18">
        <v>32.155700000000003</v>
      </c>
      <c r="I2211" s="8">
        <v>-0.1292581980261063</v>
      </c>
      <c r="J2211" s="8">
        <v>-0.1160310277957337</v>
      </c>
      <c r="K2211" s="8">
        <v>-4.0014040014039957E-2</v>
      </c>
      <c r="L2211" s="8">
        <v>-0.23238843671063711</v>
      </c>
      <c r="M2211" s="18">
        <v>-0.51769170254651709</v>
      </c>
    </row>
    <row r="2212" spans="1:13" x14ac:dyDescent="0.45">
      <c r="A2212" t="s">
        <v>2005</v>
      </c>
      <c r="B2212" s="18">
        <v>14.21</v>
      </c>
      <c r="C2212" s="18">
        <v>14.24</v>
      </c>
      <c r="D2212" s="18">
        <v>14.44</v>
      </c>
      <c r="E2212" s="18">
        <v>14.81</v>
      </c>
      <c r="F2212" s="18">
        <v>13.4</v>
      </c>
      <c r="G2212" s="18">
        <v>14.3592</v>
      </c>
      <c r="H2212" s="18">
        <v>15.422549999999999</v>
      </c>
      <c r="I2212" s="8">
        <v>-2.1067415730336991E-3</v>
      </c>
      <c r="J2212" s="8">
        <v>-1.592797783933508E-2</v>
      </c>
      <c r="K2212" s="8">
        <v>-4.0513166779203247E-2</v>
      </c>
      <c r="L2212" s="8">
        <v>6.0447761194029948E-2</v>
      </c>
      <c r="M2212" s="18">
        <v>1.8998750024579181E-3</v>
      </c>
    </row>
    <row r="2213" spans="1:13" x14ac:dyDescent="0.45">
      <c r="A2213" t="s">
        <v>1945</v>
      </c>
      <c r="B2213" s="18">
        <v>8.8000000000000007</v>
      </c>
      <c r="C2213" s="18">
        <v>10.18</v>
      </c>
      <c r="D2213" s="18">
        <v>10.74</v>
      </c>
      <c r="E2213" s="18">
        <v>9.18</v>
      </c>
      <c r="F2213" s="18">
        <v>11.65</v>
      </c>
      <c r="G2213" s="18">
        <v>9.9138000000000002</v>
      </c>
      <c r="H2213" s="18">
        <v>10.45905</v>
      </c>
      <c r="I2213" s="8">
        <v>-0.13555992141453821</v>
      </c>
      <c r="J2213" s="8">
        <v>-0.18063314711359399</v>
      </c>
      <c r="K2213" s="8">
        <v>-4.1394335511982461E-2</v>
      </c>
      <c r="L2213" s="8">
        <v>-0.24463519313304721</v>
      </c>
      <c r="M2213" s="18">
        <v>-0.60222259717316184</v>
      </c>
    </row>
    <row r="2214" spans="1:13" x14ac:dyDescent="0.45">
      <c r="A2214" t="s">
        <v>971</v>
      </c>
      <c r="B2214" s="18">
        <v>53.59</v>
      </c>
      <c r="C2214" s="18">
        <v>53.46</v>
      </c>
      <c r="D2214" s="18">
        <v>54.75</v>
      </c>
      <c r="E2214" s="18">
        <v>55.91</v>
      </c>
      <c r="F2214" s="18">
        <v>49.74</v>
      </c>
      <c r="G2214" s="18">
        <v>54.113799999999998</v>
      </c>
      <c r="H2214" s="18">
        <v>57.914999999999999</v>
      </c>
      <c r="I2214" s="8">
        <v>2.431724653946921E-3</v>
      </c>
      <c r="J2214" s="8">
        <v>-2.1187214611872118E-2</v>
      </c>
      <c r="K2214" s="8">
        <v>-4.1495260239670761E-2</v>
      </c>
      <c r="L2214" s="8">
        <v>7.7402492963409841E-2</v>
      </c>
      <c r="M2214" s="18">
        <v>1.7151742765813879E-2</v>
      </c>
    </row>
    <row r="2215" spans="1:13" x14ac:dyDescent="0.45">
      <c r="A2215" t="s">
        <v>2509</v>
      </c>
      <c r="B2215" s="18">
        <v>5.26</v>
      </c>
      <c r="C2215" s="18">
        <v>5.61</v>
      </c>
      <c r="D2215" s="18">
        <v>5.68</v>
      </c>
      <c r="E2215" s="18">
        <v>5.49</v>
      </c>
      <c r="F2215" s="18">
        <v>6.86</v>
      </c>
      <c r="G2215" s="18">
        <v>5.4655999999999993</v>
      </c>
      <c r="H2215" s="18">
        <v>5.8565499999999986</v>
      </c>
      <c r="I2215" s="8">
        <v>-6.2388591800356608E-2</v>
      </c>
      <c r="J2215" s="8">
        <v>-7.3943661971830998E-2</v>
      </c>
      <c r="K2215" s="8">
        <v>-4.1894353369763333E-2</v>
      </c>
      <c r="L2215" s="8">
        <v>-0.23323615160349859</v>
      </c>
      <c r="M2215" s="18">
        <v>-0.41146275874544957</v>
      </c>
    </row>
    <row r="2216" spans="1:13" x14ac:dyDescent="0.45">
      <c r="A2216" t="s">
        <v>1635</v>
      </c>
      <c r="B2216" s="18">
        <v>20.100000000000001</v>
      </c>
      <c r="C2216" s="18">
        <v>21.25</v>
      </c>
      <c r="D2216" s="18">
        <v>21.72</v>
      </c>
      <c r="E2216" s="18">
        <v>21</v>
      </c>
      <c r="F2216" s="18">
        <v>20.38</v>
      </c>
      <c r="G2216" s="18">
        <v>21.057824</v>
      </c>
      <c r="H2216" s="18">
        <v>20.884106500000001</v>
      </c>
      <c r="I2216" s="8">
        <v>-5.4117647058823493E-2</v>
      </c>
      <c r="J2216" s="8">
        <v>-7.4585635359115887E-2</v>
      </c>
      <c r="K2216" s="8">
        <v>-4.2857142857142823E-2</v>
      </c>
      <c r="L2216" s="8">
        <v>-1.373895976447481E-2</v>
      </c>
      <c r="M2216" s="18">
        <v>-0.18529938503955701</v>
      </c>
    </row>
    <row r="2217" spans="1:13" x14ac:dyDescent="0.45">
      <c r="A2217" t="s">
        <v>516</v>
      </c>
      <c r="B2217" s="18">
        <v>98.36</v>
      </c>
      <c r="C2217" s="18">
        <v>103.85</v>
      </c>
      <c r="D2217" s="18">
        <v>95.15</v>
      </c>
      <c r="E2217" s="18">
        <v>102.79</v>
      </c>
      <c r="F2217" s="18">
        <v>104.68</v>
      </c>
      <c r="G2217" s="18">
        <v>100.86920000000001</v>
      </c>
      <c r="H2217" s="18">
        <v>101.01425</v>
      </c>
      <c r="I2217" s="8">
        <v>-5.2864708714491997E-2</v>
      </c>
      <c r="J2217" s="8">
        <v>3.3736205990541279E-2</v>
      </c>
      <c r="K2217" s="8">
        <v>-4.3097577585368252E-2</v>
      </c>
      <c r="L2217" s="8">
        <v>-6.0374474589224403E-2</v>
      </c>
      <c r="M2217" s="18">
        <v>-0.12260055489854341</v>
      </c>
    </row>
    <row r="2218" spans="1:13" x14ac:dyDescent="0.45">
      <c r="A2218" t="s">
        <v>2479</v>
      </c>
      <c r="B2218" s="18">
        <v>2.66</v>
      </c>
      <c r="C2218" s="18">
        <v>2.77</v>
      </c>
      <c r="D2218" s="18">
        <v>2.92</v>
      </c>
      <c r="E2218" s="18">
        <v>2.78</v>
      </c>
      <c r="F2218" s="18">
        <v>3.22</v>
      </c>
      <c r="G2218" s="18">
        <v>2.7296</v>
      </c>
      <c r="H2218" s="18">
        <v>3.0487500000000001</v>
      </c>
      <c r="I2218" s="8">
        <v>-3.9711191335740081E-2</v>
      </c>
      <c r="J2218" s="8">
        <v>-8.9041095890410871E-2</v>
      </c>
      <c r="K2218" s="8">
        <v>-4.3165467625899123E-2</v>
      </c>
      <c r="L2218" s="8">
        <v>-0.17391304347826089</v>
      </c>
      <c r="M2218" s="18">
        <v>-0.34583079833031088</v>
      </c>
    </row>
    <row r="2219" spans="1:13" x14ac:dyDescent="0.45">
      <c r="A2219" t="s">
        <v>2183</v>
      </c>
      <c r="B2219" s="18">
        <v>43.46</v>
      </c>
      <c r="C2219" s="18">
        <v>44.5</v>
      </c>
      <c r="D2219" s="18">
        <v>55.33</v>
      </c>
      <c r="E2219" s="18">
        <v>45.48</v>
      </c>
      <c r="F2219" s="18">
        <v>51.52</v>
      </c>
      <c r="G2219" s="18">
        <v>44.822399999999988</v>
      </c>
      <c r="H2219" s="18">
        <v>50.971149999999987</v>
      </c>
      <c r="I2219" s="8">
        <v>-2.337078651685387E-2</v>
      </c>
      <c r="J2219" s="8">
        <v>-0.2145309958431231</v>
      </c>
      <c r="K2219" s="8">
        <v>-4.4415127528583898E-2</v>
      </c>
      <c r="L2219" s="8">
        <v>-0.15644409937888201</v>
      </c>
      <c r="M2219" s="18">
        <v>-0.43876100926744288</v>
      </c>
    </row>
    <row r="2220" spans="1:13" x14ac:dyDescent="0.45">
      <c r="A2220" t="s">
        <v>738</v>
      </c>
      <c r="B2220" s="18">
        <v>30.76</v>
      </c>
      <c r="C2220" s="18">
        <v>32.51</v>
      </c>
      <c r="D2220" s="18">
        <v>35</v>
      </c>
      <c r="E2220" s="18">
        <v>32.21</v>
      </c>
      <c r="F2220" s="18">
        <v>40.94</v>
      </c>
      <c r="G2220" s="18">
        <v>32.46</v>
      </c>
      <c r="H2220" s="18">
        <v>34.495449999999998</v>
      </c>
      <c r="I2220" s="8">
        <v>-5.3829590895109081E-2</v>
      </c>
      <c r="J2220" s="8">
        <v>-0.12114285714285709</v>
      </c>
      <c r="K2220" s="8">
        <v>-4.5017075442409182E-2</v>
      </c>
      <c r="L2220" s="8">
        <v>-0.24865657059110891</v>
      </c>
      <c r="M2220" s="18">
        <v>-0.46864609407148428</v>
      </c>
    </row>
    <row r="2221" spans="1:13" x14ac:dyDescent="0.45">
      <c r="A2221" t="s">
        <v>1665</v>
      </c>
      <c r="B2221" s="18">
        <v>8.9450000000000003</v>
      </c>
      <c r="C2221" s="18">
        <v>8.86</v>
      </c>
      <c r="D2221" s="18">
        <v>9.09</v>
      </c>
      <c r="E2221" s="18">
        <v>9.39</v>
      </c>
      <c r="F2221" s="18">
        <v>9.41</v>
      </c>
      <c r="G2221" s="18">
        <v>9.0262980000000006</v>
      </c>
      <c r="H2221" s="18">
        <v>9.2273095000000005</v>
      </c>
      <c r="I2221" s="8">
        <v>9.5936794582394125E-3</v>
      </c>
      <c r="J2221" s="8">
        <v>-1.5951595159515941E-2</v>
      </c>
      <c r="K2221" s="8">
        <v>-4.7390841320553823E-2</v>
      </c>
      <c r="L2221" s="8">
        <v>-4.9415515409139243E-2</v>
      </c>
      <c r="M2221" s="18">
        <v>-0.10316427243096959</v>
      </c>
    </row>
    <row r="2222" spans="1:13" x14ac:dyDescent="0.45">
      <c r="A2222" t="s">
        <v>2319</v>
      </c>
      <c r="B2222" s="18">
        <v>1.79</v>
      </c>
      <c r="C2222" s="18">
        <v>2.02</v>
      </c>
      <c r="D2222" s="18">
        <v>1.46</v>
      </c>
      <c r="E2222" s="18">
        <v>1.88</v>
      </c>
      <c r="F2222" s="18">
        <v>4.6500000000000004</v>
      </c>
      <c r="G2222" s="18">
        <v>1.8191999999999999</v>
      </c>
      <c r="H2222" s="18">
        <v>2.2898890000000001</v>
      </c>
      <c r="I2222" s="8">
        <v>-0.11386138613861389</v>
      </c>
      <c r="J2222" s="8">
        <v>0.22602739726027399</v>
      </c>
      <c r="K2222" s="8">
        <v>-4.787234042553179E-2</v>
      </c>
      <c r="L2222" s="8">
        <v>-0.61505376344086016</v>
      </c>
      <c r="M2222" s="18">
        <v>-0.55076009274473181</v>
      </c>
    </row>
    <row r="2223" spans="1:13" x14ac:dyDescent="0.45">
      <c r="A2223" t="s">
        <v>1984</v>
      </c>
      <c r="B2223" s="18">
        <v>106.53</v>
      </c>
      <c r="C2223" s="18">
        <v>105.88</v>
      </c>
      <c r="D2223" s="18">
        <v>107.66</v>
      </c>
      <c r="E2223" s="18">
        <v>111.91</v>
      </c>
      <c r="F2223" s="18">
        <v>114.49</v>
      </c>
      <c r="G2223" s="18">
        <v>107.1888</v>
      </c>
      <c r="H2223" s="18">
        <v>110.1461</v>
      </c>
      <c r="I2223" s="8">
        <v>6.1390253116735396E-3</v>
      </c>
      <c r="J2223" s="8">
        <v>-1.0496005944640509E-2</v>
      </c>
      <c r="K2223" s="8">
        <v>-4.8074345456170058E-2</v>
      </c>
      <c r="L2223" s="8">
        <v>-6.9525722770547582E-2</v>
      </c>
      <c r="M2223" s="18">
        <v>-0.1219570488596846</v>
      </c>
    </row>
    <row r="2224" spans="1:13" x14ac:dyDescent="0.45">
      <c r="A2224" t="s">
        <v>477</v>
      </c>
      <c r="B2224" s="18">
        <v>36.25</v>
      </c>
      <c r="C2224" s="18">
        <v>38.979999999999997</v>
      </c>
      <c r="D2224" s="18">
        <v>40.49</v>
      </c>
      <c r="E2224" s="18">
        <v>38.090000000000003</v>
      </c>
      <c r="F2224" s="18">
        <v>44.59</v>
      </c>
      <c r="G2224" s="18">
        <v>38.040599999999998</v>
      </c>
      <c r="H2224" s="18">
        <v>40.99015</v>
      </c>
      <c r="I2224" s="8">
        <v>-7.0035915854284148E-2</v>
      </c>
      <c r="J2224" s="8">
        <v>-0.104717214126945</v>
      </c>
      <c r="K2224" s="8">
        <v>-4.8306642163297497E-2</v>
      </c>
      <c r="L2224" s="8">
        <v>-0.1870374523435748</v>
      </c>
      <c r="M2224" s="18">
        <v>-0.41009722448810149</v>
      </c>
    </row>
    <row r="2225" spans="1:13" x14ac:dyDescent="0.45">
      <c r="A2225" t="s">
        <v>2400</v>
      </c>
      <c r="B2225" s="18">
        <v>11.97</v>
      </c>
      <c r="C2225" s="18">
        <v>13.11</v>
      </c>
      <c r="D2225" s="18">
        <v>13.78</v>
      </c>
      <c r="E2225" s="18">
        <v>12.58</v>
      </c>
      <c r="F2225" s="18">
        <v>17.07</v>
      </c>
      <c r="G2225" s="18">
        <v>12.9056</v>
      </c>
      <c r="H2225" s="18">
        <v>13.41445</v>
      </c>
      <c r="I2225" s="8">
        <v>-8.6956521739130377E-2</v>
      </c>
      <c r="J2225" s="8">
        <v>-0.1313497822931784</v>
      </c>
      <c r="K2225" s="8">
        <v>-4.8489666136724903E-2</v>
      </c>
      <c r="L2225" s="8">
        <v>-0.2987697715289982</v>
      </c>
      <c r="M2225" s="18">
        <v>-0.56556574169803187</v>
      </c>
    </row>
    <row r="2226" spans="1:13" x14ac:dyDescent="0.45">
      <c r="A2226" t="s">
        <v>409</v>
      </c>
      <c r="B2226" s="18">
        <v>150.69</v>
      </c>
      <c r="C2226" s="18">
        <v>159.46</v>
      </c>
      <c r="D2226" s="18">
        <v>158.49</v>
      </c>
      <c r="E2226" s="18">
        <v>158.38999999999999</v>
      </c>
      <c r="F2226" s="18">
        <v>168.88</v>
      </c>
      <c r="G2226" s="18">
        <v>155.17519999999999</v>
      </c>
      <c r="H2226" s="18">
        <v>162.1232</v>
      </c>
      <c r="I2226" s="8">
        <v>-5.4998118650445349E-2</v>
      </c>
      <c r="J2226" s="8">
        <v>-4.9214461480219678E-2</v>
      </c>
      <c r="K2226" s="8">
        <v>-4.8614180188143119E-2</v>
      </c>
      <c r="L2226" s="8">
        <v>-0.1077096162955945</v>
      </c>
      <c r="M2226" s="18">
        <v>-0.26053637661440271</v>
      </c>
    </row>
    <row r="2227" spans="1:13" x14ac:dyDescent="0.45">
      <c r="A2227" t="s">
        <v>1040</v>
      </c>
      <c r="B2227" s="18">
        <v>21.88</v>
      </c>
      <c r="C2227" s="18">
        <v>22.8</v>
      </c>
      <c r="D2227" s="18">
        <v>23.11</v>
      </c>
      <c r="E2227" s="18">
        <v>23</v>
      </c>
      <c r="F2227" s="18">
        <v>33.225000000000001</v>
      </c>
      <c r="G2227" s="18">
        <v>22.618400000000001</v>
      </c>
      <c r="H2227" s="18">
        <v>24.069575</v>
      </c>
      <c r="I2227" s="8">
        <v>-4.0350877192982582E-2</v>
      </c>
      <c r="J2227" s="8">
        <v>-5.3223712678494128E-2</v>
      </c>
      <c r="K2227" s="8">
        <v>-4.869565217391314E-2</v>
      </c>
      <c r="L2227" s="8">
        <v>-0.34145974416854791</v>
      </c>
      <c r="M2227" s="18">
        <v>-0.4837299862139377</v>
      </c>
    </row>
    <row r="2228" spans="1:13" x14ac:dyDescent="0.45">
      <c r="A2228" t="s">
        <v>1086</v>
      </c>
      <c r="B2228" s="18">
        <v>11.28</v>
      </c>
      <c r="C2228" s="18">
        <v>14.79</v>
      </c>
      <c r="D2228" s="18">
        <v>15.4</v>
      </c>
      <c r="E2228" s="18">
        <v>11.86</v>
      </c>
      <c r="F2228" s="18">
        <v>17.25</v>
      </c>
      <c r="G2228" s="18">
        <v>14.175800000000001</v>
      </c>
      <c r="H2228" s="18">
        <v>15.6724</v>
      </c>
      <c r="I2228" s="8">
        <v>-0.23732251521298181</v>
      </c>
      <c r="J2228" s="8">
        <v>-0.26753246753246762</v>
      </c>
      <c r="K2228" s="8">
        <v>-4.8903878583473892E-2</v>
      </c>
      <c r="L2228" s="8">
        <v>-0.34608695652173921</v>
      </c>
      <c r="M2228" s="18">
        <v>-0.89984581785066242</v>
      </c>
    </row>
    <row r="2229" spans="1:13" x14ac:dyDescent="0.45">
      <c r="A2229" t="s">
        <v>196</v>
      </c>
      <c r="B2229" s="18">
        <v>100.83</v>
      </c>
      <c r="C2229" s="18">
        <v>96.98</v>
      </c>
      <c r="D2229" s="18">
        <v>101.07</v>
      </c>
      <c r="E2229" s="18">
        <v>106.05</v>
      </c>
      <c r="F2229" s="18">
        <v>103.15</v>
      </c>
      <c r="G2229" s="18">
        <v>99.921199999999985</v>
      </c>
      <c r="H2229" s="18">
        <v>100.90175000000001</v>
      </c>
      <c r="I2229" s="8">
        <v>3.969890699113221E-2</v>
      </c>
      <c r="J2229" s="8">
        <v>-2.3745918670228239E-3</v>
      </c>
      <c r="K2229" s="8">
        <v>-4.9222065063649227E-2</v>
      </c>
      <c r="L2229" s="8">
        <v>-2.2491517207949618E-2</v>
      </c>
      <c r="M2229" s="18">
        <v>-3.4389267147489473E-2</v>
      </c>
    </row>
    <row r="2230" spans="1:13" x14ac:dyDescent="0.45">
      <c r="A2230" t="s">
        <v>2379</v>
      </c>
      <c r="B2230" s="18">
        <v>55.69</v>
      </c>
      <c r="C2230" s="18">
        <v>58.34</v>
      </c>
      <c r="D2230" s="18">
        <v>62.21</v>
      </c>
      <c r="E2230" s="18">
        <v>58.65</v>
      </c>
      <c r="F2230" s="18">
        <v>77.42</v>
      </c>
      <c r="G2230" s="18">
        <v>57.389400000000002</v>
      </c>
      <c r="H2230" s="18">
        <v>63.515900000000002</v>
      </c>
      <c r="I2230" s="8">
        <v>-4.542338018512182E-2</v>
      </c>
      <c r="J2230" s="8">
        <v>-0.10480630123774309</v>
      </c>
      <c r="K2230" s="8">
        <v>-5.0468883205456061E-2</v>
      </c>
      <c r="L2230" s="8">
        <v>-0.28067682769310259</v>
      </c>
      <c r="M2230" s="18">
        <v>-0.48137539232142368</v>
      </c>
    </row>
    <row r="2231" spans="1:13" x14ac:dyDescent="0.45">
      <c r="A2231" t="s">
        <v>1383</v>
      </c>
      <c r="B2231" s="18">
        <v>33.43</v>
      </c>
      <c r="C2231" s="18">
        <v>40.700000000000003</v>
      </c>
      <c r="D2231" s="18">
        <v>38.270000000000003</v>
      </c>
      <c r="E2231" s="18">
        <v>35.229999999999997</v>
      </c>
      <c r="F2231" s="18">
        <v>36.35</v>
      </c>
      <c r="G2231" s="18">
        <v>39.264400000000002</v>
      </c>
      <c r="H2231" s="18">
        <v>39.219900000000003</v>
      </c>
      <c r="I2231" s="8">
        <v>-0.1786240786240787</v>
      </c>
      <c r="J2231" s="8">
        <v>-0.1264698197021166</v>
      </c>
      <c r="K2231" s="8">
        <v>-5.1092818620493863E-2</v>
      </c>
      <c r="L2231" s="8">
        <v>-8.033012379642368E-2</v>
      </c>
      <c r="M2231" s="18">
        <v>-0.43651684074311281</v>
      </c>
    </row>
    <row r="2232" spans="1:13" x14ac:dyDescent="0.45">
      <c r="A2232" t="s">
        <v>674</v>
      </c>
      <c r="B2232" s="18">
        <v>37.51</v>
      </c>
      <c r="C2232" s="18">
        <v>36.19</v>
      </c>
      <c r="D2232" s="18">
        <v>38.29</v>
      </c>
      <c r="E2232" s="18">
        <v>39.549999999999997</v>
      </c>
      <c r="F2232" s="18">
        <v>37.880000000000003</v>
      </c>
      <c r="G2232" s="18">
        <v>36.949199999999998</v>
      </c>
      <c r="H2232" s="18">
        <v>38.081099999999999</v>
      </c>
      <c r="I2232" s="8">
        <v>3.6474164133738718E-2</v>
      </c>
      <c r="J2232" s="8">
        <v>-2.037085400887961E-2</v>
      </c>
      <c r="K2232" s="8">
        <v>-5.1580278128950718E-2</v>
      </c>
      <c r="L2232" s="8">
        <v>-9.7676874340022479E-3</v>
      </c>
      <c r="M2232" s="18">
        <v>-4.5244655438093861E-2</v>
      </c>
    </row>
    <row r="2233" spans="1:13" x14ac:dyDescent="0.45">
      <c r="A2233" t="s">
        <v>1884</v>
      </c>
      <c r="B2233" s="18">
        <v>11.26</v>
      </c>
      <c r="C2233" s="18">
        <v>12.9</v>
      </c>
      <c r="D2233" s="18">
        <v>12.57</v>
      </c>
      <c r="E2233" s="18">
        <v>11.88</v>
      </c>
      <c r="F2233" s="18">
        <v>11.23</v>
      </c>
      <c r="G2233" s="18">
        <v>12.1014</v>
      </c>
      <c r="H2233" s="18">
        <v>13.03125</v>
      </c>
      <c r="I2233" s="8">
        <v>-0.12713178294573649</v>
      </c>
      <c r="J2233" s="8">
        <v>-0.10421638822593481</v>
      </c>
      <c r="K2233" s="8">
        <v>-5.2188552188552229E-2</v>
      </c>
      <c r="L2233" s="8">
        <v>2.6714158504006491E-3</v>
      </c>
      <c r="M2233" s="18">
        <v>-0.28086530750982291</v>
      </c>
    </row>
    <row r="2234" spans="1:13" x14ac:dyDescent="0.45">
      <c r="A2234" t="s">
        <v>2462</v>
      </c>
      <c r="B2234" s="18">
        <v>173.69</v>
      </c>
      <c r="C2234" s="18">
        <v>177.61</v>
      </c>
      <c r="D2234" s="18">
        <v>182.01</v>
      </c>
      <c r="E2234" s="18">
        <v>183.26</v>
      </c>
      <c r="F2234" s="18">
        <v>176.41</v>
      </c>
      <c r="G2234" s="18">
        <v>180.30840000000001</v>
      </c>
      <c r="H2234" s="18">
        <v>185.58425</v>
      </c>
      <c r="I2234" s="8">
        <v>-2.2070829345194661E-2</v>
      </c>
      <c r="J2234" s="8">
        <v>-4.5711774078347263E-2</v>
      </c>
      <c r="K2234" s="8">
        <v>-5.222088835534211E-2</v>
      </c>
      <c r="L2234" s="8">
        <v>-1.541862706195796E-2</v>
      </c>
      <c r="M2234" s="18">
        <v>-0.13542211884084199</v>
      </c>
    </row>
    <row r="2235" spans="1:13" x14ac:dyDescent="0.45">
      <c r="A2235" t="s">
        <v>1628</v>
      </c>
      <c r="B2235" s="18">
        <v>97.47</v>
      </c>
      <c r="C2235" s="18">
        <v>103.39</v>
      </c>
      <c r="D2235" s="18">
        <v>113.51</v>
      </c>
      <c r="E2235" s="18">
        <v>102.88</v>
      </c>
      <c r="F2235" s="18">
        <v>137.37</v>
      </c>
      <c r="G2235" s="18">
        <v>104.4294</v>
      </c>
      <c r="H2235" s="18">
        <v>117.6889</v>
      </c>
      <c r="I2235" s="8">
        <v>-5.7258922526356559E-2</v>
      </c>
      <c r="J2235" s="8">
        <v>-0.14130913575896401</v>
      </c>
      <c r="K2235" s="8">
        <v>-5.258553654743392E-2</v>
      </c>
      <c r="L2235" s="8">
        <v>-0.29045643153526979</v>
      </c>
      <c r="M2235" s="18">
        <v>-0.54161002636802424</v>
      </c>
    </row>
    <row r="2236" spans="1:13" x14ac:dyDescent="0.45">
      <c r="A2236" t="s">
        <v>673</v>
      </c>
      <c r="B2236" s="18">
        <v>6.47</v>
      </c>
      <c r="C2236" s="18">
        <v>6.36</v>
      </c>
      <c r="D2236" s="18">
        <v>6.36</v>
      </c>
      <c r="E2236" s="18">
        <v>6.83</v>
      </c>
      <c r="F2236" s="18">
        <v>7.15</v>
      </c>
      <c r="G2236" s="18">
        <v>6.3857000000000008</v>
      </c>
      <c r="H2236" s="18">
        <v>6.9199400000000004</v>
      </c>
      <c r="I2236" s="8">
        <v>1.7295597484276559E-2</v>
      </c>
      <c r="J2236" s="8">
        <v>1.7295597484276559E-2</v>
      </c>
      <c r="K2236" s="8">
        <v>-5.2708638360175697E-2</v>
      </c>
      <c r="L2236" s="8">
        <v>-9.5104895104895171E-2</v>
      </c>
      <c r="M2236" s="18">
        <v>-0.11322233849651769</v>
      </c>
    </row>
    <row r="2237" spans="1:13" x14ac:dyDescent="0.45">
      <c r="A2237" t="s">
        <v>576</v>
      </c>
      <c r="B2237" s="18">
        <v>56.54</v>
      </c>
      <c r="C2237" s="18">
        <v>60.32</v>
      </c>
      <c r="D2237" s="18">
        <v>71</v>
      </c>
      <c r="E2237" s="18">
        <v>59.75</v>
      </c>
      <c r="F2237" s="18">
        <v>77.72</v>
      </c>
      <c r="G2237" s="18">
        <v>59.573799999999999</v>
      </c>
      <c r="H2237" s="18">
        <v>69.048599999999993</v>
      </c>
      <c r="I2237" s="8">
        <v>-6.2665782493368738E-2</v>
      </c>
      <c r="J2237" s="8">
        <v>-0.20366197183098589</v>
      </c>
      <c r="K2237" s="8">
        <v>-5.3723849372384953E-2</v>
      </c>
      <c r="L2237" s="8">
        <v>-0.27251672671127131</v>
      </c>
      <c r="M2237" s="18">
        <v>-0.59256833040801082</v>
      </c>
    </row>
    <row r="2238" spans="1:13" x14ac:dyDescent="0.45">
      <c r="A2238" t="s">
        <v>1088</v>
      </c>
      <c r="B2238" s="18">
        <v>13.34</v>
      </c>
      <c r="C2238" s="18">
        <v>14.43</v>
      </c>
      <c r="D2238" s="18">
        <v>15.11</v>
      </c>
      <c r="E2238" s="18">
        <v>14.1</v>
      </c>
      <c r="F2238" s="18">
        <v>20.84</v>
      </c>
      <c r="G2238" s="18">
        <v>13.8506</v>
      </c>
      <c r="H2238" s="18">
        <v>16.36645</v>
      </c>
      <c r="I2238" s="8">
        <v>-7.553707553707556E-2</v>
      </c>
      <c r="J2238" s="8">
        <v>-0.1171409662475181</v>
      </c>
      <c r="K2238" s="8">
        <v>-5.3900709219858123E-2</v>
      </c>
      <c r="L2238" s="8">
        <v>-0.35988483685220729</v>
      </c>
      <c r="M2238" s="18">
        <v>-0.6064635878566591</v>
      </c>
    </row>
    <row r="2239" spans="1:13" x14ac:dyDescent="0.45">
      <c r="A2239" t="s">
        <v>899</v>
      </c>
      <c r="B2239" s="18">
        <v>2.4500000000000002</v>
      </c>
      <c r="C2239" s="18">
        <v>2.92</v>
      </c>
      <c r="D2239" s="18">
        <v>2.8</v>
      </c>
      <c r="E2239" s="18">
        <v>2.59</v>
      </c>
      <c r="F2239" s="18">
        <v>3.42</v>
      </c>
      <c r="G2239" s="18">
        <v>2.7532000000000001</v>
      </c>
      <c r="H2239" s="18">
        <v>2.9658500000000001</v>
      </c>
      <c r="I2239" s="8">
        <v>-0.16095890410958891</v>
      </c>
      <c r="J2239" s="8">
        <v>-0.1249999999999999</v>
      </c>
      <c r="K2239" s="8">
        <v>-5.4054054054053953E-2</v>
      </c>
      <c r="L2239" s="8">
        <v>-0.283625730994152</v>
      </c>
      <c r="M2239" s="18">
        <v>-0.62363868915779475</v>
      </c>
    </row>
    <row r="2240" spans="1:13" x14ac:dyDescent="0.45">
      <c r="A2240" t="s">
        <v>1361</v>
      </c>
      <c r="B2240" s="18">
        <v>26.03</v>
      </c>
      <c r="C2240" s="18">
        <v>28.63</v>
      </c>
      <c r="D2240" s="18">
        <v>27.24</v>
      </c>
      <c r="E2240" s="18">
        <v>27.53</v>
      </c>
      <c r="F2240" s="18">
        <v>31.11</v>
      </c>
      <c r="G2240" s="18">
        <v>27.882400000000001</v>
      </c>
      <c r="H2240" s="18">
        <v>29.012550000000001</v>
      </c>
      <c r="I2240" s="8">
        <v>-9.0813831645127463E-2</v>
      </c>
      <c r="J2240" s="8">
        <v>-4.4419970631424333E-2</v>
      </c>
      <c r="K2240" s="8">
        <v>-5.4486015256084319E-2</v>
      </c>
      <c r="L2240" s="8">
        <v>-0.16329154612664731</v>
      </c>
      <c r="M2240" s="18">
        <v>-0.35301136365928337</v>
      </c>
    </row>
    <row r="2241" spans="1:13" x14ac:dyDescent="0.45">
      <c r="A2241" t="s">
        <v>1552</v>
      </c>
      <c r="B2241" s="18">
        <v>84.54</v>
      </c>
      <c r="C2241" s="18">
        <v>83.86</v>
      </c>
      <c r="D2241" s="18">
        <v>89.96</v>
      </c>
      <c r="E2241" s="18">
        <v>89.5</v>
      </c>
      <c r="F2241" s="18">
        <v>89.09</v>
      </c>
      <c r="G2241" s="18">
        <v>84.29519999999998</v>
      </c>
      <c r="H2241" s="18">
        <v>87.499750000000006</v>
      </c>
      <c r="I2241" s="8">
        <v>8.1087526830432299E-3</v>
      </c>
      <c r="J2241" s="8">
        <v>-6.0248999555357792E-2</v>
      </c>
      <c r="K2241" s="8">
        <v>-5.5418994413407703E-2</v>
      </c>
      <c r="L2241" s="8">
        <v>-5.1071949713772602E-2</v>
      </c>
      <c r="M2241" s="18">
        <v>-0.15863119099949491</v>
      </c>
    </row>
    <row r="2242" spans="1:13" x14ac:dyDescent="0.45">
      <c r="A2242" t="s">
        <v>1432</v>
      </c>
      <c r="B2242" s="18">
        <v>459.56</v>
      </c>
      <c r="C2242" s="18">
        <v>502.29</v>
      </c>
      <c r="D2242" s="18">
        <v>553.77</v>
      </c>
      <c r="E2242" s="18">
        <v>487.07</v>
      </c>
      <c r="F2242" s="18">
        <v>535</v>
      </c>
      <c r="G2242" s="18">
        <v>478.69539999999989</v>
      </c>
      <c r="H2242" s="18">
        <v>594.97214999999994</v>
      </c>
      <c r="I2242" s="8">
        <v>-8.5070377670270148E-2</v>
      </c>
      <c r="J2242" s="8">
        <v>-0.1701247810462827</v>
      </c>
      <c r="K2242" s="8">
        <v>-5.6480588005830779E-2</v>
      </c>
      <c r="L2242" s="8">
        <v>-0.1410093457943925</v>
      </c>
      <c r="M2242" s="18">
        <v>-0.45268509251677608</v>
      </c>
    </row>
    <row r="2243" spans="1:13" x14ac:dyDescent="0.45">
      <c r="A2243" t="s">
        <v>951</v>
      </c>
      <c r="B2243" s="18">
        <v>66.260000000000005</v>
      </c>
      <c r="C2243" s="18">
        <v>70.540000000000006</v>
      </c>
      <c r="D2243" s="18">
        <v>77.58</v>
      </c>
      <c r="E2243" s="18">
        <v>70.239999999999995</v>
      </c>
      <c r="F2243" s="18">
        <v>94.27</v>
      </c>
      <c r="G2243" s="18">
        <v>71.315600000000003</v>
      </c>
      <c r="H2243" s="18">
        <v>78.547650000000004</v>
      </c>
      <c r="I2243" s="8">
        <v>-6.0674794442869273E-2</v>
      </c>
      <c r="J2243" s="8">
        <v>-0.1459138953338488</v>
      </c>
      <c r="K2243" s="8">
        <v>-5.6662870159453149E-2</v>
      </c>
      <c r="L2243" s="8">
        <v>-0.29712527845550007</v>
      </c>
      <c r="M2243" s="18">
        <v>-0.56037683839167129</v>
      </c>
    </row>
    <row r="2244" spans="1:13" x14ac:dyDescent="0.45">
      <c r="A2244" t="s">
        <v>1672</v>
      </c>
      <c r="B2244" s="18">
        <v>11.385</v>
      </c>
      <c r="C2244" s="18">
        <v>11.42</v>
      </c>
      <c r="D2244" s="18">
        <v>11.79</v>
      </c>
      <c r="E2244" s="18">
        <v>12.07</v>
      </c>
      <c r="F2244" s="18">
        <v>12.14</v>
      </c>
      <c r="G2244" s="18">
        <v>11.5905</v>
      </c>
      <c r="H2244" s="18">
        <v>11.85194514</v>
      </c>
      <c r="I2244" s="8">
        <v>-3.0647985989492592E-3</v>
      </c>
      <c r="J2244" s="8">
        <v>-3.4351145038167941E-2</v>
      </c>
      <c r="K2244" s="8">
        <v>-5.6752278376139283E-2</v>
      </c>
      <c r="L2244" s="8">
        <v>-6.2191103789126963E-2</v>
      </c>
      <c r="M2244" s="18">
        <v>-0.1563593258023834</v>
      </c>
    </row>
    <row r="2245" spans="1:13" x14ac:dyDescent="0.45">
      <c r="A2245" t="s">
        <v>1317</v>
      </c>
      <c r="B2245" s="18">
        <v>91.02</v>
      </c>
      <c r="C2245" s="18">
        <v>95.57</v>
      </c>
      <c r="D2245" s="18">
        <v>102.37</v>
      </c>
      <c r="E2245" s="18">
        <v>96.5</v>
      </c>
      <c r="F2245" s="18">
        <v>114.99</v>
      </c>
      <c r="G2245" s="18">
        <v>93.950800000000001</v>
      </c>
      <c r="H2245" s="18">
        <v>103.64019999999999</v>
      </c>
      <c r="I2245" s="8">
        <v>-4.7609082348017077E-2</v>
      </c>
      <c r="J2245" s="8">
        <v>-0.1108723258767218</v>
      </c>
      <c r="K2245" s="8">
        <v>-5.6787564766839438E-2</v>
      </c>
      <c r="L2245" s="8">
        <v>-0.20845290894860419</v>
      </c>
      <c r="M2245" s="18">
        <v>-0.42372188194018262</v>
      </c>
    </row>
    <row r="2246" spans="1:13" x14ac:dyDescent="0.45">
      <c r="A2246" t="s">
        <v>2003</v>
      </c>
      <c r="B2246" s="18">
        <v>12.52</v>
      </c>
      <c r="C2246" s="18">
        <v>14.25</v>
      </c>
      <c r="D2246" s="18">
        <v>13.71</v>
      </c>
      <c r="E2246" s="18">
        <v>13.28</v>
      </c>
      <c r="F2246" s="18">
        <v>21.79</v>
      </c>
      <c r="G2246" s="18">
        <v>13.281000000000001</v>
      </c>
      <c r="H2246" s="18">
        <v>15.0459</v>
      </c>
      <c r="I2246" s="8">
        <v>-0.12140350877192981</v>
      </c>
      <c r="J2246" s="8">
        <v>-8.6797957695113115E-2</v>
      </c>
      <c r="K2246" s="8">
        <v>-5.7228915662650537E-2</v>
      </c>
      <c r="L2246" s="8">
        <v>-0.42542450665442871</v>
      </c>
      <c r="M2246" s="18">
        <v>-0.69085488878412216</v>
      </c>
    </row>
    <row r="2247" spans="1:13" x14ac:dyDescent="0.45">
      <c r="A2247" t="s">
        <v>1824</v>
      </c>
      <c r="B2247" s="18">
        <v>30.61</v>
      </c>
      <c r="C2247" s="18">
        <v>31.85</v>
      </c>
      <c r="D2247" s="18">
        <v>32.229999999999997</v>
      </c>
      <c r="E2247" s="18">
        <v>32.5</v>
      </c>
      <c r="F2247" s="18">
        <v>44.63</v>
      </c>
      <c r="G2247" s="18">
        <v>30.815999999999999</v>
      </c>
      <c r="H2247" s="18">
        <v>34.527299999999997</v>
      </c>
      <c r="I2247" s="8">
        <v>-3.8932496075353318E-2</v>
      </c>
      <c r="J2247" s="8">
        <v>-5.0263729444616767E-2</v>
      </c>
      <c r="K2247" s="8">
        <v>-5.8153846153846223E-2</v>
      </c>
      <c r="L2247" s="8">
        <v>-0.31413847187990152</v>
      </c>
      <c r="M2247" s="18">
        <v>-0.46148854355371782</v>
      </c>
    </row>
    <row r="2248" spans="1:13" x14ac:dyDescent="0.45">
      <c r="A2248" t="s">
        <v>1530</v>
      </c>
      <c r="B2248" s="18">
        <v>82.23</v>
      </c>
      <c r="C2248" s="18">
        <v>87.87</v>
      </c>
      <c r="D2248" s="18">
        <v>117.05</v>
      </c>
      <c r="E2248" s="18">
        <v>87.32</v>
      </c>
      <c r="F2248" s="18">
        <v>123.23</v>
      </c>
      <c r="G2248" s="18">
        <v>91.881599999999992</v>
      </c>
      <c r="H2248" s="18">
        <v>102.70484999999999</v>
      </c>
      <c r="I2248" s="8">
        <v>-6.4185728917719342E-2</v>
      </c>
      <c r="J2248" s="8">
        <v>-0.29747970952584363</v>
      </c>
      <c r="K2248" s="8">
        <v>-5.8291342189647162E-2</v>
      </c>
      <c r="L2248" s="8">
        <v>-0.33271119045686931</v>
      </c>
      <c r="M2248" s="18">
        <v>-0.75266797109007932</v>
      </c>
    </row>
    <row r="2249" spans="1:13" x14ac:dyDescent="0.45">
      <c r="A2249" t="s">
        <v>1043</v>
      </c>
      <c r="B2249" s="18">
        <v>95.77</v>
      </c>
      <c r="C2249" s="18">
        <v>104.99</v>
      </c>
      <c r="D2249" s="18">
        <v>105.49</v>
      </c>
      <c r="E2249" s="18">
        <v>101.7</v>
      </c>
      <c r="F2249" s="18">
        <v>137.54</v>
      </c>
      <c r="G2249" s="18">
        <v>104.16240000000001</v>
      </c>
      <c r="H2249" s="18">
        <v>109.0603</v>
      </c>
      <c r="I2249" s="8">
        <v>-8.781788741784935E-2</v>
      </c>
      <c r="J2249" s="8">
        <v>-9.2141435207128586E-2</v>
      </c>
      <c r="K2249" s="8">
        <v>-5.8308751229105282E-2</v>
      </c>
      <c r="L2249" s="8">
        <v>-0.30369347099025729</v>
      </c>
      <c r="M2249" s="18">
        <v>-0.54196154484434056</v>
      </c>
    </row>
    <row r="2250" spans="1:13" x14ac:dyDescent="0.45">
      <c r="A2250" t="s">
        <v>1154</v>
      </c>
      <c r="B2250" s="18">
        <v>24.48</v>
      </c>
      <c r="C2250" s="18">
        <v>28.54</v>
      </c>
      <c r="D2250" s="18">
        <v>22.75</v>
      </c>
      <c r="E2250" s="18">
        <v>26.02</v>
      </c>
      <c r="F2250" s="18">
        <v>31.83</v>
      </c>
      <c r="G2250" s="18">
        <v>27.367999999999999</v>
      </c>
      <c r="H2250" s="18">
        <v>27.5685</v>
      </c>
      <c r="I2250" s="8">
        <v>-0.14225648213034339</v>
      </c>
      <c r="J2250" s="8">
        <v>7.6043956043956085E-2</v>
      </c>
      <c r="K2250" s="8">
        <v>-5.9185242121445047E-2</v>
      </c>
      <c r="L2250" s="8">
        <v>-0.2309142318567389</v>
      </c>
      <c r="M2250" s="18">
        <v>-0.3563120000645712</v>
      </c>
    </row>
    <row r="2251" spans="1:13" x14ac:dyDescent="0.45">
      <c r="A2251" t="s">
        <v>1102</v>
      </c>
      <c r="B2251" s="18">
        <v>6.79</v>
      </c>
      <c r="C2251" s="18">
        <v>7.14</v>
      </c>
      <c r="D2251" s="18">
        <v>7.8</v>
      </c>
      <c r="E2251" s="18">
        <v>7.22</v>
      </c>
      <c r="F2251" s="18">
        <v>9.8699999999999992</v>
      </c>
      <c r="G2251" s="18">
        <v>6.9093999999999998</v>
      </c>
      <c r="H2251" s="18">
        <v>7.7842000000000011</v>
      </c>
      <c r="I2251" s="8">
        <v>-4.9019607843137192E-2</v>
      </c>
      <c r="J2251" s="8">
        <v>-0.1294871794871795</v>
      </c>
      <c r="K2251" s="8">
        <v>-5.9556786703601088E-2</v>
      </c>
      <c r="L2251" s="8">
        <v>-0.31205673758865238</v>
      </c>
      <c r="M2251" s="18">
        <v>-0.55012031162257014</v>
      </c>
    </row>
    <row r="2252" spans="1:13" x14ac:dyDescent="0.45">
      <c r="A2252" t="s">
        <v>91</v>
      </c>
      <c r="B2252" s="18">
        <v>151.69999999999999</v>
      </c>
      <c r="C2252" s="18">
        <v>175.65</v>
      </c>
      <c r="D2252" s="18">
        <v>201.58</v>
      </c>
      <c r="E2252" s="18">
        <v>161.44999999999999</v>
      </c>
      <c r="F2252" s="18">
        <v>165.92</v>
      </c>
      <c r="G2252" s="18">
        <v>171.80199999999999</v>
      </c>
      <c r="H2252" s="18">
        <v>178.942825</v>
      </c>
      <c r="I2252" s="8">
        <v>-0.1363506974096215</v>
      </c>
      <c r="J2252" s="8">
        <v>-0.2474451830538745</v>
      </c>
      <c r="K2252" s="8">
        <v>-6.0390213688448442E-2</v>
      </c>
      <c r="L2252" s="8">
        <v>-8.5703953712632619E-2</v>
      </c>
      <c r="M2252" s="18">
        <v>-0.52989004786457705</v>
      </c>
    </row>
    <row r="2253" spans="1:13" x14ac:dyDescent="0.45">
      <c r="A2253" t="s">
        <v>1097</v>
      </c>
      <c r="B2253" s="18">
        <v>17.66</v>
      </c>
      <c r="C2253" s="18">
        <v>18.079999999999998</v>
      </c>
      <c r="D2253" s="18">
        <v>18.77</v>
      </c>
      <c r="E2253" s="18">
        <v>18.809999999999999</v>
      </c>
      <c r="F2253" s="18">
        <v>24.31</v>
      </c>
      <c r="G2253" s="18">
        <v>18.167400000000001</v>
      </c>
      <c r="H2253" s="18">
        <v>19.241</v>
      </c>
      <c r="I2253" s="8">
        <v>-2.3230088495575171E-2</v>
      </c>
      <c r="J2253" s="8">
        <v>-5.913692061800746E-2</v>
      </c>
      <c r="K2253" s="8">
        <v>-6.1137692716640053E-2</v>
      </c>
      <c r="L2253" s="8">
        <v>-0.27354997943233228</v>
      </c>
      <c r="M2253" s="18">
        <v>-0.41705468126255502</v>
      </c>
    </row>
    <row r="2254" spans="1:13" x14ac:dyDescent="0.45">
      <c r="A2254" t="s">
        <v>481</v>
      </c>
      <c r="B2254" s="18">
        <v>86.25</v>
      </c>
      <c r="C2254" s="18">
        <v>84.4</v>
      </c>
      <c r="D2254" s="18">
        <v>102.92</v>
      </c>
      <c r="E2254" s="18">
        <v>91.92</v>
      </c>
      <c r="F2254" s="18">
        <v>131.25</v>
      </c>
      <c r="G2254" s="18">
        <v>85.771199999999993</v>
      </c>
      <c r="H2254" s="18">
        <v>102.9533</v>
      </c>
      <c r="I2254" s="8">
        <v>2.1919431279620701E-2</v>
      </c>
      <c r="J2254" s="8">
        <v>-0.16197046249514191</v>
      </c>
      <c r="K2254" s="8">
        <v>-6.1684073107049597E-2</v>
      </c>
      <c r="L2254" s="8">
        <v>-0.34285714285714292</v>
      </c>
      <c r="M2254" s="18">
        <v>-0.54459224717971366</v>
      </c>
    </row>
    <row r="2255" spans="1:13" x14ac:dyDescent="0.45">
      <c r="A2255" t="s">
        <v>2404</v>
      </c>
      <c r="B2255" s="18">
        <v>21.19</v>
      </c>
      <c r="C2255" s="18">
        <v>22.05</v>
      </c>
      <c r="D2255" s="18">
        <v>24.35</v>
      </c>
      <c r="E2255" s="18">
        <v>22.59</v>
      </c>
      <c r="F2255" s="18">
        <v>23.87</v>
      </c>
      <c r="G2255" s="18">
        <v>21.724364000000001</v>
      </c>
      <c r="H2255" s="18">
        <v>23.2251975</v>
      </c>
      <c r="I2255" s="8">
        <v>-3.900226757369607E-2</v>
      </c>
      <c r="J2255" s="8">
        <v>-0.12977412731006149</v>
      </c>
      <c r="K2255" s="8">
        <v>-6.1974324922532083E-2</v>
      </c>
      <c r="L2255" s="8">
        <v>-0.1122748219522413</v>
      </c>
      <c r="M2255" s="18">
        <v>-0.34302554175853089</v>
      </c>
    </row>
    <row r="2256" spans="1:13" x14ac:dyDescent="0.45">
      <c r="A2256" t="s">
        <v>1684</v>
      </c>
      <c r="B2256" s="18">
        <v>28.25</v>
      </c>
      <c r="C2256" s="18">
        <v>32.5</v>
      </c>
      <c r="D2256" s="18">
        <v>31.99</v>
      </c>
      <c r="E2256" s="18">
        <v>30.13</v>
      </c>
      <c r="F2256" s="18">
        <v>36.79</v>
      </c>
      <c r="G2256" s="18">
        <v>31.0168</v>
      </c>
      <c r="H2256" s="18">
        <v>32.886299999999999</v>
      </c>
      <c r="I2256" s="8">
        <v>-0.13076923076923069</v>
      </c>
      <c r="J2256" s="8">
        <v>-0.11691153485464199</v>
      </c>
      <c r="K2256" s="8">
        <v>-6.2396282774643153E-2</v>
      </c>
      <c r="L2256" s="8">
        <v>-0.23212829573253599</v>
      </c>
      <c r="M2256" s="18">
        <v>-0.54220534413105193</v>
      </c>
    </row>
    <row r="2257" spans="1:13" x14ac:dyDescent="0.45">
      <c r="A2257" t="s">
        <v>26</v>
      </c>
      <c r="B2257" s="18">
        <v>30.77</v>
      </c>
      <c r="C2257" s="18">
        <v>33.67</v>
      </c>
      <c r="D2257" s="18">
        <v>35.42</v>
      </c>
      <c r="E2257" s="18">
        <v>32.840000000000003</v>
      </c>
      <c r="F2257" s="18">
        <v>41.19</v>
      </c>
      <c r="G2257" s="18">
        <v>32.575000000000003</v>
      </c>
      <c r="H2257" s="18">
        <v>34.712000000000003</v>
      </c>
      <c r="I2257" s="8">
        <v>-8.6130086130086214E-2</v>
      </c>
      <c r="J2257" s="8">
        <v>-0.1312817617165444</v>
      </c>
      <c r="K2257" s="8">
        <v>-6.3032886723508041E-2</v>
      </c>
      <c r="L2257" s="8">
        <v>-0.25297402282107312</v>
      </c>
      <c r="M2257" s="18">
        <v>-0.5334187573912117</v>
      </c>
    </row>
    <row r="2258" spans="1:13" x14ac:dyDescent="0.45">
      <c r="A2258" t="s">
        <v>1720</v>
      </c>
      <c r="B2258" s="18">
        <v>5.2869999999999999</v>
      </c>
      <c r="C2258" s="18">
        <v>5.55</v>
      </c>
      <c r="D2258" s="18">
        <v>5.6414</v>
      </c>
      <c r="E2258" s="18">
        <v>5.65</v>
      </c>
      <c r="F2258" s="18">
        <v>5.75</v>
      </c>
      <c r="G2258" s="18">
        <v>5.5832119999999996</v>
      </c>
      <c r="H2258" s="18">
        <v>5.7926749999999991</v>
      </c>
      <c r="I2258" s="8">
        <v>-4.7387387387387347E-2</v>
      </c>
      <c r="J2258" s="8">
        <v>-6.2821285496508006E-2</v>
      </c>
      <c r="K2258" s="8">
        <v>-6.4247787610619556E-2</v>
      </c>
      <c r="L2258" s="8">
        <v>-8.0521739130434811E-2</v>
      </c>
      <c r="M2258" s="18">
        <v>-0.25497819962494972</v>
      </c>
    </row>
    <row r="2259" spans="1:13" x14ac:dyDescent="0.45">
      <c r="A2259" t="s">
        <v>2022</v>
      </c>
      <c r="B2259" s="18">
        <v>64.290000000000006</v>
      </c>
      <c r="C2259" s="18">
        <v>84.15</v>
      </c>
      <c r="D2259" s="18">
        <v>92.59</v>
      </c>
      <c r="E2259" s="18">
        <v>68.72</v>
      </c>
      <c r="F2259" s="18">
        <v>79.59</v>
      </c>
      <c r="G2259" s="18">
        <v>76.584800000000001</v>
      </c>
      <c r="H2259" s="18">
        <v>85.026749999999993</v>
      </c>
      <c r="I2259" s="8">
        <v>-0.23600713012477709</v>
      </c>
      <c r="J2259" s="8">
        <v>-0.30564855815962838</v>
      </c>
      <c r="K2259" s="8">
        <v>-6.4464493597205963E-2</v>
      </c>
      <c r="L2259" s="8">
        <v>-0.1922352054278175</v>
      </c>
      <c r="M2259" s="18">
        <v>-0.79835538730942901</v>
      </c>
    </row>
    <row r="2260" spans="1:13" x14ac:dyDescent="0.45">
      <c r="A2260" t="s">
        <v>1609</v>
      </c>
      <c r="B2260" s="18">
        <v>25.94</v>
      </c>
      <c r="C2260" s="18">
        <v>28.64</v>
      </c>
      <c r="D2260" s="18">
        <v>29.4</v>
      </c>
      <c r="E2260" s="18">
        <v>27.73</v>
      </c>
      <c r="F2260" s="18">
        <v>24.88</v>
      </c>
      <c r="G2260" s="18">
        <v>27.949000000000002</v>
      </c>
      <c r="H2260" s="18">
        <v>28.825150000000001</v>
      </c>
      <c r="I2260" s="8">
        <v>-9.4273743016759726E-2</v>
      </c>
      <c r="J2260" s="8">
        <v>-0.1176870748299319</v>
      </c>
      <c r="K2260" s="8">
        <v>-6.455102776776056E-2</v>
      </c>
      <c r="L2260" s="8">
        <v>4.2604501607717227E-2</v>
      </c>
      <c r="M2260" s="18">
        <v>-0.23390734400673499</v>
      </c>
    </row>
    <row r="2261" spans="1:13" x14ac:dyDescent="0.45">
      <c r="A2261" t="s">
        <v>1629</v>
      </c>
      <c r="B2261" s="18">
        <v>8.08</v>
      </c>
      <c r="C2261" s="18">
        <v>8.0399999999999991</v>
      </c>
      <c r="D2261" s="18">
        <v>8.24</v>
      </c>
      <c r="E2261" s="18">
        <v>8.64</v>
      </c>
      <c r="F2261" s="18">
        <v>8.68</v>
      </c>
      <c r="G2261" s="18">
        <v>8.1866199999999996</v>
      </c>
      <c r="H2261" s="18">
        <v>8.3865050000000014</v>
      </c>
      <c r="I2261" s="8">
        <v>4.9751243781095411E-3</v>
      </c>
      <c r="J2261" s="8">
        <v>-1.9417475728155331E-2</v>
      </c>
      <c r="K2261" s="8">
        <v>-6.4814814814814881E-2</v>
      </c>
      <c r="L2261" s="8">
        <v>-6.9124423963133563E-2</v>
      </c>
      <c r="M2261" s="18">
        <v>-0.14838159012799421</v>
      </c>
    </row>
    <row r="2262" spans="1:13" x14ac:dyDescent="0.45">
      <c r="A2262" t="s">
        <v>1312</v>
      </c>
      <c r="B2262" s="18">
        <v>2.09</v>
      </c>
      <c r="C2262" s="18">
        <v>2.0299999999999998</v>
      </c>
      <c r="D2262" s="18">
        <v>2.3999000000000001</v>
      </c>
      <c r="E2262" s="18">
        <v>2.2349999999999999</v>
      </c>
      <c r="F2262" s="18">
        <v>3.15</v>
      </c>
      <c r="G2262" s="18">
        <v>2.1556068399999999</v>
      </c>
      <c r="H2262" s="18">
        <v>2.3117642100000002</v>
      </c>
      <c r="I2262" s="8">
        <v>2.9556650246305379E-2</v>
      </c>
      <c r="J2262" s="8">
        <v>-0.12913038043251809</v>
      </c>
      <c r="K2262" s="8">
        <v>-6.4876957494407139E-2</v>
      </c>
      <c r="L2262" s="8">
        <v>-0.33650793650793648</v>
      </c>
      <c r="M2262" s="18">
        <v>-0.50095862418855641</v>
      </c>
    </row>
    <row r="2263" spans="1:13" x14ac:dyDescent="0.45">
      <c r="A2263" t="s">
        <v>410</v>
      </c>
      <c r="B2263" s="18">
        <v>243.06</v>
      </c>
      <c r="C2263" s="18">
        <v>243.26</v>
      </c>
      <c r="D2263" s="18">
        <v>249.38</v>
      </c>
      <c r="E2263" s="18">
        <v>260.38</v>
      </c>
      <c r="F2263" s="18">
        <v>255.36</v>
      </c>
      <c r="G2263" s="18">
        <v>245.1412</v>
      </c>
      <c r="H2263" s="18">
        <v>259.28025000000002</v>
      </c>
      <c r="I2263" s="8">
        <v>-8.2216558414860419E-4</v>
      </c>
      <c r="J2263" s="8">
        <v>-2.5342850268666232E-2</v>
      </c>
      <c r="K2263" s="8">
        <v>-6.6518165757738612E-2</v>
      </c>
      <c r="L2263" s="8">
        <v>-4.8167293233082782E-2</v>
      </c>
      <c r="M2263" s="18">
        <v>-0.14085047484363619</v>
      </c>
    </row>
    <row r="2264" spans="1:13" x14ac:dyDescent="0.45">
      <c r="A2264" t="s">
        <v>1709</v>
      </c>
      <c r="B2264" s="18">
        <v>16.55</v>
      </c>
      <c r="C2264" s="18">
        <v>17.920000000000002</v>
      </c>
      <c r="D2264" s="18">
        <v>19.190000000000001</v>
      </c>
      <c r="E2264" s="18">
        <v>17.79</v>
      </c>
      <c r="F2264" s="18">
        <v>20.18</v>
      </c>
      <c r="G2264" s="18">
        <v>17.572600000000001</v>
      </c>
      <c r="H2264" s="18">
        <v>19.361699999999999</v>
      </c>
      <c r="I2264" s="8">
        <v>-7.6450892857142905E-2</v>
      </c>
      <c r="J2264" s="8">
        <v>-0.13757165190203241</v>
      </c>
      <c r="K2264" s="8">
        <v>-6.9702079820123553E-2</v>
      </c>
      <c r="L2264" s="8">
        <v>-0.17988107036669959</v>
      </c>
      <c r="M2264" s="18">
        <v>-0.46360569494599851</v>
      </c>
    </row>
    <row r="2265" spans="1:13" x14ac:dyDescent="0.45">
      <c r="A2265" t="s">
        <v>119</v>
      </c>
      <c r="B2265" s="18">
        <v>7.97</v>
      </c>
      <c r="C2265" s="18">
        <v>8.19</v>
      </c>
      <c r="D2265" s="18">
        <v>9.83</v>
      </c>
      <c r="E2265" s="18">
        <v>8.57</v>
      </c>
      <c r="F2265" s="18">
        <v>11.2</v>
      </c>
      <c r="G2265" s="18">
        <v>8.5915999999999997</v>
      </c>
      <c r="H2265" s="18">
        <v>9.3046500000000005</v>
      </c>
      <c r="I2265" s="8">
        <v>-2.6862026862026881E-2</v>
      </c>
      <c r="J2265" s="8">
        <v>-0.1892166836215666</v>
      </c>
      <c r="K2265" s="8">
        <v>-7.0011668611435263E-2</v>
      </c>
      <c r="L2265" s="8">
        <v>-0.28839285714285712</v>
      </c>
      <c r="M2265" s="18">
        <v>-0.57448323623788589</v>
      </c>
    </row>
    <row r="2266" spans="1:13" x14ac:dyDescent="0.45">
      <c r="A2266" t="s">
        <v>1758</v>
      </c>
      <c r="B2266" s="18">
        <v>13.66</v>
      </c>
      <c r="C2266" s="18">
        <v>15.77</v>
      </c>
      <c r="D2266" s="18">
        <v>17.010000000000002</v>
      </c>
      <c r="E2266" s="18">
        <v>14.69</v>
      </c>
      <c r="F2266" s="18">
        <v>17.239999999999998</v>
      </c>
      <c r="G2266" s="18">
        <v>15.4032</v>
      </c>
      <c r="H2266" s="18">
        <v>16.271350000000002</v>
      </c>
      <c r="I2266" s="8">
        <v>-0.13379835129993661</v>
      </c>
      <c r="J2266" s="8">
        <v>-0.19694297472075259</v>
      </c>
      <c r="K2266" s="8">
        <v>-7.0115724982981575E-2</v>
      </c>
      <c r="L2266" s="8">
        <v>-0.20765661252900219</v>
      </c>
      <c r="M2266" s="18">
        <v>-0.608513663532673</v>
      </c>
    </row>
    <row r="2267" spans="1:13" x14ac:dyDescent="0.45">
      <c r="A2267" t="s">
        <v>2159</v>
      </c>
      <c r="B2267" s="18">
        <v>11.91</v>
      </c>
      <c r="C2267" s="18">
        <v>11.58</v>
      </c>
      <c r="D2267" s="18">
        <v>11.84</v>
      </c>
      <c r="E2267" s="18">
        <v>12.81</v>
      </c>
      <c r="F2267" s="18">
        <v>11.27</v>
      </c>
      <c r="G2267" s="18">
        <v>11.659599999999999</v>
      </c>
      <c r="H2267" s="18">
        <v>12.116949999999999</v>
      </c>
      <c r="I2267" s="8">
        <v>2.8497409326424972E-2</v>
      </c>
      <c r="J2267" s="8">
        <v>5.9121621621622822E-3</v>
      </c>
      <c r="K2267" s="8">
        <v>-7.0257611241217877E-2</v>
      </c>
      <c r="L2267" s="8">
        <v>5.6787932564330117E-2</v>
      </c>
      <c r="M2267" s="18">
        <v>2.0939892811699501E-2</v>
      </c>
    </row>
    <row r="2268" spans="1:13" x14ac:dyDescent="0.45">
      <c r="A2268" t="s">
        <v>1524</v>
      </c>
      <c r="B2268" s="18">
        <v>13.57</v>
      </c>
      <c r="C2268" s="18">
        <v>15.27</v>
      </c>
      <c r="D2268" s="18">
        <v>16.170000000000002</v>
      </c>
      <c r="E2268" s="18">
        <v>14.61</v>
      </c>
      <c r="F2268" s="18">
        <v>15.98</v>
      </c>
      <c r="G2268" s="18">
        <v>14.7042</v>
      </c>
      <c r="H2268" s="18">
        <v>15.893649999999999</v>
      </c>
      <c r="I2268" s="8">
        <v>-0.1113294040602488</v>
      </c>
      <c r="J2268" s="8">
        <v>-0.16079158936301799</v>
      </c>
      <c r="K2268" s="8">
        <v>-7.1184120465434542E-2</v>
      </c>
      <c r="L2268" s="8">
        <v>-0.1508135168961201</v>
      </c>
      <c r="M2268" s="18">
        <v>-0.49411863078482138</v>
      </c>
    </row>
    <row r="2269" spans="1:13" x14ac:dyDescent="0.45">
      <c r="A2269" t="s">
        <v>349</v>
      </c>
      <c r="B2269" s="18">
        <v>204.75</v>
      </c>
      <c r="C2269" s="18">
        <v>201.88</v>
      </c>
      <c r="D2269" s="18">
        <v>214.71</v>
      </c>
      <c r="E2269" s="18">
        <v>220.65</v>
      </c>
      <c r="F2269" s="18">
        <v>222.16</v>
      </c>
      <c r="G2269" s="18">
        <v>202.8904</v>
      </c>
      <c r="H2269" s="18">
        <v>218.42585</v>
      </c>
      <c r="I2269" s="8">
        <v>1.4216366158113841E-2</v>
      </c>
      <c r="J2269" s="8">
        <v>-4.6388151460109002E-2</v>
      </c>
      <c r="K2269" s="8">
        <v>-7.2059823249490118E-2</v>
      </c>
      <c r="L2269" s="8">
        <v>-7.8366942743968271E-2</v>
      </c>
      <c r="M2269" s="18">
        <v>-0.18259855129545349</v>
      </c>
    </row>
    <row r="2270" spans="1:13" x14ac:dyDescent="0.45">
      <c r="A2270" t="s">
        <v>1207</v>
      </c>
      <c r="B2270" s="18">
        <v>18.29</v>
      </c>
      <c r="C2270" s="18">
        <v>18.79</v>
      </c>
      <c r="D2270" s="18">
        <v>20.85</v>
      </c>
      <c r="E2270" s="18">
        <v>19.72</v>
      </c>
      <c r="F2270" s="18">
        <v>40.75</v>
      </c>
      <c r="G2270" s="18">
        <v>19.271000000000001</v>
      </c>
      <c r="H2270" s="18">
        <v>25.154050000000002</v>
      </c>
      <c r="I2270" s="8">
        <v>-2.6609898882384301E-2</v>
      </c>
      <c r="J2270" s="8">
        <v>-0.1227817745803358</v>
      </c>
      <c r="K2270" s="8">
        <v>-7.2515212981744459E-2</v>
      </c>
      <c r="L2270" s="8">
        <v>-0.55116564417177916</v>
      </c>
      <c r="M2270" s="18">
        <v>-0.7730725306162437</v>
      </c>
    </row>
    <row r="2271" spans="1:13" x14ac:dyDescent="0.45">
      <c r="A2271" t="s">
        <v>756</v>
      </c>
      <c r="B2271" s="18">
        <v>15.34</v>
      </c>
      <c r="C2271" s="18">
        <v>14.48</v>
      </c>
      <c r="D2271" s="18">
        <v>15.03</v>
      </c>
      <c r="E2271" s="18">
        <v>16.54</v>
      </c>
      <c r="F2271" s="18">
        <v>47.63</v>
      </c>
      <c r="G2271" s="18">
        <v>14.908799999999999</v>
      </c>
      <c r="H2271" s="18">
        <v>22.672650000000001</v>
      </c>
      <c r="I2271" s="8">
        <v>5.9392265193370042E-2</v>
      </c>
      <c r="J2271" s="8">
        <v>2.0625415834996771E-2</v>
      </c>
      <c r="K2271" s="8">
        <v>-7.2551390568319163E-2</v>
      </c>
      <c r="L2271" s="8">
        <v>-0.67793407516271253</v>
      </c>
      <c r="M2271" s="18">
        <v>-0.67046778470266488</v>
      </c>
    </row>
    <row r="2272" spans="1:13" x14ac:dyDescent="0.45">
      <c r="A2272" t="s">
        <v>864</v>
      </c>
      <c r="B2272" s="18">
        <v>20.170000000000002</v>
      </c>
      <c r="C2272" s="18">
        <v>20.47</v>
      </c>
      <c r="D2272" s="18">
        <v>20.72</v>
      </c>
      <c r="E2272" s="18">
        <v>21.77</v>
      </c>
      <c r="F2272" s="18">
        <v>21.18</v>
      </c>
      <c r="G2272" s="18">
        <v>20.742599999999999</v>
      </c>
      <c r="H2272" s="18">
        <v>22.035074999999999</v>
      </c>
      <c r="I2272" s="8">
        <v>-1.465559355153867E-2</v>
      </c>
      <c r="J2272" s="8">
        <v>-2.6544401544401412E-2</v>
      </c>
      <c r="K2272" s="8">
        <v>-7.3495636196600711E-2</v>
      </c>
      <c r="L2272" s="8">
        <v>-4.768649669499514E-2</v>
      </c>
      <c r="M2272" s="18">
        <v>-0.1623821279875359</v>
      </c>
    </row>
    <row r="2273" spans="1:13" x14ac:dyDescent="0.45">
      <c r="A2273" t="s">
        <v>2485</v>
      </c>
      <c r="B2273" s="18">
        <v>36.770000000000003</v>
      </c>
      <c r="C2273" s="18">
        <v>41.83</v>
      </c>
      <c r="D2273" s="18">
        <v>43.52</v>
      </c>
      <c r="E2273" s="18">
        <v>39.72</v>
      </c>
      <c r="F2273" s="18">
        <v>50.33</v>
      </c>
      <c r="G2273" s="18">
        <v>39.879600000000003</v>
      </c>
      <c r="H2273" s="18">
        <v>41.599349999999987</v>
      </c>
      <c r="I2273" s="8">
        <v>-0.1209658140090842</v>
      </c>
      <c r="J2273" s="8">
        <v>-0.15510110294117641</v>
      </c>
      <c r="K2273" s="8">
        <v>-7.4269889224571894E-2</v>
      </c>
      <c r="L2273" s="8">
        <v>-0.26942181601430548</v>
      </c>
      <c r="M2273" s="18">
        <v>-0.61975862218913802</v>
      </c>
    </row>
    <row r="2274" spans="1:13" x14ac:dyDescent="0.45">
      <c r="A2274" t="s">
        <v>1619</v>
      </c>
      <c r="B2274" s="18">
        <v>33</v>
      </c>
      <c r="C2274" s="18">
        <v>35.25</v>
      </c>
      <c r="D2274" s="18">
        <v>40.03</v>
      </c>
      <c r="E2274" s="18">
        <v>35.67</v>
      </c>
      <c r="F2274" s="18">
        <v>41.33</v>
      </c>
      <c r="G2274" s="18">
        <v>35.547199999999997</v>
      </c>
      <c r="H2274" s="18">
        <v>39.883949999999999</v>
      </c>
      <c r="I2274" s="8">
        <v>-6.3829787234042534E-2</v>
      </c>
      <c r="J2274" s="8">
        <v>-0.17561828628528611</v>
      </c>
      <c r="K2274" s="8">
        <v>-7.4852817493692214E-2</v>
      </c>
      <c r="L2274" s="8">
        <v>-0.20154851197677229</v>
      </c>
      <c r="M2274" s="18">
        <v>-0.51584940298979309</v>
      </c>
    </row>
    <row r="2275" spans="1:13" x14ac:dyDescent="0.45">
      <c r="A2275" t="s">
        <v>76</v>
      </c>
      <c r="B2275" s="18">
        <v>126.59</v>
      </c>
      <c r="C2275" s="18">
        <v>134.41</v>
      </c>
      <c r="D2275" s="18">
        <v>145.31</v>
      </c>
      <c r="E2275" s="18">
        <v>137.01</v>
      </c>
      <c r="F2275" s="18">
        <v>138.65</v>
      </c>
      <c r="G2275" s="18">
        <v>134.56270000000001</v>
      </c>
      <c r="H2275" s="18">
        <v>144.54432499999999</v>
      </c>
      <c r="I2275" s="8">
        <v>-5.8180194925972713E-2</v>
      </c>
      <c r="J2275" s="8">
        <v>-0.12882802284770489</v>
      </c>
      <c r="K2275" s="8">
        <v>-7.6052842858185477E-2</v>
      </c>
      <c r="L2275" s="8">
        <v>-8.698160836639024E-2</v>
      </c>
      <c r="M2275" s="18">
        <v>-0.35004266899825331</v>
      </c>
    </row>
    <row r="2276" spans="1:13" x14ac:dyDescent="0.45">
      <c r="A2276" t="s">
        <v>585</v>
      </c>
      <c r="B2276" s="18">
        <v>76.55</v>
      </c>
      <c r="C2276" s="18">
        <v>78.89</v>
      </c>
      <c r="D2276" s="18">
        <v>88.7</v>
      </c>
      <c r="E2276" s="18">
        <v>82.88</v>
      </c>
      <c r="F2276" s="18">
        <v>97.27</v>
      </c>
      <c r="G2276" s="18">
        <v>80.524600000000007</v>
      </c>
      <c r="H2276" s="18">
        <v>87.117649999999998</v>
      </c>
      <c r="I2276" s="8">
        <v>-2.966155406261883E-2</v>
      </c>
      <c r="J2276" s="8">
        <v>-0.13697857948139799</v>
      </c>
      <c r="K2276" s="8">
        <v>-7.637548262548266E-2</v>
      </c>
      <c r="L2276" s="8">
        <v>-0.21301531818649119</v>
      </c>
      <c r="M2276" s="18">
        <v>-0.45603093435599068</v>
      </c>
    </row>
    <row r="2277" spans="1:13" x14ac:dyDescent="0.45">
      <c r="A2277" t="s">
        <v>313</v>
      </c>
      <c r="B2277" s="18">
        <v>28.18</v>
      </c>
      <c r="C2277" s="18">
        <v>30.29</v>
      </c>
      <c r="D2277" s="18">
        <v>32.380000000000003</v>
      </c>
      <c r="E2277" s="18">
        <v>30.53</v>
      </c>
      <c r="F2277" s="18">
        <v>34.54</v>
      </c>
      <c r="G2277" s="18">
        <v>29.973800000000001</v>
      </c>
      <c r="H2277" s="18">
        <v>32.101599999999998</v>
      </c>
      <c r="I2277" s="8">
        <v>-6.9659953780125461E-2</v>
      </c>
      <c r="J2277" s="8">
        <v>-0.12970969734403959</v>
      </c>
      <c r="K2277" s="8">
        <v>-7.6973468719292559E-2</v>
      </c>
      <c r="L2277" s="8">
        <v>-0.18413433700057899</v>
      </c>
      <c r="M2277" s="18">
        <v>-0.46047745684403663</v>
      </c>
    </row>
    <row r="2278" spans="1:13" x14ac:dyDescent="0.45">
      <c r="A2278" t="s">
        <v>2174</v>
      </c>
      <c r="B2278" s="18">
        <v>15.21</v>
      </c>
      <c r="C2278" s="18">
        <v>15</v>
      </c>
      <c r="D2278" s="18">
        <v>16.04</v>
      </c>
      <c r="E2278" s="18">
        <v>16.48</v>
      </c>
      <c r="F2278" s="18">
        <v>15.75</v>
      </c>
      <c r="G2278" s="18">
        <v>14.4026</v>
      </c>
      <c r="H2278" s="18">
        <v>19.6266</v>
      </c>
      <c r="I2278" s="8">
        <v>1.4000000000000011E-2</v>
      </c>
      <c r="J2278" s="8">
        <v>-5.1745635910224297E-2</v>
      </c>
      <c r="K2278" s="8">
        <v>-7.7063106796116498E-2</v>
      </c>
      <c r="L2278" s="8">
        <v>-3.4285714285714253E-2</v>
      </c>
      <c r="M2278" s="18">
        <v>-0.14909445699205501</v>
      </c>
    </row>
    <row r="2279" spans="1:13" x14ac:dyDescent="0.45">
      <c r="A2279" t="s">
        <v>1210</v>
      </c>
      <c r="B2279" s="18">
        <v>24.05</v>
      </c>
      <c r="C2279" s="18">
        <v>26.01</v>
      </c>
      <c r="D2279" s="18">
        <v>26.6</v>
      </c>
      <c r="E2279" s="18">
        <v>26.06</v>
      </c>
      <c r="F2279" s="18">
        <v>28.61</v>
      </c>
      <c r="G2279" s="18">
        <v>25.300999999999998</v>
      </c>
      <c r="H2279" s="18">
        <v>26.999500000000001</v>
      </c>
      <c r="I2279" s="8">
        <v>-7.5355632449058074E-2</v>
      </c>
      <c r="J2279" s="8">
        <v>-9.5864661654135319E-2</v>
      </c>
      <c r="K2279" s="8">
        <v>-7.7129700690713676E-2</v>
      </c>
      <c r="L2279" s="8">
        <v>-0.15938483047885349</v>
      </c>
      <c r="M2279" s="18">
        <v>-0.40773482527276061</v>
      </c>
    </row>
    <row r="2280" spans="1:13" x14ac:dyDescent="0.45">
      <c r="A2280" t="s">
        <v>2349</v>
      </c>
      <c r="B2280" s="18">
        <v>6.34</v>
      </c>
      <c r="C2280" s="18">
        <v>7.11</v>
      </c>
      <c r="D2280" s="18">
        <v>8.25</v>
      </c>
      <c r="E2280" s="18">
        <v>6.87</v>
      </c>
      <c r="F2280" s="18">
        <v>10.34</v>
      </c>
      <c r="G2280" s="18">
        <v>6.8729999999999993</v>
      </c>
      <c r="H2280" s="18">
        <v>7.6888000000000014</v>
      </c>
      <c r="I2280" s="8">
        <v>-0.1082981715893109</v>
      </c>
      <c r="J2280" s="8">
        <v>-0.23151515151515159</v>
      </c>
      <c r="K2280" s="8">
        <v>-7.7147016011644864E-2</v>
      </c>
      <c r="L2280" s="8">
        <v>-0.38684719535783357</v>
      </c>
      <c r="M2280" s="18">
        <v>-0.80380753447394093</v>
      </c>
    </row>
    <row r="2281" spans="1:13" x14ac:dyDescent="0.45">
      <c r="A2281" t="s">
        <v>2500</v>
      </c>
      <c r="B2281" s="18">
        <v>11.72</v>
      </c>
      <c r="C2281" s="18">
        <v>12.82</v>
      </c>
      <c r="D2281" s="18">
        <v>12.71</v>
      </c>
      <c r="E2281" s="18">
        <v>12.7</v>
      </c>
      <c r="F2281" s="18">
        <v>13.31</v>
      </c>
      <c r="G2281" s="18">
        <v>12.5166</v>
      </c>
      <c r="H2281" s="18">
        <v>13.02875</v>
      </c>
      <c r="I2281" s="8">
        <v>-8.5803432137285474E-2</v>
      </c>
      <c r="J2281" s="8">
        <v>-7.7891424075531068E-2</v>
      </c>
      <c r="K2281" s="8">
        <v>-7.7165354330708591E-2</v>
      </c>
      <c r="L2281" s="8">
        <v>-0.1194590533433508</v>
      </c>
      <c r="M2281" s="18">
        <v>-0.36031926388687602</v>
      </c>
    </row>
    <row r="2282" spans="1:13" x14ac:dyDescent="0.45">
      <c r="A2282" t="s">
        <v>2142</v>
      </c>
      <c r="B2282" s="18">
        <v>16.420000000000002</v>
      </c>
      <c r="C2282" s="18">
        <v>19.559999999999999</v>
      </c>
      <c r="D2282" s="18">
        <v>21.29</v>
      </c>
      <c r="E2282" s="18">
        <v>17.8</v>
      </c>
      <c r="F2282" s="18">
        <v>37.01</v>
      </c>
      <c r="G2282" s="18">
        <v>18.9604</v>
      </c>
      <c r="H2282" s="18">
        <v>20.466699999999999</v>
      </c>
      <c r="I2282" s="8">
        <v>-0.16053169734151321</v>
      </c>
      <c r="J2282" s="8">
        <v>-0.22874589008924359</v>
      </c>
      <c r="K2282" s="8">
        <v>-7.7528089887640372E-2</v>
      </c>
      <c r="L2282" s="8">
        <v>-0.55633612537152111</v>
      </c>
      <c r="M2282" s="18">
        <v>-1.0231418026899179</v>
      </c>
    </row>
    <row r="2283" spans="1:13" x14ac:dyDescent="0.45">
      <c r="A2283" t="s">
        <v>114</v>
      </c>
      <c r="B2283" s="18">
        <v>133.09</v>
      </c>
      <c r="C2283" s="18">
        <v>135.93</v>
      </c>
      <c r="D2283" s="18">
        <v>204.48</v>
      </c>
      <c r="E2283" s="18">
        <v>144.32</v>
      </c>
      <c r="F2283" s="18">
        <v>241.35</v>
      </c>
      <c r="G2283" s="18">
        <v>137.00110000000001</v>
      </c>
      <c r="H2283" s="18">
        <v>176.13172499999999</v>
      </c>
      <c r="I2283" s="8">
        <v>-2.0893106746119331E-2</v>
      </c>
      <c r="J2283" s="8">
        <v>-0.34912949921752728</v>
      </c>
      <c r="K2283" s="8">
        <v>-7.781319290465627E-2</v>
      </c>
      <c r="L2283" s="8">
        <v>-0.44856018230785172</v>
      </c>
      <c r="M2283" s="18">
        <v>-0.8963959811761546</v>
      </c>
    </row>
    <row r="2284" spans="1:13" x14ac:dyDescent="0.45">
      <c r="A2284" t="s">
        <v>1712</v>
      </c>
      <c r="B2284" s="18">
        <v>13.05</v>
      </c>
      <c r="C2284" s="18">
        <v>13.96</v>
      </c>
      <c r="D2284" s="18">
        <v>16.41</v>
      </c>
      <c r="E2284" s="18">
        <v>14.16</v>
      </c>
      <c r="F2284" s="18"/>
      <c r="G2284" s="18">
        <v>14.066800000000001</v>
      </c>
      <c r="H2284" s="18"/>
      <c r="I2284" s="8">
        <v>-6.5186246418338145E-2</v>
      </c>
      <c r="J2284" s="8">
        <v>-0.20475319926873861</v>
      </c>
      <c r="K2284" s="8">
        <v>-7.8389830508474589E-2</v>
      </c>
      <c r="L2284" s="8"/>
      <c r="M2284" s="18">
        <v>-0.34832927619555132</v>
      </c>
    </row>
    <row r="2285" spans="1:13" x14ac:dyDescent="0.45">
      <c r="A2285" t="s">
        <v>1421</v>
      </c>
      <c r="B2285" s="18">
        <v>50.45</v>
      </c>
      <c r="C2285" s="18">
        <v>51.42</v>
      </c>
      <c r="D2285" s="18">
        <v>56.76</v>
      </c>
      <c r="E2285" s="18">
        <v>54.75</v>
      </c>
      <c r="F2285" s="18">
        <v>62.48</v>
      </c>
      <c r="G2285" s="18">
        <v>51.464799999999997</v>
      </c>
      <c r="H2285" s="18">
        <v>54.527549999999998</v>
      </c>
      <c r="I2285" s="8">
        <v>-1.8864255153636659E-2</v>
      </c>
      <c r="J2285" s="8">
        <v>-0.11116983791402391</v>
      </c>
      <c r="K2285" s="8">
        <v>-7.8538812785388101E-2</v>
      </c>
      <c r="L2285" s="8">
        <v>-0.1925416133162611</v>
      </c>
      <c r="M2285" s="18">
        <v>-0.40111451916930968</v>
      </c>
    </row>
    <row r="2286" spans="1:13" x14ac:dyDescent="0.45">
      <c r="A2286" t="s">
        <v>679</v>
      </c>
      <c r="B2286" s="18">
        <v>11.4</v>
      </c>
      <c r="C2286" s="18">
        <v>12.35</v>
      </c>
      <c r="D2286" s="18">
        <v>12.26</v>
      </c>
      <c r="E2286" s="18">
        <v>12.39</v>
      </c>
      <c r="F2286" s="18">
        <v>23.21</v>
      </c>
      <c r="G2286" s="18">
        <v>11.5928</v>
      </c>
      <c r="H2286" s="18">
        <v>13.315250000000001</v>
      </c>
      <c r="I2286" s="8">
        <v>-7.6923076923076872E-2</v>
      </c>
      <c r="J2286" s="8">
        <v>-7.0146818923327858E-2</v>
      </c>
      <c r="K2286" s="8">
        <v>-7.9903147699757926E-2</v>
      </c>
      <c r="L2286" s="8">
        <v>-0.50883239982766049</v>
      </c>
      <c r="M2286" s="18">
        <v>-0.73580544337382314</v>
      </c>
    </row>
    <row r="2287" spans="1:13" x14ac:dyDescent="0.45">
      <c r="A2287" t="s">
        <v>90</v>
      </c>
      <c r="B2287" s="18">
        <v>226.58</v>
      </c>
      <c r="C2287" s="18">
        <v>242.72</v>
      </c>
      <c r="D2287" s="18">
        <v>228.15</v>
      </c>
      <c r="E2287" s="18">
        <v>246.3</v>
      </c>
      <c r="F2287" s="18">
        <v>208.28</v>
      </c>
      <c r="G2287" s="18">
        <v>243.55760000000001</v>
      </c>
      <c r="H2287" s="18">
        <v>242.81115</v>
      </c>
      <c r="I2287" s="8">
        <v>-6.6496374423203664E-2</v>
      </c>
      <c r="J2287" s="8">
        <v>-6.8814376506683983E-3</v>
      </c>
      <c r="K2287" s="8">
        <v>-8.0064961429151427E-2</v>
      </c>
      <c r="L2287" s="8">
        <v>8.7862492798156389E-2</v>
      </c>
      <c r="M2287" s="18">
        <v>-6.55802807048671E-2</v>
      </c>
    </row>
    <row r="2288" spans="1:13" x14ac:dyDescent="0.45">
      <c r="A2288" t="s">
        <v>391</v>
      </c>
      <c r="B2288" s="18">
        <v>72.38</v>
      </c>
      <c r="C2288" s="18">
        <v>71.84</v>
      </c>
      <c r="D2288" s="18">
        <v>80.91</v>
      </c>
      <c r="E2288" s="18">
        <v>78.709999999999994</v>
      </c>
      <c r="F2288" s="18">
        <v>95.23</v>
      </c>
      <c r="G2288" s="18">
        <v>74.195999999999998</v>
      </c>
      <c r="H2288" s="18">
        <v>86.330999999999989</v>
      </c>
      <c r="I2288" s="8">
        <v>7.5167037861914032E-3</v>
      </c>
      <c r="J2288" s="8">
        <v>-0.10542578173278951</v>
      </c>
      <c r="K2288" s="8">
        <v>-8.0421801549993677E-2</v>
      </c>
      <c r="L2288" s="8">
        <v>-0.2399453953586056</v>
      </c>
      <c r="M2288" s="18">
        <v>-0.41827627485519742</v>
      </c>
    </row>
    <row r="2289" spans="1:13" x14ac:dyDescent="0.45">
      <c r="A2289" t="s">
        <v>961</v>
      </c>
      <c r="B2289" s="18">
        <v>4.3099999999999996</v>
      </c>
      <c r="C2289" s="18">
        <v>4.25</v>
      </c>
      <c r="D2289" s="18">
        <v>5.12</v>
      </c>
      <c r="E2289" s="18">
        <v>4.6900000000000004</v>
      </c>
      <c r="F2289" s="18">
        <v>8.99</v>
      </c>
      <c r="G2289" s="18">
        <v>4.3494000000000002</v>
      </c>
      <c r="H2289" s="18">
        <v>5.2813499999999998</v>
      </c>
      <c r="I2289" s="8">
        <v>1.4117647058823349E-2</v>
      </c>
      <c r="J2289" s="8">
        <v>-0.15820312500000011</v>
      </c>
      <c r="K2289" s="8">
        <v>-8.1023454157782671E-2</v>
      </c>
      <c r="L2289" s="8">
        <v>-0.52057842046718583</v>
      </c>
      <c r="M2289" s="18">
        <v>-0.74568735256614527</v>
      </c>
    </row>
    <row r="2290" spans="1:13" x14ac:dyDescent="0.45">
      <c r="A2290" t="s">
        <v>861</v>
      </c>
      <c r="B2290" s="18">
        <v>13.56</v>
      </c>
      <c r="C2290" s="18">
        <v>15.25</v>
      </c>
      <c r="D2290" s="18">
        <v>14.48</v>
      </c>
      <c r="E2290" s="18">
        <v>14.77</v>
      </c>
      <c r="F2290" s="18">
        <v>32.51</v>
      </c>
      <c r="G2290" s="18">
        <v>14.445399999999999</v>
      </c>
      <c r="H2290" s="18">
        <v>16.003250000000001</v>
      </c>
      <c r="I2290" s="8">
        <v>-0.1108196721311475</v>
      </c>
      <c r="J2290" s="8">
        <v>-6.3535911602209949E-2</v>
      </c>
      <c r="K2290" s="8">
        <v>-8.1922816519972907E-2</v>
      </c>
      <c r="L2290" s="8">
        <v>-0.5828975699784682</v>
      </c>
      <c r="M2290" s="18">
        <v>-0.83917597023179857</v>
      </c>
    </row>
    <row r="2291" spans="1:13" x14ac:dyDescent="0.45">
      <c r="A2291" t="s">
        <v>1481</v>
      </c>
      <c r="B2291" s="18">
        <v>16.36</v>
      </c>
      <c r="C2291" s="18">
        <v>17.89</v>
      </c>
      <c r="D2291" s="18">
        <v>17.510000000000002</v>
      </c>
      <c r="E2291" s="18">
        <v>17.82</v>
      </c>
      <c r="F2291" s="18">
        <v>19.53</v>
      </c>
      <c r="G2291" s="18">
        <v>17.148599999999998</v>
      </c>
      <c r="H2291" s="18">
        <v>18.693149999999999</v>
      </c>
      <c r="I2291" s="8">
        <v>-8.5522638345444491E-2</v>
      </c>
      <c r="J2291" s="8">
        <v>-6.5676756139349091E-2</v>
      </c>
      <c r="K2291" s="8">
        <v>-8.1930415263748668E-2</v>
      </c>
      <c r="L2291" s="8">
        <v>-0.16231438812083979</v>
      </c>
      <c r="M2291" s="18">
        <v>-0.39544419786938201</v>
      </c>
    </row>
    <row r="2292" spans="1:13" x14ac:dyDescent="0.45">
      <c r="A2292" t="s">
        <v>979</v>
      </c>
      <c r="B2292" s="18">
        <v>30.19</v>
      </c>
      <c r="C2292" s="18">
        <v>28.94</v>
      </c>
      <c r="D2292" s="18">
        <v>33.11</v>
      </c>
      <c r="E2292" s="18">
        <v>32.9</v>
      </c>
      <c r="F2292" s="18">
        <v>64.77</v>
      </c>
      <c r="G2292" s="18">
        <v>27.849</v>
      </c>
      <c r="H2292" s="18">
        <v>37.192250000000001</v>
      </c>
      <c r="I2292" s="8">
        <v>4.319281271596398E-2</v>
      </c>
      <c r="J2292" s="8">
        <v>-8.8190878888553259E-2</v>
      </c>
      <c r="K2292" s="8">
        <v>-8.2370820668692946E-2</v>
      </c>
      <c r="L2292" s="8">
        <v>-0.53388914620966488</v>
      </c>
      <c r="M2292" s="18">
        <v>-0.6612580330509471</v>
      </c>
    </row>
    <row r="2293" spans="1:13" x14ac:dyDescent="0.45">
      <c r="A2293" t="s">
        <v>752</v>
      </c>
      <c r="B2293" s="18">
        <v>26.13</v>
      </c>
      <c r="C2293" s="18">
        <v>24.64</v>
      </c>
      <c r="D2293" s="18">
        <v>24.76</v>
      </c>
      <c r="E2293" s="18">
        <v>28.49</v>
      </c>
      <c r="F2293" s="18">
        <v>27.37</v>
      </c>
      <c r="G2293" s="18">
        <v>25.614799999999999</v>
      </c>
      <c r="H2293" s="18">
        <v>26.870049999999999</v>
      </c>
      <c r="I2293" s="8">
        <v>6.0470779220779258E-2</v>
      </c>
      <c r="J2293" s="8">
        <v>5.5331179321486117E-2</v>
      </c>
      <c r="K2293" s="8">
        <v>-8.2836082836082792E-2</v>
      </c>
      <c r="L2293" s="8">
        <v>-4.5305078553160461E-2</v>
      </c>
      <c r="M2293" s="18">
        <v>-1.233920284697787E-2</v>
      </c>
    </row>
    <row r="2294" spans="1:13" x14ac:dyDescent="0.45">
      <c r="A2294" t="s">
        <v>1638</v>
      </c>
      <c r="B2294" s="18">
        <v>13.93</v>
      </c>
      <c r="C2294" s="18">
        <v>15.58</v>
      </c>
      <c r="D2294" s="18">
        <v>17.13</v>
      </c>
      <c r="E2294" s="18">
        <v>15.19</v>
      </c>
      <c r="F2294" s="18">
        <v>15.84</v>
      </c>
      <c r="G2294" s="18">
        <v>15.3706</v>
      </c>
      <c r="H2294" s="18">
        <v>17.457999999999998</v>
      </c>
      <c r="I2294" s="8">
        <v>-0.1059050064184852</v>
      </c>
      <c r="J2294" s="8">
        <v>-0.1868067717454758</v>
      </c>
      <c r="K2294" s="8">
        <v>-8.2949308755760343E-2</v>
      </c>
      <c r="L2294" s="8">
        <v>-0.12058080808080809</v>
      </c>
      <c r="M2294" s="18">
        <v>-0.4962418950005294</v>
      </c>
    </row>
    <row r="2295" spans="1:13" x14ac:dyDescent="0.45">
      <c r="A2295" t="s">
        <v>1095</v>
      </c>
      <c r="B2295" s="18">
        <v>121.88</v>
      </c>
      <c r="C2295" s="18">
        <v>155.72</v>
      </c>
      <c r="D2295" s="18">
        <v>166.71</v>
      </c>
      <c r="E2295" s="18">
        <v>132.91</v>
      </c>
      <c r="F2295" s="18">
        <v>83.83</v>
      </c>
      <c r="G2295" s="18">
        <v>148.38480000000001</v>
      </c>
      <c r="H2295" s="18">
        <v>153.85714999999999</v>
      </c>
      <c r="I2295" s="8">
        <v>-0.21731312612381201</v>
      </c>
      <c r="J2295" s="8">
        <v>-0.26891008337832167</v>
      </c>
      <c r="K2295" s="8">
        <v>-8.2988488450831399E-2</v>
      </c>
      <c r="L2295" s="8">
        <v>0.45389478706906838</v>
      </c>
      <c r="M2295" s="18">
        <v>-0.1153169108838967</v>
      </c>
    </row>
    <row r="2296" spans="1:13" x14ac:dyDescent="0.45">
      <c r="A2296" t="s">
        <v>309</v>
      </c>
      <c r="B2296" s="18">
        <v>61.3</v>
      </c>
      <c r="C2296" s="18">
        <v>65.069999999999993</v>
      </c>
      <c r="D2296" s="18">
        <v>76.62</v>
      </c>
      <c r="E2296" s="18">
        <v>66.849999999999994</v>
      </c>
      <c r="F2296" s="18">
        <v>100.47</v>
      </c>
      <c r="G2296" s="18">
        <v>64.996000000000009</v>
      </c>
      <c r="H2296" s="18">
        <v>75.379649999999998</v>
      </c>
      <c r="I2296" s="8">
        <v>-5.7937605655447921E-2</v>
      </c>
      <c r="J2296" s="8">
        <v>-0.1999477943095799</v>
      </c>
      <c r="K2296" s="8">
        <v>-8.3021690351533284E-2</v>
      </c>
      <c r="L2296" s="8">
        <v>-0.38986762217577392</v>
      </c>
      <c r="M2296" s="18">
        <v>-0.73077471249233494</v>
      </c>
    </row>
    <row r="2297" spans="1:13" x14ac:dyDescent="0.45">
      <c r="A2297" t="s">
        <v>1773</v>
      </c>
      <c r="B2297" s="18">
        <v>39.659999999999997</v>
      </c>
      <c r="C2297" s="18">
        <v>36.299999999999997</v>
      </c>
      <c r="D2297" s="18">
        <v>39.08</v>
      </c>
      <c r="E2297" s="18">
        <v>43.28</v>
      </c>
      <c r="F2297" s="18">
        <v>26.04</v>
      </c>
      <c r="G2297" s="18">
        <v>38.462800000000001</v>
      </c>
      <c r="H2297" s="18">
        <v>42.032799999999988</v>
      </c>
      <c r="I2297" s="8">
        <v>9.2561983471074472E-2</v>
      </c>
      <c r="J2297" s="8">
        <v>1.484135107471851E-2</v>
      </c>
      <c r="K2297" s="8">
        <v>-8.3641404805915087E-2</v>
      </c>
      <c r="L2297" s="8">
        <v>0.52304147465437789</v>
      </c>
      <c r="M2297" s="18">
        <v>0.54680340439425579</v>
      </c>
    </row>
    <row r="2298" spans="1:13" x14ac:dyDescent="0.45">
      <c r="A2298" t="s">
        <v>1037</v>
      </c>
      <c r="B2298" s="18">
        <v>1.95</v>
      </c>
      <c r="C2298" s="18">
        <v>2.21</v>
      </c>
      <c r="D2298" s="18">
        <v>2.14</v>
      </c>
      <c r="E2298" s="18">
        <v>2.13</v>
      </c>
      <c r="F2298" s="18">
        <v>3.77</v>
      </c>
      <c r="G2298" s="18">
        <v>2.1364000000000001</v>
      </c>
      <c r="H2298" s="18">
        <v>2.5842999999999989</v>
      </c>
      <c r="I2298" s="8">
        <v>-0.1176470588235294</v>
      </c>
      <c r="J2298" s="8">
        <v>-8.8785046728972028E-2</v>
      </c>
      <c r="K2298" s="8">
        <v>-8.4507042253521125E-2</v>
      </c>
      <c r="L2298" s="8">
        <v>-0.48275862068965508</v>
      </c>
      <c r="M2298" s="18">
        <v>-0.77369776849567773</v>
      </c>
    </row>
    <row r="2299" spans="1:13" x14ac:dyDescent="0.45">
      <c r="A2299" t="s">
        <v>809</v>
      </c>
      <c r="B2299" s="18">
        <v>9.6</v>
      </c>
      <c r="C2299" s="18">
        <v>10.24</v>
      </c>
      <c r="D2299" s="18">
        <v>9.1999999999999993</v>
      </c>
      <c r="E2299" s="18">
        <v>10.49</v>
      </c>
      <c r="F2299" s="18">
        <v>8.2200000000000006</v>
      </c>
      <c r="G2299" s="18">
        <v>10.085000000000001</v>
      </c>
      <c r="H2299" s="18">
        <v>9.3232999999999997</v>
      </c>
      <c r="I2299" s="8">
        <v>-6.25E-2</v>
      </c>
      <c r="J2299" s="8">
        <v>4.3478260869565188E-2</v>
      </c>
      <c r="K2299" s="8">
        <v>-8.4842707340324175E-2</v>
      </c>
      <c r="L2299" s="8">
        <v>0.167883211678832</v>
      </c>
      <c r="M2299" s="18">
        <v>6.4018765208073036E-2</v>
      </c>
    </row>
    <row r="2300" spans="1:13" x14ac:dyDescent="0.45">
      <c r="A2300" t="s">
        <v>1313</v>
      </c>
      <c r="B2300" s="18">
        <v>10.23</v>
      </c>
      <c r="C2300" s="18">
        <v>10.84</v>
      </c>
      <c r="D2300" s="18">
        <v>11.61</v>
      </c>
      <c r="E2300" s="18">
        <v>11.18</v>
      </c>
      <c r="F2300" s="18">
        <v>13.75</v>
      </c>
      <c r="G2300" s="18">
        <v>10.66072</v>
      </c>
      <c r="H2300" s="18">
        <v>11.553269999999999</v>
      </c>
      <c r="I2300" s="8">
        <v>-5.6273062730627273E-2</v>
      </c>
      <c r="J2300" s="8">
        <v>-0.1188630490956072</v>
      </c>
      <c r="K2300" s="8">
        <v>-8.4973166368515152E-2</v>
      </c>
      <c r="L2300" s="8">
        <v>-0.25600000000000001</v>
      </c>
      <c r="M2300" s="18">
        <v>-0.51610927819474961</v>
      </c>
    </row>
    <row r="2301" spans="1:13" x14ac:dyDescent="0.45">
      <c r="A2301" t="s">
        <v>1133</v>
      </c>
      <c r="B2301" s="18">
        <v>42.44</v>
      </c>
      <c r="C2301" s="18">
        <v>42.04</v>
      </c>
      <c r="D2301" s="18">
        <v>46.18</v>
      </c>
      <c r="E2301" s="18">
        <v>46.39</v>
      </c>
      <c r="F2301" s="18">
        <v>48.64</v>
      </c>
      <c r="G2301" s="18">
        <v>42.213799999999999</v>
      </c>
      <c r="H2301" s="18">
        <v>47.066200000000002</v>
      </c>
      <c r="I2301" s="8">
        <v>9.5147478591817158E-3</v>
      </c>
      <c r="J2301" s="8">
        <v>-8.0987440450411508E-2</v>
      </c>
      <c r="K2301" s="8">
        <v>-8.5147661133865071E-2</v>
      </c>
      <c r="L2301" s="8">
        <v>-0.12746710526315799</v>
      </c>
      <c r="M2301" s="18">
        <v>-0.28408745898825277</v>
      </c>
    </row>
    <row r="2302" spans="1:13" x14ac:dyDescent="0.45">
      <c r="A2302" t="s">
        <v>345</v>
      </c>
      <c r="B2302" s="18">
        <v>48.69</v>
      </c>
      <c r="C2302" s="18">
        <v>54.39</v>
      </c>
      <c r="D2302" s="18">
        <v>65.319999999999993</v>
      </c>
      <c r="E2302" s="18">
        <v>53.23</v>
      </c>
      <c r="F2302" s="18">
        <v>96.75</v>
      </c>
      <c r="G2302" s="18">
        <v>52.773000000000003</v>
      </c>
      <c r="H2302" s="18">
        <v>63.111249999999998</v>
      </c>
      <c r="I2302" s="8">
        <v>-0.1047986762272477</v>
      </c>
      <c r="J2302" s="8">
        <v>-0.25459277403551739</v>
      </c>
      <c r="K2302" s="8">
        <v>-8.5290249859102052E-2</v>
      </c>
      <c r="L2302" s="8">
        <v>-0.4967441860465116</v>
      </c>
      <c r="M2302" s="18">
        <v>-0.94142588616837874</v>
      </c>
    </row>
    <row r="2303" spans="1:13" x14ac:dyDescent="0.45">
      <c r="A2303" t="s">
        <v>318</v>
      </c>
      <c r="B2303" s="18">
        <v>149.43</v>
      </c>
      <c r="C2303" s="18">
        <v>162.75</v>
      </c>
      <c r="D2303" s="18">
        <v>179.56</v>
      </c>
      <c r="E2303" s="18">
        <v>163.54</v>
      </c>
      <c r="F2303" s="18">
        <v>182.14</v>
      </c>
      <c r="G2303" s="18">
        <v>158.79900000000001</v>
      </c>
      <c r="H2303" s="18">
        <v>172.011675</v>
      </c>
      <c r="I2303" s="8">
        <v>-8.1843317972350227E-2</v>
      </c>
      <c r="J2303" s="8">
        <v>-0.1677990643795946</v>
      </c>
      <c r="K2303" s="8">
        <v>-8.62785862785862E-2</v>
      </c>
      <c r="L2303" s="8">
        <v>-0.17958713077852201</v>
      </c>
      <c r="M2303" s="18">
        <v>-0.51550809940905296</v>
      </c>
    </row>
    <row r="2304" spans="1:13" x14ac:dyDescent="0.45">
      <c r="A2304" t="s">
        <v>2362</v>
      </c>
      <c r="B2304" s="18">
        <v>9.94</v>
      </c>
      <c r="C2304" s="18">
        <v>10.25</v>
      </c>
      <c r="D2304" s="18">
        <v>10.41</v>
      </c>
      <c r="E2304" s="18">
        <v>10.88</v>
      </c>
      <c r="F2304" s="18">
        <v>13.03</v>
      </c>
      <c r="G2304" s="18">
        <v>9.9513999999999996</v>
      </c>
      <c r="H2304" s="18">
        <v>11.36875</v>
      </c>
      <c r="I2304" s="8">
        <v>-3.0243902439024421E-2</v>
      </c>
      <c r="J2304" s="8">
        <v>-4.5148895292987601E-2</v>
      </c>
      <c r="K2304" s="8">
        <v>-8.6397058823529549E-2</v>
      </c>
      <c r="L2304" s="8">
        <v>-0.23714504988488111</v>
      </c>
      <c r="M2304" s="18">
        <v>-0.39893490644042262</v>
      </c>
    </row>
    <row r="2305" spans="1:13" x14ac:dyDescent="0.45">
      <c r="A2305" t="s">
        <v>1549</v>
      </c>
      <c r="B2305" s="18">
        <v>38.380000000000003</v>
      </c>
      <c r="C2305" s="18">
        <v>42.03</v>
      </c>
      <c r="D2305" s="18">
        <v>41.44</v>
      </c>
      <c r="E2305" s="18">
        <v>42.04</v>
      </c>
      <c r="F2305" s="18">
        <v>48.46</v>
      </c>
      <c r="G2305" s="18">
        <v>41.971200000000003</v>
      </c>
      <c r="H2305" s="18">
        <v>48.174450000000007</v>
      </c>
      <c r="I2305" s="8">
        <v>-8.6842731382345884E-2</v>
      </c>
      <c r="J2305" s="8">
        <v>-7.3841698841698777E-2</v>
      </c>
      <c r="K2305" s="8">
        <v>-8.7059942911512755E-2</v>
      </c>
      <c r="L2305" s="8">
        <v>-0.20800660338423441</v>
      </c>
      <c r="M2305" s="18">
        <v>-0.4557509765197918</v>
      </c>
    </row>
    <row r="2306" spans="1:13" x14ac:dyDescent="0.45">
      <c r="A2306" t="s">
        <v>992</v>
      </c>
      <c r="B2306" s="18">
        <v>15.39</v>
      </c>
      <c r="C2306" s="18">
        <v>17.059999999999999</v>
      </c>
      <c r="D2306" s="18">
        <v>17.43</v>
      </c>
      <c r="E2306" s="18">
        <v>16.86</v>
      </c>
      <c r="F2306" s="18">
        <v>18.82</v>
      </c>
      <c r="G2306" s="18">
        <v>16.5108</v>
      </c>
      <c r="H2306" s="18">
        <v>18.080749999999998</v>
      </c>
      <c r="I2306" s="8">
        <v>-9.7889800703399699E-2</v>
      </c>
      <c r="J2306" s="8">
        <v>-0.117039586919105</v>
      </c>
      <c r="K2306" s="8">
        <v>-8.7188612099644014E-2</v>
      </c>
      <c r="L2306" s="8">
        <v>-0.18225292242295429</v>
      </c>
      <c r="M2306" s="18">
        <v>-0.48437092214510302</v>
      </c>
    </row>
    <row r="2307" spans="1:13" x14ac:dyDescent="0.45">
      <c r="A2307" t="s">
        <v>1472</v>
      </c>
      <c r="B2307" s="18">
        <v>13.76</v>
      </c>
      <c r="C2307" s="18">
        <v>13.73</v>
      </c>
      <c r="D2307" s="18">
        <v>15.2</v>
      </c>
      <c r="E2307" s="18">
        <v>15.08</v>
      </c>
      <c r="F2307" s="18"/>
      <c r="G2307" s="18">
        <v>13.936199999999999</v>
      </c>
      <c r="H2307" s="18"/>
      <c r="I2307" s="8">
        <v>2.1849963583393528E-3</v>
      </c>
      <c r="J2307" s="8">
        <v>-9.4736842105263119E-2</v>
      </c>
      <c r="K2307" s="8">
        <v>-8.753315649867377E-2</v>
      </c>
      <c r="L2307" s="8"/>
      <c r="M2307" s="18">
        <v>-0.18008500224559751</v>
      </c>
    </row>
    <row r="2308" spans="1:13" x14ac:dyDescent="0.45">
      <c r="A2308" t="s">
        <v>2309</v>
      </c>
      <c r="B2308" s="18">
        <v>20.38</v>
      </c>
      <c r="C2308" s="18">
        <v>17.78</v>
      </c>
      <c r="D2308" s="18">
        <v>20.94</v>
      </c>
      <c r="E2308" s="18">
        <v>22.34</v>
      </c>
      <c r="F2308" s="18">
        <v>40.119999999999997</v>
      </c>
      <c r="G2308" s="18">
        <v>18.4938</v>
      </c>
      <c r="H2308" s="18">
        <v>24.523150000000001</v>
      </c>
      <c r="I2308" s="8">
        <v>0.1462317210348705</v>
      </c>
      <c r="J2308" s="8">
        <v>-2.6743075453677271E-2</v>
      </c>
      <c r="K2308" s="8">
        <v>-8.7735004476275802E-2</v>
      </c>
      <c r="L2308" s="8">
        <v>-0.4920239282153539</v>
      </c>
      <c r="M2308" s="18">
        <v>-0.46027028711043649</v>
      </c>
    </row>
    <row r="2309" spans="1:13" x14ac:dyDescent="0.45">
      <c r="A2309" t="s">
        <v>1129</v>
      </c>
      <c r="B2309" s="18">
        <v>12.77</v>
      </c>
      <c r="C2309" s="18">
        <v>13.28</v>
      </c>
      <c r="D2309" s="18">
        <v>14.01</v>
      </c>
      <c r="E2309" s="18">
        <v>14.01</v>
      </c>
      <c r="F2309" s="18">
        <v>16.420000000000002</v>
      </c>
      <c r="G2309" s="18">
        <v>13.18426</v>
      </c>
      <c r="H2309" s="18">
        <v>14.24869</v>
      </c>
      <c r="I2309" s="8">
        <v>-3.8403614457831359E-2</v>
      </c>
      <c r="J2309" s="8">
        <v>-8.8508208422555357E-2</v>
      </c>
      <c r="K2309" s="8">
        <v>-8.8508208422555357E-2</v>
      </c>
      <c r="L2309" s="8">
        <v>-0.22228989037758839</v>
      </c>
      <c r="M2309" s="18">
        <v>-0.43770992168053052</v>
      </c>
    </row>
    <row r="2310" spans="1:13" x14ac:dyDescent="0.45">
      <c r="A2310" t="s">
        <v>811</v>
      </c>
      <c r="B2310" s="18">
        <v>47.93</v>
      </c>
      <c r="C2310" s="18">
        <v>65.64</v>
      </c>
      <c r="D2310" s="18">
        <v>63.71</v>
      </c>
      <c r="E2310" s="18">
        <v>52.59</v>
      </c>
      <c r="F2310" s="18">
        <v>32.53</v>
      </c>
      <c r="G2310" s="18">
        <v>61.551200000000001</v>
      </c>
      <c r="H2310" s="18">
        <v>63.849700000000013</v>
      </c>
      <c r="I2310" s="8">
        <v>-0.26980499695307741</v>
      </c>
      <c r="J2310" s="8">
        <v>-0.24768482184900331</v>
      </c>
      <c r="K2310" s="8">
        <v>-8.8610001901502256E-2</v>
      </c>
      <c r="L2310" s="8">
        <v>0.47340916077466949</v>
      </c>
      <c r="M2310" s="18">
        <v>-0.13269065992891341</v>
      </c>
    </row>
    <row r="2311" spans="1:13" x14ac:dyDescent="0.45">
      <c r="A2311" t="s">
        <v>354</v>
      </c>
      <c r="B2311" s="18">
        <v>65.81</v>
      </c>
      <c r="C2311" s="18">
        <v>69.63</v>
      </c>
      <c r="D2311" s="18">
        <v>72.44</v>
      </c>
      <c r="E2311" s="18">
        <v>72.209999999999994</v>
      </c>
      <c r="F2311" s="18">
        <v>80.61</v>
      </c>
      <c r="G2311" s="18">
        <v>68.699200000000005</v>
      </c>
      <c r="H2311" s="18">
        <v>74.269499999999994</v>
      </c>
      <c r="I2311" s="8">
        <v>-5.4861410311647152E-2</v>
      </c>
      <c r="J2311" s="8">
        <v>-9.1524019878520102E-2</v>
      </c>
      <c r="K2311" s="8">
        <v>-8.8630383603378937E-2</v>
      </c>
      <c r="L2311" s="8">
        <v>-0.18360004962163501</v>
      </c>
      <c r="M2311" s="18">
        <v>-0.4186158634151812</v>
      </c>
    </row>
    <row r="2312" spans="1:13" x14ac:dyDescent="0.45">
      <c r="A2312" t="s">
        <v>1497</v>
      </c>
      <c r="B2312" s="18">
        <v>4.6500000000000004</v>
      </c>
      <c r="C2312" s="18">
        <v>6.2</v>
      </c>
      <c r="D2312" s="18">
        <v>4.6500000000000004</v>
      </c>
      <c r="E2312" s="18">
        <v>5.1100000000000003</v>
      </c>
      <c r="F2312" s="18">
        <v>16</v>
      </c>
      <c r="G2312" s="18">
        <v>5.5915999999999997</v>
      </c>
      <c r="H2312" s="18">
        <v>5.7940499999999986</v>
      </c>
      <c r="I2312" s="8">
        <v>-0.25</v>
      </c>
      <c r="J2312" s="8">
        <v>0</v>
      </c>
      <c r="K2312" s="8">
        <v>-9.0019569471624261E-2</v>
      </c>
      <c r="L2312" s="8">
        <v>-0.70937499999999998</v>
      </c>
      <c r="M2312" s="18">
        <v>-1.049394569471624</v>
      </c>
    </row>
    <row r="2313" spans="1:13" x14ac:dyDescent="0.45">
      <c r="A2313" t="s">
        <v>1369</v>
      </c>
      <c r="B2313" s="18">
        <v>50.98</v>
      </c>
      <c r="C2313" s="18">
        <v>54.24</v>
      </c>
      <c r="D2313" s="18">
        <v>78.17</v>
      </c>
      <c r="E2313" s="18">
        <v>56.04</v>
      </c>
      <c r="F2313" s="18">
        <v>77.89</v>
      </c>
      <c r="G2313" s="18">
        <v>55.077599999999997</v>
      </c>
      <c r="H2313" s="18">
        <v>65.316399999999987</v>
      </c>
      <c r="I2313" s="8">
        <v>-6.0103244837758203E-2</v>
      </c>
      <c r="J2313" s="8">
        <v>-0.34783164897019331</v>
      </c>
      <c r="K2313" s="8">
        <v>-9.0292648108494022E-2</v>
      </c>
      <c r="L2313" s="8">
        <v>-0.34548722557452832</v>
      </c>
      <c r="M2313" s="18">
        <v>-0.84371476749097374</v>
      </c>
    </row>
    <row r="2314" spans="1:13" x14ac:dyDescent="0.45">
      <c r="A2314" t="s">
        <v>474</v>
      </c>
      <c r="B2314" s="18">
        <v>52.42</v>
      </c>
      <c r="C2314" s="18">
        <v>55.84</v>
      </c>
      <c r="D2314" s="18">
        <v>54.64</v>
      </c>
      <c r="E2314" s="18">
        <v>57.65</v>
      </c>
      <c r="F2314" s="18">
        <v>58.55</v>
      </c>
      <c r="G2314" s="18">
        <v>55.298000000000002</v>
      </c>
      <c r="H2314" s="18">
        <v>57.037350000000004</v>
      </c>
      <c r="I2314" s="8">
        <v>-6.1246418338108947E-2</v>
      </c>
      <c r="J2314" s="8">
        <v>-4.0629575402635447E-2</v>
      </c>
      <c r="K2314" s="8">
        <v>-9.0719861231569721E-2</v>
      </c>
      <c r="L2314" s="8">
        <v>-0.1046968403074294</v>
      </c>
      <c r="M2314" s="18">
        <v>-0.29729269527974361</v>
      </c>
    </row>
    <row r="2315" spans="1:13" x14ac:dyDescent="0.45">
      <c r="A2315" t="s">
        <v>1928</v>
      </c>
      <c r="B2315" s="18">
        <v>16.62</v>
      </c>
      <c r="C2315" s="18">
        <v>17.61</v>
      </c>
      <c r="D2315" s="18">
        <v>17.78</v>
      </c>
      <c r="E2315" s="18">
        <v>18.3</v>
      </c>
      <c r="F2315" s="18">
        <v>20.170000000000002</v>
      </c>
      <c r="G2315" s="18">
        <v>16.751086000000001</v>
      </c>
      <c r="H2315" s="18">
        <v>18.3743965</v>
      </c>
      <c r="I2315" s="8">
        <v>-5.6218057921635367E-2</v>
      </c>
      <c r="J2315" s="8">
        <v>-6.5241844769403867E-2</v>
      </c>
      <c r="K2315" s="8">
        <v>-9.1803278688524559E-2</v>
      </c>
      <c r="L2315" s="8">
        <v>-0.1760039662865642</v>
      </c>
      <c r="M2315" s="18">
        <v>-0.38926714766612802</v>
      </c>
    </row>
    <row r="2316" spans="1:13" x14ac:dyDescent="0.45">
      <c r="A2316" t="s">
        <v>123</v>
      </c>
      <c r="B2316" s="18">
        <v>185.59</v>
      </c>
      <c r="C2316" s="18">
        <v>194.6</v>
      </c>
      <c r="D2316" s="18">
        <v>221.01</v>
      </c>
      <c r="E2316" s="18">
        <v>204.66</v>
      </c>
      <c r="F2316" s="18">
        <v>223.66</v>
      </c>
      <c r="G2316" s="18">
        <v>199.87860000000001</v>
      </c>
      <c r="H2316" s="18">
        <v>205.43035</v>
      </c>
      <c r="I2316" s="8">
        <v>-4.6300102774922913E-2</v>
      </c>
      <c r="J2316" s="8">
        <v>-0.16026424143703899</v>
      </c>
      <c r="K2316" s="8">
        <v>-9.3178930909801561E-2</v>
      </c>
      <c r="L2316" s="8">
        <v>-0.17021371724939641</v>
      </c>
      <c r="M2316" s="18">
        <v>-0.46995699237115979</v>
      </c>
    </row>
    <row r="2317" spans="1:13" x14ac:dyDescent="0.45">
      <c r="A2317" t="s">
        <v>362</v>
      </c>
      <c r="B2317" s="18">
        <v>135.85</v>
      </c>
      <c r="C2317" s="18">
        <v>145.43</v>
      </c>
      <c r="D2317" s="18">
        <v>151.1</v>
      </c>
      <c r="E2317" s="18">
        <v>149.97</v>
      </c>
      <c r="F2317" s="18">
        <v>154.62</v>
      </c>
      <c r="G2317" s="18">
        <v>141.08340000000001</v>
      </c>
      <c r="H2317" s="18">
        <v>152.32499999999999</v>
      </c>
      <c r="I2317" s="8">
        <v>-6.5873616172729244E-2</v>
      </c>
      <c r="J2317" s="8">
        <v>-0.100926538716082</v>
      </c>
      <c r="K2317" s="8">
        <v>-9.4152163766086594E-2</v>
      </c>
      <c r="L2317" s="8">
        <v>-0.1213943862372268</v>
      </c>
      <c r="M2317" s="18">
        <v>-0.38234670489212458</v>
      </c>
    </row>
    <row r="2318" spans="1:13" x14ac:dyDescent="0.45">
      <c r="A2318" t="s">
        <v>54</v>
      </c>
      <c r="B2318" s="18">
        <v>25.08</v>
      </c>
      <c r="C2318" s="18">
        <v>26.67</v>
      </c>
      <c r="D2318" s="18">
        <v>26.47</v>
      </c>
      <c r="E2318" s="18">
        <v>27.69</v>
      </c>
      <c r="F2318" s="18">
        <v>34.590000000000003</v>
      </c>
      <c r="G2318" s="18">
        <v>26.842400000000001</v>
      </c>
      <c r="H2318" s="18">
        <v>28.267399999999999</v>
      </c>
      <c r="I2318" s="8">
        <v>-5.9617547806524278E-2</v>
      </c>
      <c r="J2318" s="8">
        <v>-5.2512278050623418E-2</v>
      </c>
      <c r="K2318" s="8">
        <v>-9.4257854821235165E-2</v>
      </c>
      <c r="L2318" s="8">
        <v>-0.2749349522983523</v>
      </c>
      <c r="M2318" s="18">
        <v>-0.48132263297673522</v>
      </c>
    </row>
    <row r="2319" spans="1:13" x14ac:dyDescent="0.45">
      <c r="A2319" t="s">
        <v>2149</v>
      </c>
      <c r="B2319" s="18">
        <v>14.24</v>
      </c>
      <c r="C2319" s="18">
        <v>12.92</v>
      </c>
      <c r="D2319" s="18">
        <v>14.61</v>
      </c>
      <c r="E2319" s="18">
        <v>15.75</v>
      </c>
      <c r="F2319" s="18">
        <v>33.659999999999997</v>
      </c>
      <c r="G2319" s="18">
        <v>12.784800000000001</v>
      </c>
      <c r="H2319" s="18">
        <v>15.77595</v>
      </c>
      <c r="I2319" s="8">
        <v>0.1021671826625388</v>
      </c>
      <c r="J2319" s="8">
        <v>-2.532511978097185E-2</v>
      </c>
      <c r="K2319" s="8">
        <v>-9.5873015873015888E-2</v>
      </c>
      <c r="L2319" s="8">
        <v>-0.57694592988710625</v>
      </c>
      <c r="M2319" s="18">
        <v>-0.59597688287855521</v>
      </c>
    </row>
    <row r="2320" spans="1:13" x14ac:dyDescent="0.45">
      <c r="A2320" t="s">
        <v>2487</v>
      </c>
      <c r="B2320" s="18">
        <v>69.06</v>
      </c>
      <c r="C2320" s="18">
        <v>71.19</v>
      </c>
      <c r="D2320" s="18">
        <v>74.81</v>
      </c>
      <c r="E2320" s="18">
        <v>76.48</v>
      </c>
      <c r="F2320" s="18">
        <v>66.400000000000006</v>
      </c>
      <c r="G2320" s="18">
        <v>71.630200000000002</v>
      </c>
      <c r="H2320" s="18">
        <v>74.06165</v>
      </c>
      <c r="I2320" s="8">
        <v>-2.9919932574799749E-2</v>
      </c>
      <c r="J2320" s="8">
        <v>-7.6861382168159298E-2</v>
      </c>
      <c r="K2320" s="8">
        <v>-9.701882845188281E-2</v>
      </c>
      <c r="L2320" s="8">
        <v>4.0060240963855298E-2</v>
      </c>
      <c r="M2320" s="18">
        <v>-0.16373990223098661</v>
      </c>
    </row>
    <row r="2321" spans="1:13" x14ac:dyDescent="0.45">
      <c r="A2321" t="s">
        <v>1876</v>
      </c>
      <c r="B2321" s="18">
        <v>21.02</v>
      </c>
      <c r="C2321" s="18">
        <v>23</v>
      </c>
      <c r="D2321" s="18">
        <v>24.09</v>
      </c>
      <c r="E2321" s="18">
        <v>23.3</v>
      </c>
      <c r="F2321" s="18">
        <v>26.98</v>
      </c>
      <c r="G2321" s="18">
        <v>22.7178</v>
      </c>
      <c r="H2321" s="18">
        <v>24.534800000000001</v>
      </c>
      <c r="I2321" s="8">
        <v>-8.6086956521739144E-2</v>
      </c>
      <c r="J2321" s="8">
        <v>-0.12743877127438771</v>
      </c>
      <c r="K2321" s="8">
        <v>-9.785407725321893E-2</v>
      </c>
      <c r="L2321" s="8">
        <v>-0.2209043736100815</v>
      </c>
      <c r="M2321" s="18">
        <v>-0.53228417865942734</v>
      </c>
    </row>
    <row r="2322" spans="1:13" x14ac:dyDescent="0.45">
      <c r="A2322" t="s">
        <v>1278</v>
      </c>
      <c r="B2322" s="18">
        <v>40.659999999999997</v>
      </c>
      <c r="C2322" s="18">
        <v>43.69</v>
      </c>
      <c r="D2322" s="18">
        <v>45.3</v>
      </c>
      <c r="E2322" s="18">
        <v>45.08</v>
      </c>
      <c r="F2322" s="18">
        <v>39.619999999999997</v>
      </c>
      <c r="G2322" s="18">
        <v>43.090200000000003</v>
      </c>
      <c r="H2322" s="18">
        <v>45.923025000000003</v>
      </c>
      <c r="I2322" s="8">
        <v>-6.9352254520485213E-2</v>
      </c>
      <c r="J2322" s="8">
        <v>-0.1024282560706402</v>
      </c>
      <c r="K2322" s="8">
        <v>-9.8047914818101156E-2</v>
      </c>
      <c r="L2322" s="8">
        <v>2.6249369005552751E-2</v>
      </c>
      <c r="M2322" s="18">
        <v>-0.2435790564036738</v>
      </c>
    </row>
    <row r="2323" spans="1:13" x14ac:dyDescent="0.45">
      <c r="A2323" t="s">
        <v>433</v>
      </c>
      <c r="B2323" s="18">
        <v>187.61</v>
      </c>
      <c r="C2323" s="18">
        <v>191.47</v>
      </c>
      <c r="D2323" s="18">
        <v>232.79</v>
      </c>
      <c r="E2323" s="18">
        <v>208.57</v>
      </c>
      <c r="F2323" s="18">
        <v>235.37</v>
      </c>
      <c r="G2323" s="18">
        <v>206.50640000000001</v>
      </c>
      <c r="H2323" s="18">
        <v>216.86474999999999</v>
      </c>
      <c r="I2323" s="8">
        <v>-2.0159816159189381E-2</v>
      </c>
      <c r="J2323" s="8">
        <v>-0.19408050173976529</v>
      </c>
      <c r="K2323" s="8">
        <v>-0.1004938389988972</v>
      </c>
      <c r="L2323" s="8">
        <v>-0.20291456005438249</v>
      </c>
      <c r="M2323" s="18">
        <v>-0.51764871695223436</v>
      </c>
    </row>
    <row r="2324" spans="1:13" x14ac:dyDescent="0.45">
      <c r="A2324" t="s">
        <v>1238</v>
      </c>
      <c r="B2324" s="18">
        <v>15.63</v>
      </c>
      <c r="C2324" s="18">
        <v>15.15</v>
      </c>
      <c r="D2324" s="18">
        <v>17.97</v>
      </c>
      <c r="E2324" s="18">
        <v>17.38</v>
      </c>
      <c r="F2324" s="18"/>
      <c r="G2324" s="18">
        <v>16.036000000000001</v>
      </c>
      <c r="H2324" s="18"/>
      <c r="I2324" s="8">
        <v>3.1683168316831711E-2</v>
      </c>
      <c r="J2324" s="8">
        <v>-0.13021702838063429</v>
      </c>
      <c r="K2324" s="8">
        <v>-0.1006904487917145</v>
      </c>
      <c r="L2324" s="8"/>
      <c r="M2324" s="18">
        <v>-0.19922430885551709</v>
      </c>
    </row>
    <row r="2325" spans="1:13" x14ac:dyDescent="0.45">
      <c r="A2325" t="s">
        <v>106</v>
      </c>
      <c r="B2325" s="18">
        <v>252.98</v>
      </c>
      <c r="C2325" s="18">
        <v>251.99</v>
      </c>
      <c r="D2325" s="18">
        <v>288.36</v>
      </c>
      <c r="E2325" s="18">
        <v>281.39</v>
      </c>
      <c r="F2325" s="18">
        <v>362.24</v>
      </c>
      <c r="G2325" s="18">
        <v>248.32599999999999</v>
      </c>
      <c r="H2325" s="18">
        <v>305.63159999999999</v>
      </c>
      <c r="I2325" s="8">
        <v>3.9287273304495773E-3</v>
      </c>
      <c r="J2325" s="8">
        <v>-0.1226938549035929</v>
      </c>
      <c r="K2325" s="8">
        <v>-0.10096307615764601</v>
      </c>
      <c r="L2325" s="8">
        <v>-0.30162323321554768</v>
      </c>
      <c r="M2325" s="18">
        <v>-0.52135143694633701</v>
      </c>
    </row>
    <row r="2326" spans="1:13" x14ac:dyDescent="0.45">
      <c r="A2326" t="s">
        <v>1955</v>
      </c>
      <c r="B2326" s="18">
        <v>18.97</v>
      </c>
      <c r="C2326" s="18">
        <v>19.47</v>
      </c>
      <c r="D2326" s="18">
        <v>21.82</v>
      </c>
      <c r="E2326" s="18">
        <v>21.11</v>
      </c>
      <c r="F2326" s="18">
        <v>27.58</v>
      </c>
      <c r="G2326" s="18">
        <v>20.8126</v>
      </c>
      <c r="H2326" s="18">
        <v>22.240100000000002</v>
      </c>
      <c r="I2326" s="8">
        <v>-2.5680534155110402E-2</v>
      </c>
      <c r="J2326" s="8">
        <v>-0.1306141154903758</v>
      </c>
      <c r="K2326" s="8">
        <v>-0.10137375651350081</v>
      </c>
      <c r="L2326" s="8">
        <v>-0.31218274111675132</v>
      </c>
      <c r="M2326" s="18">
        <v>-0.56985114727573827</v>
      </c>
    </row>
    <row r="2327" spans="1:13" x14ac:dyDescent="0.45">
      <c r="A2327" t="s">
        <v>2525</v>
      </c>
      <c r="B2327" s="18">
        <v>24.4</v>
      </c>
      <c r="C2327" s="18">
        <v>26.83</v>
      </c>
      <c r="D2327" s="18">
        <v>31.8</v>
      </c>
      <c r="E2327" s="18">
        <v>27.16</v>
      </c>
      <c r="F2327" s="18">
        <v>22.24</v>
      </c>
      <c r="G2327" s="18">
        <v>29.4694</v>
      </c>
      <c r="H2327" s="18">
        <v>34.078249999999997</v>
      </c>
      <c r="I2327" s="8">
        <v>-9.057025717480427E-2</v>
      </c>
      <c r="J2327" s="8">
        <v>-0.2327044025157233</v>
      </c>
      <c r="K2327" s="8">
        <v>-0.1016200294550811</v>
      </c>
      <c r="L2327" s="8">
        <v>9.7122302158273444E-2</v>
      </c>
      <c r="M2327" s="18">
        <v>-0.32777238698733518</v>
      </c>
    </row>
    <row r="2328" spans="1:13" x14ac:dyDescent="0.45">
      <c r="A2328" t="s">
        <v>2071</v>
      </c>
      <c r="B2328" s="18">
        <v>65.349999999999994</v>
      </c>
      <c r="C2328" s="18">
        <v>67.069999999999993</v>
      </c>
      <c r="D2328" s="18">
        <v>70.72</v>
      </c>
      <c r="E2328" s="18">
        <v>72.760000000000005</v>
      </c>
      <c r="F2328" s="18">
        <v>80.209999999999994</v>
      </c>
      <c r="G2328" s="18">
        <v>66.334400000000002</v>
      </c>
      <c r="H2328" s="18">
        <v>72.955375000000004</v>
      </c>
      <c r="I2328" s="8">
        <v>-2.5644848665573261E-2</v>
      </c>
      <c r="J2328" s="8">
        <v>-7.5933257918552099E-2</v>
      </c>
      <c r="K2328" s="8">
        <v>-0.1018416712479385</v>
      </c>
      <c r="L2328" s="8">
        <v>-0.18526368283256461</v>
      </c>
      <c r="M2328" s="18">
        <v>-0.38868346066462839</v>
      </c>
    </row>
    <row r="2329" spans="1:13" x14ac:dyDescent="0.45">
      <c r="A2329" t="s">
        <v>327</v>
      </c>
      <c r="B2329" s="18">
        <v>119.63</v>
      </c>
      <c r="C2329" s="18">
        <v>130.97</v>
      </c>
      <c r="D2329" s="18">
        <v>131.94999999999999</v>
      </c>
      <c r="E2329" s="18">
        <v>133.28</v>
      </c>
      <c r="F2329" s="18">
        <v>140.88999999999999</v>
      </c>
      <c r="G2329" s="18">
        <v>128.42240000000001</v>
      </c>
      <c r="H2329" s="18">
        <v>132.73965000000001</v>
      </c>
      <c r="I2329" s="8">
        <v>-8.6584714056654244E-2</v>
      </c>
      <c r="J2329" s="8">
        <v>-9.3368700265251903E-2</v>
      </c>
      <c r="K2329" s="8">
        <v>-0.1024159663865547</v>
      </c>
      <c r="L2329" s="8">
        <v>-0.15089786358151749</v>
      </c>
      <c r="M2329" s="18">
        <v>-0.43326724428997831</v>
      </c>
    </row>
    <row r="2330" spans="1:13" x14ac:dyDescent="0.45">
      <c r="A2330" t="s">
        <v>554</v>
      </c>
      <c r="B2330" s="18">
        <v>11.6</v>
      </c>
      <c r="C2330" s="18">
        <v>10.47</v>
      </c>
      <c r="D2330" s="18">
        <v>14.26</v>
      </c>
      <c r="E2330" s="18">
        <v>12.93</v>
      </c>
      <c r="F2330" s="18">
        <v>22.71</v>
      </c>
      <c r="G2330" s="18">
        <v>11.518800000000001</v>
      </c>
      <c r="H2330" s="18">
        <v>15.61495</v>
      </c>
      <c r="I2330" s="8">
        <v>0.10792741165233991</v>
      </c>
      <c r="J2330" s="8">
        <v>-0.1865357643758766</v>
      </c>
      <c r="K2330" s="8">
        <v>-0.102861562258314</v>
      </c>
      <c r="L2330" s="8">
        <v>-0.48921180096873629</v>
      </c>
      <c r="M2330" s="18">
        <v>-0.67068171595058701</v>
      </c>
    </row>
    <row r="2331" spans="1:13" x14ac:dyDescent="0.45">
      <c r="A2331" t="s">
        <v>946</v>
      </c>
      <c r="B2331" s="18">
        <v>46.52</v>
      </c>
      <c r="C2331" s="18">
        <v>53.98</v>
      </c>
      <c r="D2331" s="18">
        <v>53.57</v>
      </c>
      <c r="E2331" s="18">
        <v>51.87</v>
      </c>
      <c r="F2331" s="18">
        <v>66.59</v>
      </c>
      <c r="G2331" s="18">
        <v>51.629800000000003</v>
      </c>
      <c r="H2331" s="18">
        <v>57.130949999999991</v>
      </c>
      <c r="I2331" s="8">
        <v>-0.13819933308632809</v>
      </c>
      <c r="J2331" s="8">
        <v>-0.13160350942691801</v>
      </c>
      <c r="K2331" s="8">
        <v>-0.1031424715635241</v>
      </c>
      <c r="L2331" s="8">
        <v>-0.30139660609701158</v>
      </c>
      <c r="M2331" s="18">
        <v>-0.67434192017378181</v>
      </c>
    </row>
    <row r="2332" spans="1:13" x14ac:dyDescent="0.45">
      <c r="A2332" t="s">
        <v>734</v>
      </c>
      <c r="B2332" s="18">
        <v>98.8</v>
      </c>
      <c r="C2332" s="18">
        <v>115.43</v>
      </c>
      <c r="D2332" s="18">
        <v>116.58</v>
      </c>
      <c r="E2332" s="18">
        <v>110.23</v>
      </c>
      <c r="F2332" s="18">
        <v>136.19999999999999</v>
      </c>
      <c r="G2332" s="18">
        <v>114.3608</v>
      </c>
      <c r="H2332" s="18">
        <v>119.37654999999999</v>
      </c>
      <c r="I2332" s="8">
        <v>-0.1440699991336741</v>
      </c>
      <c r="J2332" s="8">
        <v>-0.15251329559101051</v>
      </c>
      <c r="K2332" s="8">
        <v>-0.1036922797786447</v>
      </c>
      <c r="L2332" s="8">
        <v>-0.27459618208516878</v>
      </c>
      <c r="M2332" s="18">
        <v>-0.67487175658849807</v>
      </c>
    </row>
    <row r="2333" spans="1:13" x14ac:dyDescent="0.45">
      <c r="A2333" t="s">
        <v>1854</v>
      </c>
      <c r="B2333" s="18">
        <v>10.1</v>
      </c>
      <c r="C2333" s="18">
        <v>9.5749999999999993</v>
      </c>
      <c r="D2333" s="18">
        <v>14.8</v>
      </c>
      <c r="E2333" s="18">
        <v>11.27</v>
      </c>
      <c r="F2333" s="18">
        <v>9.2378999999999998</v>
      </c>
      <c r="G2333" s="18">
        <v>11.122736</v>
      </c>
      <c r="H2333" s="18">
        <v>10.880609890000001</v>
      </c>
      <c r="I2333" s="8">
        <v>5.4830287206266259E-2</v>
      </c>
      <c r="J2333" s="8">
        <v>-0.31756756756756771</v>
      </c>
      <c r="K2333" s="8">
        <v>-0.1038154392191659</v>
      </c>
      <c r="L2333" s="8">
        <v>9.3322075363448498E-2</v>
      </c>
      <c r="M2333" s="18">
        <v>-0.27323064421701881</v>
      </c>
    </row>
    <row r="2334" spans="1:13" x14ac:dyDescent="0.45">
      <c r="A2334" t="s">
        <v>1580</v>
      </c>
      <c r="B2334" s="18">
        <v>54.08</v>
      </c>
      <c r="C2334" s="18">
        <v>50.97</v>
      </c>
      <c r="D2334" s="18">
        <v>62.61</v>
      </c>
      <c r="E2334" s="18">
        <v>60.49</v>
      </c>
      <c r="F2334" s="18">
        <v>45.65</v>
      </c>
      <c r="G2334" s="18">
        <v>53.716200000000001</v>
      </c>
      <c r="H2334" s="18">
        <v>65.335250000000002</v>
      </c>
      <c r="I2334" s="8">
        <v>6.1016284088679651E-2</v>
      </c>
      <c r="J2334" s="8">
        <v>-0.13624021721769691</v>
      </c>
      <c r="K2334" s="8">
        <v>-0.105967928583237</v>
      </c>
      <c r="L2334" s="8">
        <v>0.18466593647316529</v>
      </c>
      <c r="M2334" s="18">
        <v>3.474074760911106E-3</v>
      </c>
    </row>
    <row r="2335" spans="1:13" x14ac:dyDescent="0.45">
      <c r="A2335" t="s">
        <v>2324</v>
      </c>
      <c r="B2335" s="18">
        <v>64.94</v>
      </c>
      <c r="C2335" s="18">
        <v>68.260000000000005</v>
      </c>
      <c r="D2335" s="18">
        <v>71.2</v>
      </c>
      <c r="E2335" s="18">
        <v>72.680000000000007</v>
      </c>
      <c r="F2335" s="18">
        <v>98.2</v>
      </c>
      <c r="G2335" s="18">
        <v>67.310600000000008</v>
      </c>
      <c r="H2335" s="18">
        <v>76.803449999999998</v>
      </c>
      <c r="I2335" s="8">
        <v>-4.8637562261939722E-2</v>
      </c>
      <c r="J2335" s="8">
        <v>-8.7921348314606851E-2</v>
      </c>
      <c r="K2335" s="8">
        <v>-0.1064942212438086</v>
      </c>
      <c r="L2335" s="8">
        <v>-0.33869653767820768</v>
      </c>
      <c r="M2335" s="18">
        <v>-0.58174966949856288</v>
      </c>
    </row>
    <row r="2336" spans="1:13" x14ac:dyDescent="0.45">
      <c r="A2336" t="s">
        <v>696</v>
      </c>
      <c r="B2336" s="18">
        <v>2.6</v>
      </c>
      <c r="C2336" s="18">
        <v>3.4</v>
      </c>
      <c r="D2336" s="18">
        <v>3.65</v>
      </c>
      <c r="E2336" s="18">
        <v>2.91</v>
      </c>
      <c r="F2336" s="18">
        <v>7.38</v>
      </c>
      <c r="G2336" s="18">
        <v>3.0752000000000002</v>
      </c>
      <c r="H2336" s="18">
        <v>3.6282000000000001</v>
      </c>
      <c r="I2336" s="8">
        <v>-0.23529411764705879</v>
      </c>
      <c r="J2336" s="8">
        <v>-0.28767123287671231</v>
      </c>
      <c r="K2336" s="8">
        <v>-0.10652920962199321</v>
      </c>
      <c r="L2336" s="8">
        <v>-0.64769647696476962</v>
      </c>
      <c r="M2336" s="18">
        <v>-1.2771910371105339</v>
      </c>
    </row>
    <row r="2337" spans="1:13" x14ac:dyDescent="0.45">
      <c r="A2337" t="s">
        <v>1242</v>
      </c>
      <c r="B2337" s="18">
        <v>30.34</v>
      </c>
      <c r="C2337" s="18">
        <v>36.82</v>
      </c>
      <c r="D2337" s="18">
        <v>42.66</v>
      </c>
      <c r="E2337" s="18">
        <v>33.979999999999997</v>
      </c>
      <c r="F2337" s="18">
        <v>63.98</v>
      </c>
      <c r="G2337" s="18">
        <v>36.581600000000002</v>
      </c>
      <c r="H2337" s="18">
        <v>41.029949999999999</v>
      </c>
      <c r="I2337" s="8">
        <v>-0.17599130907115701</v>
      </c>
      <c r="J2337" s="8">
        <v>-0.28879512423816212</v>
      </c>
      <c r="K2337" s="8">
        <v>-0.10712183637433779</v>
      </c>
      <c r="L2337" s="8">
        <v>-0.52578930915911215</v>
      </c>
      <c r="M2337" s="18">
        <v>-1.097697578842769</v>
      </c>
    </row>
    <row r="2338" spans="1:13" x14ac:dyDescent="0.45">
      <c r="A2338" t="s">
        <v>1844</v>
      </c>
      <c r="B2338" s="18">
        <v>14.48</v>
      </c>
      <c r="C2338" s="18">
        <v>15.29</v>
      </c>
      <c r="D2338" s="18">
        <v>20.87</v>
      </c>
      <c r="E2338" s="18">
        <v>16.239999999999998</v>
      </c>
      <c r="F2338" s="18">
        <v>27.3</v>
      </c>
      <c r="G2338" s="18">
        <v>17.805800000000001</v>
      </c>
      <c r="H2338" s="18">
        <v>19.245650000000001</v>
      </c>
      <c r="I2338" s="8">
        <v>-5.2975801177239989E-2</v>
      </c>
      <c r="J2338" s="8">
        <v>-0.3061811212266411</v>
      </c>
      <c r="K2338" s="8">
        <v>-0.1083743842364531</v>
      </c>
      <c r="L2338" s="8">
        <v>-0.46959706959706959</v>
      </c>
      <c r="M2338" s="18">
        <v>-0.93712837623740375</v>
      </c>
    </row>
    <row r="2339" spans="1:13" x14ac:dyDescent="0.45">
      <c r="A2339" t="s">
        <v>97</v>
      </c>
      <c r="B2339" s="18">
        <v>421.15</v>
      </c>
      <c r="C2339" s="18">
        <v>396.48</v>
      </c>
      <c r="D2339" s="18">
        <v>479.53</v>
      </c>
      <c r="E2339" s="18">
        <v>472.37</v>
      </c>
      <c r="F2339" s="18">
        <v>455.31</v>
      </c>
      <c r="G2339" s="18">
        <v>397.39670000000012</v>
      </c>
      <c r="H2339" s="18">
        <v>444.78930000000003</v>
      </c>
      <c r="I2339" s="8">
        <v>6.2222558514931192E-2</v>
      </c>
      <c r="J2339" s="8">
        <v>-0.12174420787020621</v>
      </c>
      <c r="K2339" s="8">
        <v>-0.1084319495310879</v>
      </c>
      <c r="L2339" s="8">
        <v>-7.5025806593310151E-2</v>
      </c>
      <c r="M2339" s="18">
        <v>-0.24297940547967309</v>
      </c>
    </row>
    <row r="2340" spans="1:13" x14ac:dyDescent="0.45">
      <c r="A2340" t="s">
        <v>2536</v>
      </c>
      <c r="B2340" s="18">
        <v>2.96</v>
      </c>
      <c r="C2340" s="18">
        <v>2.85</v>
      </c>
      <c r="D2340" s="18">
        <v>3.15</v>
      </c>
      <c r="E2340" s="18">
        <v>3.32</v>
      </c>
      <c r="F2340" s="18">
        <v>3.71</v>
      </c>
      <c r="G2340" s="18">
        <v>2.92564</v>
      </c>
      <c r="H2340" s="18">
        <v>3.1772744999999998</v>
      </c>
      <c r="I2340" s="8">
        <v>3.8596491228070073E-2</v>
      </c>
      <c r="J2340" s="8">
        <v>-6.0317460317460332E-2</v>
      </c>
      <c r="K2340" s="8">
        <v>-0.10843373493975909</v>
      </c>
      <c r="L2340" s="8">
        <v>-0.2021563342318059</v>
      </c>
      <c r="M2340" s="18">
        <v>-0.3323110382609552</v>
      </c>
    </row>
    <row r="2341" spans="1:13" x14ac:dyDescent="0.45">
      <c r="A2341" t="s">
        <v>181</v>
      </c>
      <c r="B2341" s="18">
        <v>40.98</v>
      </c>
      <c r="C2341" s="18">
        <v>39.46</v>
      </c>
      <c r="D2341" s="18">
        <v>56.41</v>
      </c>
      <c r="E2341" s="18">
        <v>45.98</v>
      </c>
      <c r="F2341" s="18">
        <v>57.11</v>
      </c>
      <c r="G2341" s="18">
        <v>41.317399999999999</v>
      </c>
      <c r="H2341" s="18">
        <v>50.167900000000003</v>
      </c>
      <c r="I2341" s="8">
        <v>3.8520020273694833E-2</v>
      </c>
      <c r="J2341" s="8">
        <v>-0.27353306151391599</v>
      </c>
      <c r="K2341" s="8">
        <v>-0.1087429317094389</v>
      </c>
      <c r="L2341" s="8">
        <v>-0.28243740150586588</v>
      </c>
      <c r="M2341" s="18">
        <v>-0.62619337445552603</v>
      </c>
    </row>
    <row r="2342" spans="1:13" x14ac:dyDescent="0.45">
      <c r="A2342" t="s">
        <v>2507</v>
      </c>
      <c r="B2342" s="18">
        <v>8.09</v>
      </c>
      <c r="C2342" s="18">
        <v>8.64</v>
      </c>
      <c r="D2342" s="18">
        <v>8.59</v>
      </c>
      <c r="E2342" s="18">
        <v>9.09</v>
      </c>
      <c r="F2342" s="18">
        <v>11.8</v>
      </c>
      <c r="G2342" s="18">
        <v>8.2949999999999999</v>
      </c>
      <c r="H2342" s="18">
        <v>9.4687000000000001</v>
      </c>
      <c r="I2342" s="8">
        <v>-6.365740740740744E-2</v>
      </c>
      <c r="J2342" s="8">
        <v>-5.8207217694994151E-2</v>
      </c>
      <c r="K2342" s="8">
        <v>-0.11001100110011</v>
      </c>
      <c r="L2342" s="8">
        <v>-0.31440677966101699</v>
      </c>
      <c r="M2342" s="18">
        <v>-0.54628240586352861</v>
      </c>
    </row>
    <row r="2343" spans="1:13" x14ac:dyDescent="0.45">
      <c r="A2343" t="s">
        <v>208</v>
      </c>
      <c r="B2343" s="18">
        <v>127.89</v>
      </c>
      <c r="C2343" s="18">
        <v>136.71</v>
      </c>
      <c r="D2343" s="18">
        <v>143.46</v>
      </c>
      <c r="E2343" s="18">
        <v>143.91999999999999</v>
      </c>
      <c r="F2343" s="18">
        <v>160.69</v>
      </c>
      <c r="G2343" s="18">
        <v>133.95439999999999</v>
      </c>
      <c r="H2343" s="18">
        <v>144.98894999999999</v>
      </c>
      <c r="I2343" s="8">
        <v>-6.4516129032258118E-2</v>
      </c>
      <c r="J2343" s="8">
        <v>-0.10853199498117951</v>
      </c>
      <c r="K2343" s="8">
        <v>-0.11138132295719839</v>
      </c>
      <c r="L2343" s="8">
        <v>-0.20411973364864019</v>
      </c>
      <c r="M2343" s="18">
        <v>-0.48854918061927621</v>
      </c>
    </row>
    <row r="2344" spans="1:13" x14ac:dyDescent="0.45">
      <c r="A2344" t="s">
        <v>2150</v>
      </c>
      <c r="B2344" s="18">
        <v>7.35</v>
      </c>
      <c r="C2344" s="18">
        <v>7.73</v>
      </c>
      <c r="D2344" s="18">
        <v>8.9700000000000006</v>
      </c>
      <c r="E2344" s="18">
        <v>8.2899999999999991</v>
      </c>
      <c r="F2344" s="18">
        <v>14.43</v>
      </c>
      <c r="G2344" s="18">
        <v>7.6326000000000001</v>
      </c>
      <c r="H2344" s="18">
        <v>10.4049</v>
      </c>
      <c r="I2344" s="8">
        <v>-4.9159120310478747E-2</v>
      </c>
      <c r="J2344" s="8">
        <v>-0.18060200668896331</v>
      </c>
      <c r="K2344" s="8">
        <v>-0.1133896260554885</v>
      </c>
      <c r="L2344" s="8">
        <v>-0.49064449064449073</v>
      </c>
      <c r="M2344" s="18">
        <v>-0.83379524369942126</v>
      </c>
    </row>
    <row r="2345" spans="1:13" x14ac:dyDescent="0.45">
      <c r="A2345" t="s">
        <v>1962</v>
      </c>
      <c r="B2345" s="18">
        <v>13.46</v>
      </c>
      <c r="C2345" s="18">
        <v>15.19</v>
      </c>
      <c r="D2345" s="18">
        <v>14.52</v>
      </c>
      <c r="E2345" s="18">
        <v>15.19</v>
      </c>
      <c r="F2345" s="18">
        <v>17.57</v>
      </c>
      <c r="G2345" s="18">
        <v>14.558999999999999</v>
      </c>
      <c r="H2345" s="18">
        <v>15.491849999999999</v>
      </c>
      <c r="I2345" s="8">
        <v>-0.1138907175773535</v>
      </c>
      <c r="J2345" s="8">
        <v>-7.3002754820936544E-2</v>
      </c>
      <c r="K2345" s="8">
        <v>-0.1138907175773535</v>
      </c>
      <c r="L2345" s="8">
        <v>-0.2339214570290267</v>
      </c>
      <c r="M2345" s="18">
        <v>-0.53470564700467016</v>
      </c>
    </row>
    <row r="2346" spans="1:13" x14ac:dyDescent="0.45">
      <c r="A2346" t="s">
        <v>2216</v>
      </c>
      <c r="B2346" s="18">
        <v>52.2</v>
      </c>
      <c r="C2346" s="18">
        <v>55.97</v>
      </c>
      <c r="D2346" s="18">
        <v>57.64</v>
      </c>
      <c r="E2346" s="18">
        <v>58.91</v>
      </c>
      <c r="F2346" s="18">
        <v>92.57</v>
      </c>
      <c r="G2346" s="18">
        <v>54.597200000000001</v>
      </c>
      <c r="H2346" s="18">
        <v>64.744299999999996</v>
      </c>
      <c r="I2346" s="8">
        <v>-6.7357512953367782E-2</v>
      </c>
      <c r="J2346" s="8">
        <v>-9.4378903539208858E-2</v>
      </c>
      <c r="K2346" s="8">
        <v>-0.1139025632320488</v>
      </c>
      <c r="L2346" s="8">
        <v>-0.43610240898779301</v>
      </c>
      <c r="M2346" s="18">
        <v>-0.71174138871241843</v>
      </c>
    </row>
    <row r="2347" spans="1:13" x14ac:dyDescent="0.45">
      <c r="A2347" t="s">
        <v>2406</v>
      </c>
      <c r="B2347" s="18">
        <v>18.18</v>
      </c>
      <c r="C2347" s="18">
        <v>19.05</v>
      </c>
      <c r="D2347" s="18">
        <v>21.54</v>
      </c>
      <c r="E2347" s="18">
        <v>20.56</v>
      </c>
      <c r="F2347" s="18">
        <v>22.53</v>
      </c>
      <c r="G2347" s="18">
        <v>18.9894</v>
      </c>
      <c r="H2347" s="18">
        <v>21.08315</v>
      </c>
      <c r="I2347" s="8">
        <v>-4.5669291338582767E-2</v>
      </c>
      <c r="J2347" s="8">
        <v>-0.15598885793871861</v>
      </c>
      <c r="K2347" s="8">
        <v>-0.11575875486381321</v>
      </c>
      <c r="L2347" s="8">
        <v>-0.19307589880159789</v>
      </c>
      <c r="M2347" s="18">
        <v>-0.51049280294271249</v>
      </c>
    </row>
    <row r="2348" spans="1:13" x14ac:dyDescent="0.45">
      <c r="A2348" t="s">
        <v>158</v>
      </c>
      <c r="B2348" s="18">
        <v>27.81</v>
      </c>
      <c r="C2348" s="18">
        <v>27.46</v>
      </c>
      <c r="D2348" s="18">
        <v>29.09</v>
      </c>
      <c r="E2348" s="18">
        <v>31.46</v>
      </c>
      <c r="F2348" s="18">
        <v>47.36</v>
      </c>
      <c r="G2348" s="18">
        <v>28.803999999999991</v>
      </c>
      <c r="H2348" s="18">
        <v>31.752849999999999</v>
      </c>
      <c r="I2348" s="8">
        <v>1.2745812090313001E-2</v>
      </c>
      <c r="J2348" s="8">
        <v>-4.4001375042970081E-2</v>
      </c>
      <c r="K2348" s="8">
        <v>-0.11602034329307059</v>
      </c>
      <c r="L2348" s="8">
        <v>-0.41279560810810811</v>
      </c>
      <c r="M2348" s="18">
        <v>-0.56007151435383584</v>
      </c>
    </row>
    <row r="2349" spans="1:13" x14ac:dyDescent="0.45">
      <c r="A2349" t="s">
        <v>1231</v>
      </c>
      <c r="B2349" s="18">
        <v>7.16</v>
      </c>
      <c r="C2349" s="18">
        <v>7.83</v>
      </c>
      <c r="D2349" s="18">
        <v>10.31</v>
      </c>
      <c r="E2349" s="18">
        <v>8.1</v>
      </c>
      <c r="F2349" s="18">
        <v>7.09</v>
      </c>
      <c r="G2349" s="18">
        <v>8.177999999999999</v>
      </c>
      <c r="H2349" s="18">
        <v>8.4085999999999999</v>
      </c>
      <c r="I2349" s="8">
        <v>-8.5568326947637274E-2</v>
      </c>
      <c r="J2349" s="8">
        <v>-0.30552861299709022</v>
      </c>
      <c r="K2349" s="8">
        <v>-0.11604938271604941</v>
      </c>
      <c r="L2349" s="8">
        <v>9.873060648801113E-3</v>
      </c>
      <c r="M2349" s="18">
        <v>-0.49727326201197569</v>
      </c>
    </row>
    <row r="2350" spans="1:13" x14ac:dyDescent="0.45">
      <c r="A2350" t="s">
        <v>1543</v>
      </c>
      <c r="B2350" s="18">
        <v>49.82</v>
      </c>
      <c r="C2350" s="18">
        <v>53.86</v>
      </c>
      <c r="D2350" s="18">
        <v>61.6</v>
      </c>
      <c r="E2350" s="18">
        <v>56.44</v>
      </c>
      <c r="F2350" s="18">
        <v>61.25</v>
      </c>
      <c r="G2350" s="18">
        <v>53.206400000000002</v>
      </c>
      <c r="H2350" s="18">
        <v>61.187550000000002</v>
      </c>
      <c r="I2350" s="8">
        <v>-7.5009283327144405E-2</v>
      </c>
      <c r="J2350" s="8">
        <v>-0.1912337662337662</v>
      </c>
      <c r="K2350" s="8">
        <v>-0.1172927002126152</v>
      </c>
      <c r="L2350" s="8">
        <v>-0.18661224489795911</v>
      </c>
      <c r="M2350" s="18">
        <v>-0.57014799467148491</v>
      </c>
    </row>
    <row r="2351" spans="1:13" x14ac:dyDescent="0.45">
      <c r="A2351" t="s">
        <v>1989</v>
      </c>
      <c r="B2351" s="18">
        <v>21.65</v>
      </c>
      <c r="C2351" s="18">
        <v>22.28</v>
      </c>
      <c r="D2351" s="18">
        <v>27.27</v>
      </c>
      <c r="E2351" s="18">
        <v>24.55</v>
      </c>
      <c r="F2351" s="18">
        <v>24.93</v>
      </c>
      <c r="G2351" s="18">
        <v>22.9648</v>
      </c>
      <c r="H2351" s="18">
        <v>25.411200000000001</v>
      </c>
      <c r="I2351" s="8">
        <v>-2.8276481149012711E-2</v>
      </c>
      <c r="J2351" s="8">
        <v>-0.2060872753942061</v>
      </c>
      <c r="K2351" s="8">
        <v>-0.1181262729124237</v>
      </c>
      <c r="L2351" s="8">
        <v>-0.1315683914961894</v>
      </c>
      <c r="M2351" s="18">
        <v>-0.48405842095183188</v>
      </c>
    </row>
    <row r="2352" spans="1:13" x14ac:dyDescent="0.45">
      <c r="A2352" t="s">
        <v>193</v>
      </c>
      <c r="B2352" s="18">
        <v>78</v>
      </c>
      <c r="C2352" s="18">
        <v>84.28</v>
      </c>
      <c r="D2352" s="18">
        <v>90.62</v>
      </c>
      <c r="E2352" s="18">
        <v>88.6</v>
      </c>
      <c r="F2352" s="18">
        <v>99.04</v>
      </c>
      <c r="G2352" s="18">
        <v>82.84559999999999</v>
      </c>
      <c r="H2352" s="18">
        <v>88.485250000000008</v>
      </c>
      <c r="I2352" s="8">
        <v>-7.451352634076891E-2</v>
      </c>
      <c r="J2352" s="8">
        <v>-0.13926285588170381</v>
      </c>
      <c r="K2352" s="8">
        <v>-0.1196388261851016</v>
      </c>
      <c r="L2352" s="8">
        <v>-0.21243941841680139</v>
      </c>
      <c r="M2352" s="18">
        <v>-0.54585462682437569</v>
      </c>
    </row>
    <row r="2353" spans="1:13" x14ac:dyDescent="0.45">
      <c r="A2353" t="s">
        <v>1329</v>
      </c>
      <c r="B2353" s="18">
        <v>60.42</v>
      </c>
      <c r="C2353" s="18">
        <v>59.08</v>
      </c>
      <c r="D2353" s="18">
        <v>57.8</v>
      </c>
      <c r="E2353" s="18">
        <v>68.64</v>
      </c>
      <c r="F2353" s="18">
        <v>70.66</v>
      </c>
      <c r="G2353" s="18">
        <v>58.379800000000003</v>
      </c>
      <c r="H2353" s="18">
        <v>68.352149999999995</v>
      </c>
      <c r="I2353" s="8">
        <v>2.268111035883558E-2</v>
      </c>
      <c r="J2353" s="8">
        <v>4.532871972318353E-2</v>
      </c>
      <c r="K2353" s="8">
        <v>-0.1197552447552447</v>
      </c>
      <c r="L2353" s="8">
        <v>-0.14491933201245399</v>
      </c>
      <c r="M2353" s="18">
        <v>-0.1966647466856796</v>
      </c>
    </row>
    <row r="2354" spans="1:13" x14ac:dyDescent="0.45">
      <c r="A2354" t="s">
        <v>1560</v>
      </c>
      <c r="B2354" s="18">
        <v>5.5</v>
      </c>
      <c r="C2354" s="18">
        <v>6.29</v>
      </c>
      <c r="D2354" s="18">
        <v>6.61</v>
      </c>
      <c r="E2354" s="18">
        <v>6.25</v>
      </c>
      <c r="F2354" s="18">
        <v>12.07</v>
      </c>
      <c r="G2354" s="18">
        <v>5.8893999999999993</v>
      </c>
      <c r="H2354" s="18">
        <v>7.2665499999999996</v>
      </c>
      <c r="I2354" s="8">
        <v>-0.1255961844197139</v>
      </c>
      <c r="J2354" s="8">
        <v>-0.16792738275340399</v>
      </c>
      <c r="K2354" s="8">
        <v>-0.12</v>
      </c>
      <c r="L2354" s="8">
        <v>-0.54432477216238606</v>
      </c>
      <c r="M2354" s="18">
        <v>-0.95784833933550395</v>
      </c>
    </row>
    <row r="2355" spans="1:13" x14ac:dyDescent="0.45">
      <c r="A2355" t="s">
        <v>1866</v>
      </c>
      <c r="B2355" s="18">
        <v>10.24</v>
      </c>
      <c r="C2355" s="18">
        <v>10.37</v>
      </c>
      <c r="D2355" s="18">
        <v>10.02</v>
      </c>
      <c r="E2355" s="18">
        <v>11.65</v>
      </c>
      <c r="F2355" s="18">
        <v>18.29</v>
      </c>
      <c r="G2355" s="18">
        <v>9.9027999999999992</v>
      </c>
      <c r="H2355" s="18">
        <v>11.8645</v>
      </c>
      <c r="I2355" s="8">
        <v>-1.253616200578578E-2</v>
      </c>
      <c r="J2355" s="8">
        <v>2.195608782435143E-2</v>
      </c>
      <c r="K2355" s="8">
        <v>-0.121030042918455</v>
      </c>
      <c r="L2355" s="8">
        <v>-0.44013121924548931</v>
      </c>
      <c r="M2355" s="18">
        <v>-0.55174133634537859</v>
      </c>
    </row>
    <row r="2356" spans="1:13" x14ac:dyDescent="0.45">
      <c r="A2356" t="s">
        <v>96</v>
      </c>
      <c r="B2356" s="18">
        <v>243.48</v>
      </c>
      <c r="C2356" s="18">
        <v>268.66000000000003</v>
      </c>
      <c r="D2356" s="18">
        <v>302.89999999999998</v>
      </c>
      <c r="E2356" s="18">
        <v>277.02999999999997</v>
      </c>
      <c r="F2356" s="18">
        <v>265.67</v>
      </c>
      <c r="G2356" s="18">
        <v>260.44040000000001</v>
      </c>
      <c r="H2356" s="18">
        <v>286.75205</v>
      </c>
      <c r="I2356" s="8">
        <v>-9.3724410034988548E-2</v>
      </c>
      <c r="J2356" s="8">
        <v>-0.19617035325189819</v>
      </c>
      <c r="K2356" s="8">
        <v>-0.1211060173988376</v>
      </c>
      <c r="L2356" s="8">
        <v>-8.3524673467083366E-2</v>
      </c>
      <c r="M2356" s="18">
        <v>-0.4945254541528078</v>
      </c>
    </row>
    <row r="2357" spans="1:13" x14ac:dyDescent="0.45">
      <c r="A2357" t="s">
        <v>276</v>
      </c>
      <c r="B2357" s="18">
        <v>49.75</v>
      </c>
      <c r="C2357" s="18">
        <v>50.35</v>
      </c>
      <c r="D2357" s="18">
        <v>51.36</v>
      </c>
      <c r="E2357" s="18">
        <v>56.7</v>
      </c>
      <c r="F2357" s="18">
        <v>73.61</v>
      </c>
      <c r="G2357" s="18">
        <v>49.768799999999999</v>
      </c>
      <c r="H2357" s="18">
        <v>55.231750000000012</v>
      </c>
      <c r="I2357" s="8">
        <v>-1.1916583912611739E-2</v>
      </c>
      <c r="J2357" s="8">
        <v>-3.1347352024922108E-2</v>
      </c>
      <c r="K2357" s="8">
        <v>-0.1225749559082893</v>
      </c>
      <c r="L2357" s="8">
        <v>-0.32414074174704521</v>
      </c>
      <c r="M2357" s="18">
        <v>-0.48997963359286828</v>
      </c>
    </row>
    <row r="2358" spans="1:13" x14ac:dyDescent="0.45">
      <c r="A2358" t="s">
        <v>883</v>
      </c>
      <c r="B2358" s="18">
        <v>11.85</v>
      </c>
      <c r="C2358" s="18">
        <v>11.89</v>
      </c>
      <c r="D2358" s="18">
        <v>13.09</v>
      </c>
      <c r="E2358" s="18">
        <v>13.51</v>
      </c>
      <c r="F2358" s="18">
        <v>11.18</v>
      </c>
      <c r="G2358" s="18">
        <v>12.0556</v>
      </c>
      <c r="H2358" s="18">
        <v>13.098100000000001</v>
      </c>
      <c r="I2358" s="8">
        <v>-3.364171572750263E-3</v>
      </c>
      <c r="J2358" s="8">
        <v>-9.4728800611153519E-2</v>
      </c>
      <c r="K2358" s="8">
        <v>-0.12287194670614369</v>
      </c>
      <c r="L2358" s="8">
        <v>5.9928443649373893E-2</v>
      </c>
      <c r="M2358" s="18">
        <v>-0.16103647524067349</v>
      </c>
    </row>
    <row r="2359" spans="1:13" x14ac:dyDescent="0.45">
      <c r="A2359" t="s">
        <v>188</v>
      </c>
      <c r="B2359" s="18">
        <v>119.59</v>
      </c>
      <c r="C2359" s="18">
        <v>125.68</v>
      </c>
      <c r="D2359" s="18">
        <v>127.84</v>
      </c>
      <c r="E2359" s="18">
        <v>136.4</v>
      </c>
      <c r="F2359" s="18">
        <v>161.57</v>
      </c>
      <c r="G2359" s="18">
        <v>122.5222</v>
      </c>
      <c r="H2359" s="18">
        <v>137.0513</v>
      </c>
      <c r="I2359" s="8">
        <v>-4.8456397199236223E-2</v>
      </c>
      <c r="J2359" s="8">
        <v>-6.4533792240300425E-2</v>
      </c>
      <c r="K2359" s="8">
        <v>-0.1232404692082112</v>
      </c>
      <c r="L2359" s="8">
        <v>-0.25982546264776868</v>
      </c>
      <c r="M2359" s="18">
        <v>-0.49605612129551663</v>
      </c>
    </row>
    <row r="2360" spans="1:13" x14ac:dyDescent="0.45">
      <c r="A2360" t="s">
        <v>221</v>
      </c>
      <c r="B2360" s="18">
        <v>22.6</v>
      </c>
      <c r="C2360" s="18">
        <v>24.14</v>
      </c>
      <c r="D2360" s="18">
        <v>30.23</v>
      </c>
      <c r="E2360" s="18">
        <v>25.81</v>
      </c>
      <c r="F2360" s="18">
        <v>55.34</v>
      </c>
      <c r="G2360" s="18">
        <v>23.427</v>
      </c>
      <c r="H2360" s="18">
        <v>30.801100000000002</v>
      </c>
      <c r="I2360" s="8">
        <v>-6.3794531897265916E-2</v>
      </c>
      <c r="J2360" s="8">
        <v>-0.25239827985444918</v>
      </c>
      <c r="K2360" s="8">
        <v>-0.1243703990701278</v>
      </c>
      <c r="L2360" s="8">
        <v>-0.5916154680159017</v>
      </c>
      <c r="M2360" s="18">
        <v>-1.0321786788377449</v>
      </c>
    </row>
    <row r="2361" spans="1:13" x14ac:dyDescent="0.45">
      <c r="A2361" t="s">
        <v>183</v>
      </c>
      <c r="B2361" s="18">
        <v>88.92</v>
      </c>
      <c r="C2361" s="18">
        <v>94.91</v>
      </c>
      <c r="D2361" s="18">
        <v>99.09</v>
      </c>
      <c r="E2361" s="18">
        <v>101.6</v>
      </c>
      <c r="F2361" s="18">
        <v>101.04</v>
      </c>
      <c r="G2361" s="18">
        <v>91.679400000000001</v>
      </c>
      <c r="H2361" s="18">
        <v>99.5685</v>
      </c>
      <c r="I2361" s="8">
        <v>-6.3112422294805515E-2</v>
      </c>
      <c r="J2361" s="8">
        <v>-0.1026339691189827</v>
      </c>
      <c r="K2361" s="8">
        <v>-0.1248031496062991</v>
      </c>
      <c r="L2361" s="8">
        <v>-0.1199524940617578</v>
      </c>
      <c r="M2361" s="18">
        <v>-0.41050203508184507</v>
      </c>
    </row>
    <row r="2362" spans="1:13" x14ac:dyDescent="0.45">
      <c r="A2362" t="s">
        <v>2405</v>
      </c>
      <c r="B2362" s="18">
        <v>18.04</v>
      </c>
      <c r="C2362" s="18">
        <v>18.829999999999998</v>
      </c>
      <c r="D2362" s="18">
        <v>21.32</v>
      </c>
      <c r="E2362" s="18">
        <v>20.62</v>
      </c>
      <c r="F2362" s="18">
        <v>22.5</v>
      </c>
      <c r="G2362" s="18">
        <v>18.754799999999999</v>
      </c>
      <c r="H2362" s="18">
        <v>21.00085</v>
      </c>
      <c r="I2362" s="8">
        <v>-4.1954328199681368E-2</v>
      </c>
      <c r="J2362" s="8">
        <v>-0.15384615384615391</v>
      </c>
      <c r="K2362" s="8">
        <v>-0.12512124151309409</v>
      </c>
      <c r="L2362" s="8">
        <v>-0.1982222222222223</v>
      </c>
      <c r="M2362" s="18">
        <v>-0.51914394578115164</v>
      </c>
    </row>
    <row r="2363" spans="1:13" x14ac:dyDescent="0.45">
      <c r="A2363" t="s">
        <v>2366</v>
      </c>
      <c r="B2363" s="18">
        <v>14.22</v>
      </c>
      <c r="C2363" s="18">
        <v>13.6</v>
      </c>
      <c r="D2363" s="18">
        <v>15.06</v>
      </c>
      <c r="E2363" s="18">
        <v>16.309999999999999</v>
      </c>
      <c r="F2363" s="18">
        <v>19.07</v>
      </c>
      <c r="G2363" s="18">
        <v>14.185</v>
      </c>
      <c r="H2363" s="18">
        <v>16.430250000000001</v>
      </c>
      <c r="I2363" s="8">
        <v>4.5588235294117707E-2</v>
      </c>
      <c r="J2363" s="8">
        <v>-5.5776892430278828E-2</v>
      </c>
      <c r="K2363" s="8">
        <v>-0.12814224402207219</v>
      </c>
      <c r="L2363" s="8">
        <v>-0.25432616675406389</v>
      </c>
      <c r="M2363" s="18">
        <v>-0.39265706791229732</v>
      </c>
    </row>
    <row r="2364" spans="1:13" x14ac:dyDescent="0.45">
      <c r="A2364" t="s">
        <v>2486</v>
      </c>
      <c r="B2364" s="18">
        <v>40.69</v>
      </c>
      <c r="C2364" s="18">
        <v>41.31</v>
      </c>
      <c r="D2364" s="18">
        <v>39</v>
      </c>
      <c r="E2364" s="18">
        <v>46.76</v>
      </c>
      <c r="F2364" s="18">
        <v>30.21</v>
      </c>
      <c r="G2364" s="18">
        <v>41.057538000000001</v>
      </c>
      <c r="H2364" s="18">
        <v>42.730180500000003</v>
      </c>
      <c r="I2364" s="8">
        <v>-1.500847252481252E-2</v>
      </c>
      <c r="J2364" s="8">
        <v>4.3333333333333217E-2</v>
      </c>
      <c r="K2364" s="8">
        <v>-0.1298118049615056</v>
      </c>
      <c r="L2364" s="8">
        <v>0.34690499834491878</v>
      </c>
      <c r="M2364" s="18">
        <v>0.24541805419193399</v>
      </c>
    </row>
    <row r="2365" spans="1:13" x14ac:dyDescent="0.45">
      <c r="A2365" t="s">
        <v>2106</v>
      </c>
      <c r="B2365" s="18">
        <v>58.29</v>
      </c>
      <c r="C2365" s="18">
        <v>52.62</v>
      </c>
      <c r="D2365" s="18">
        <v>64.64</v>
      </c>
      <c r="E2365" s="18">
        <v>67.069999999999993</v>
      </c>
      <c r="F2365" s="18">
        <v>72.23</v>
      </c>
      <c r="G2365" s="18">
        <v>56.499600000000001</v>
      </c>
      <c r="H2365" s="18">
        <v>65.009349999999998</v>
      </c>
      <c r="I2365" s="8">
        <v>0.10775370581527929</v>
      </c>
      <c r="J2365" s="8">
        <v>-9.8236386138613851E-2</v>
      </c>
      <c r="K2365" s="8">
        <v>-0.1309080065603101</v>
      </c>
      <c r="L2365" s="8">
        <v>-0.19299460058147591</v>
      </c>
      <c r="M2365" s="18">
        <v>-0.31438528746512051</v>
      </c>
    </row>
    <row r="2366" spans="1:13" x14ac:dyDescent="0.45">
      <c r="A2366" t="s">
        <v>895</v>
      </c>
      <c r="B2366" s="18">
        <v>13.92</v>
      </c>
      <c r="C2366" s="18">
        <v>15.75</v>
      </c>
      <c r="D2366" s="18">
        <v>16.940000000000001</v>
      </c>
      <c r="E2366" s="18">
        <v>16.07</v>
      </c>
      <c r="F2366" s="18">
        <v>16.95</v>
      </c>
      <c r="G2366" s="18">
        <v>15.118</v>
      </c>
      <c r="H2366" s="18">
        <v>17.024349999999998</v>
      </c>
      <c r="I2366" s="8">
        <v>-0.11619047619047621</v>
      </c>
      <c r="J2366" s="8">
        <v>-0.17827626918536019</v>
      </c>
      <c r="K2366" s="8">
        <v>-0.13378967019290611</v>
      </c>
      <c r="L2366" s="8">
        <v>-0.17876106194690269</v>
      </c>
      <c r="M2366" s="18">
        <v>-0.60701747751564517</v>
      </c>
    </row>
    <row r="2367" spans="1:13" x14ac:dyDescent="0.45">
      <c r="A2367" t="s">
        <v>898</v>
      </c>
      <c r="B2367" s="18">
        <v>101.7</v>
      </c>
      <c r="C2367" s="18">
        <v>113.97</v>
      </c>
      <c r="D2367" s="18">
        <v>134.72</v>
      </c>
      <c r="E2367" s="18">
        <v>117.49</v>
      </c>
      <c r="F2367" s="18">
        <v>132.16</v>
      </c>
      <c r="G2367" s="18">
        <v>115.8436</v>
      </c>
      <c r="H2367" s="18">
        <v>129.77250000000001</v>
      </c>
      <c r="I2367" s="8">
        <v>-0.1076599105027638</v>
      </c>
      <c r="J2367" s="8">
        <v>-0.2451009501187649</v>
      </c>
      <c r="K2367" s="8">
        <v>-0.134394416546089</v>
      </c>
      <c r="L2367" s="8">
        <v>-0.2304782082324455</v>
      </c>
      <c r="M2367" s="18">
        <v>-0.71763348540006311</v>
      </c>
    </row>
    <row r="2368" spans="1:13" x14ac:dyDescent="0.45">
      <c r="A2368" t="s">
        <v>2386</v>
      </c>
      <c r="B2368" s="18">
        <v>14.16</v>
      </c>
      <c r="C2368" s="18">
        <v>15.14</v>
      </c>
      <c r="D2368" s="18">
        <v>17.09</v>
      </c>
      <c r="E2368" s="18">
        <v>16.36</v>
      </c>
      <c r="F2368" s="18">
        <v>19.010000000000002</v>
      </c>
      <c r="G2368" s="18">
        <v>15.4292</v>
      </c>
      <c r="H2368" s="18">
        <v>17.0746</v>
      </c>
      <c r="I2368" s="8">
        <v>-6.4729194187582606E-2</v>
      </c>
      <c r="J2368" s="8">
        <v>-0.17144528964306621</v>
      </c>
      <c r="K2368" s="8">
        <v>-0.13447432762836189</v>
      </c>
      <c r="L2368" s="8">
        <v>-0.25512887953708591</v>
      </c>
      <c r="M2368" s="18">
        <v>-0.62577769099609648</v>
      </c>
    </row>
    <row r="2369" spans="1:13" x14ac:dyDescent="0.45">
      <c r="A2369" t="s">
        <v>1847</v>
      </c>
      <c r="B2369" s="18">
        <v>3.52</v>
      </c>
      <c r="C2369" s="18">
        <v>3.71</v>
      </c>
      <c r="D2369" s="18">
        <v>4.58</v>
      </c>
      <c r="E2369" s="18">
        <v>4.08</v>
      </c>
      <c r="F2369" s="18">
        <v>6.14</v>
      </c>
      <c r="G2369" s="18">
        <v>3.9798</v>
      </c>
      <c r="H2369" s="18">
        <v>4.3845499999999999</v>
      </c>
      <c r="I2369" s="8">
        <v>-5.121293800539084E-2</v>
      </c>
      <c r="J2369" s="8">
        <v>-0.23144104803493451</v>
      </c>
      <c r="K2369" s="8">
        <v>-0.1372549019607843</v>
      </c>
      <c r="L2369" s="8">
        <v>-0.42671009771986967</v>
      </c>
      <c r="M2369" s="18">
        <v>-0.84661898572097927</v>
      </c>
    </row>
    <row r="2370" spans="1:13" x14ac:dyDescent="0.45">
      <c r="A2370" t="s">
        <v>2399</v>
      </c>
      <c r="B2370" s="18">
        <v>48.04</v>
      </c>
      <c r="C2370" s="18">
        <v>44.99</v>
      </c>
      <c r="D2370" s="18">
        <v>51.84</v>
      </c>
      <c r="E2370" s="18">
        <v>55.69</v>
      </c>
      <c r="F2370" s="18">
        <v>59.43</v>
      </c>
      <c r="G2370" s="18">
        <v>47.454999999999998</v>
      </c>
      <c r="H2370" s="18">
        <v>52.886749999999999</v>
      </c>
      <c r="I2370" s="8">
        <v>6.7792842853967583E-2</v>
      </c>
      <c r="J2370" s="8">
        <v>-7.3302469135802517E-2</v>
      </c>
      <c r="K2370" s="8">
        <v>-0.1373675704794397</v>
      </c>
      <c r="L2370" s="8">
        <v>-0.19165404677772169</v>
      </c>
      <c r="M2370" s="18">
        <v>-0.33453124353899633</v>
      </c>
    </row>
    <row r="2371" spans="1:13" x14ac:dyDescent="0.45">
      <c r="A2371" t="s">
        <v>242</v>
      </c>
      <c r="B2371" s="18">
        <v>327.7</v>
      </c>
      <c r="C2371" s="18">
        <v>331.55</v>
      </c>
      <c r="D2371" s="18">
        <v>351.4</v>
      </c>
      <c r="E2371" s="18">
        <v>380.51</v>
      </c>
      <c r="F2371" s="18">
        <v>542.86</v>
      </c>
      <c r="G2371" s="18">
        <v>339.74050000000011</v>
      </c>
      <c r="H2371" s="18">
        <v>374.13577500000002</v>
      </c>
      <c r="I2371" s="8">
        <v>-1.1612124868044081E-2</v>
      </c>
      <c r="J2371" s="8">
        <v>-6.744450768355148E-2</v>
      </c>
      <c r="K2371" s="8">
        <v>-0.138787416887861</v>
      </c>
      <c r="L2371" s="8">
        <v>-0.39634528239325062</v>
      </c>
      <c r="M2371" s="18">
        <v>-0.61418933183270719</v>
      </c>
    </row>
    <row r="2372" spans="1:13" x14ac:dyDescent="0.45">
      <c r="A2372" t="s">
        <v>891</v>
      </c>
      <c r="B2372" s="18">
        <v>7.93</v>
      </c>
      <c r="C2372" s="18">
        <v>8.56</v>
      </c>
      <c r="D2372" s="18">
        <v>11.45</v>
      </c>
      <c r="E2372" s="18">
        <v>9.23</v>
      </c>
      <c r="F2372" s="18">
        <v>9.94</v>
      </c>
      <c r="G2372" s="18">
        <v>10.0388</v>
      </c>
      <c r="H2372" s="18">
        <v>11.861649999999999</v>
      </c>
      <c r="I2372" s="8">
        <v>-7.3598130841121545E-2</v>
      </c>
      <c r="J2372" s="8">
        <v>-0.30742358078602622</v>
      </c>
      <c r="K2372" s="8">
        <v>-0.14084507042253519</v>
      </c>
      <c r="L2372" s="8">
        <v>-0.20221327967806829</v>
      </c>
      <c r="M2372" s="18">
        <v>-0.7240800617277513</v>
      </c>
    </row>
    <row r="2373" spans="1:13" x14ac:dyDescent="0.45">
      <c r="A2373" t="s">
        <v>1602</v>
      </c>
      <c r="B2373" s="18">
        <v>7.79</v>
      </c>
      <c r="C2373" s="18">
        <v>7.97</v>
      </c>
      <c r="D2373" s="18">
        <v>10.68</v>
      </c>
      <c r="E2373" s="18">
        <v>9.07</v>
      </c>
      <c r="F2373" s="18">
        <v>8.17</v>
      </c>
      <c r="G2373" s="18">
        <v>9.2295999999999996</v>
      </c>
      <c r="H2373" s="18">
        <v>10.902799999999999</v>
      </c>
      <c r="I2373" s="8">
        <v>-2.2584692597239608E-2</v>
      </c>
      <c r="J2373" s="8">
        <v>-0.27059925093632953</v>
      </c>
      <c r="K2373" s="8">
        <v>-0.1411245865490629</v>
      </c>
      <c r="L2373" s="8">
        <v>-4.6511627906976723E-2</v>
      </c>
      <c r="M2373" s="18">
        <v>-0.48082015798960881</v>
      </c>
    </row>
    <row r="2374" spans="1:13" x14ac:dyDescent="0.45">
      <c r="A2374" t="s">
        <v>226</v>
      </c>
      <c r="B2374" s="18">
        <v>62.34</v>
      </c>
      <c r="C2374" s="18">
        <v>67.599999999999994</v>
      </c>
      <c r="D2374" s="18">
        <v>81.56</v>
      </c>
      <c r="E2374" s="18">
        <v>72.7</v>
      </c>
      <c r="F2374" s="18">
        <v>109</v>
      </c>
      <c r="G2374" s="18">
        <v>65.467799999999997</v>
      </c>
      <c r="H2374" s="18">
        <v>80.566499999999991</v>
      </c>
      <c r="I2374" s="8">
        <v>-7.7810650887573884E-2</v>
      </c>
      <c r="J2374" s="8">
        <v>-0.23565473271211379</v>
      </c>
      <c r="K2374" s="8">
        <v>-0.14250343878954611</v>
      </c>
      <c r="L2374" s="8">
        <v>-0.42807339449541282</v>
      </c>
      <c r="M2374" s="18">
        <v>-0.88404221688464657</v>
      </c>
    </row>
    <row r="2375" spans="1:13" x14ac:dyDescent="0.45">
      <c r="A2375" t="s">
        <v>1330</v>
      </c>
      <c r="B2375" s="18">
        <v>30.73</v>
      </c>
      <c r="C2375" s="18">
        <v>37.75</v>
      </c>
      <c r="D2375" s="18">
        <v>35.799999999999997</v>
      </c>
      <c r="E2375" s="18">
        <v>35.85</v>
      </c>
      <c r="F2375" s="18">
        <v>47.2</v>
      </c>
      <c r="G2375" s="18">
        <v>35.185400000000001</v>
      </c>
      <c r="H2375" s="18">
        <v>37.092350000000003</v>
      </c>
      <c r="I2375" s="8">
        <v>-0.1859602649006622</v>
      </c>
      <c r="J2375" s="8">
        <v>-0.1416201117318435</v>
      </c>
      <c r="K2375" s="8">
        <v>-0.1428172942817294</v>
      </c>
      <c r="L2375" s="8">
        <v>-0.34894067796610168</v>
      </c>
      <c r="M2375" s="18">
        <v>-0.81933834888033685</v>
      </c>
    </row>
    <row r="2376" spans="1:13" x14ac:dyDescent="0.45">
      <c r="A2376" t="s">
        <v>1222</v>
      </c>
      <c r="B2376" s="18">
        <v>30</v>
      </c>
      <c r="C2376" s="18">
        <v>34.799999999999997</v>
      </c>
      <c r="D2376" s="18">
        <v>30.92</v>
      </c>
      <c r="E2376" s="18">
        <v>35</v>
      </c>
      <c r="F2376" s="18">
        <v>43.28</v>
      </c>
      <c r="G2376" s="18">
        <v>33.375</v>
      </c>
      <c r="H2376" s="18">
        <v>36.046700000000001</v>
      </c>
      <c r="I2376" s="8">
        <v>-0.13793103448275859</v>
      </c>
      <c r="J2376" s="8">
        <v>-2.975420439844767E-2</v>
      </c>
      <c r="K2376" s="8">
        <v>-0.1428571428571429</v>
      </c>
      <c r="L2376" s="8">
        <v>-0.30683918669131238</v>
      </c>
      <c r="M2376" s="18">
        <v>-0.61738156842966152</v>
      </c>
    </row>
    <row r="2377" spans="1:13" x14ac:dyDescent="0.45">
      <c r="A2377" t="s">
        <v>2499</v>
      </c>
      <c r="B2377" s="18">
        <v>396.42</v>
      </c>
      <c r="C2377" s="18">
        <v>401.79</v>
      </c>
      <c r="D2377" s="18">
        <v>476.29</v>
      </c>
      <c r="E2377" s="18">
        <v>463.18</v>
      </c>
      <c r="F2377" s="18">
        <v>480.69</v>
      </c>
      <c r="G2377" s="18">
        <v>407.52800000000002</v>
      </c>
      <c r="H2377" s="18">
        <v>459.99615</v>
      </c>
      <c r="I2377" s="8">
        <v>-1.33651907712985E-2</v>
      </c>
      <c r="J2377" s="8">
        <v>-0.1676919523819522</v>
      </c>
      <c r="K2377" s="8">
        <v>-0.14413402996675159</v>
      </c>
      <c r="L2377" s="8">
        <v>-0.17531049116894459</v>
      </c>
      <c r="M2377" s="18">
        <v>-0.50050166428894693</v>
      </c>
    </row>
    <row r="2378" spans="1:13" x14ac:dyDescent="0.45">
      <c r="A2378" t="s">
        <v>594</v>
      </c>
      <c r="B2378" s="18">
        <v>2.17</v>
      </c>
      <c r="C2378" s="18">
        <v>2.16</v>
      </c>
      <c r="D2378" s="18">
        <v>2.99</v>
      </c>
      <c r="E2378" s="18">
        <v>2.54</v>
      </c>
      <c r="F2378" s="18">
        <v>17.625</v>
      </c>
      <c r="G2378" s="18">
        <v>2.277682</v>
      </c>
      <c r="H2378" s="18">
        <v>3.3409705000000001</v>
      </c>
      <c r="I2378" s="8">
        <v>4.6296296296295392E-3</v>
      </c>
      <c r="J2378" s="8">
        <v>-0.27424749163879603</v>
      </c>
      <c r="K2378" s="8">
        <v>-0.14566929133858281</v>
      </c>
      <c r="L2378" s="8">
        <v>-0.8768794326241135</v>
      </c>
      <c r="M2378" s="18">
        <v>-1.292166585971863</v>
      </c>
    </row>
    <row r="2379" spans="1:13" x14ac:dyDescent="0.45">
      <c r="A2379" t="s">
        <v>157</v>
      </c>
      <c r="B2379" s="18">
        <v>95.96</v>
      </c>
      <c r="C2379" s="18">
        <v>93.47</v>
      </c>
      <c r="D2379" s="18">
        <v>107.81</v>
      </c>
      <c r="E2379" s="18">
        <v>112.41</v>
      </c>
      <c r="F2379" s="18">
        <v>105.65</v>
      </c>
      <c r="G2379" s="18">
        <v>94.088200000000015</v>
      </c>
      <c r="H2379" s="18">
        <v>106.49195</v>
      </c>
      <c r="I2379" s="8">
        <v>2.663956349630903E-2</v>
      </c>
      <c r="J2379" s="8">
        <v>-0.10991559224561739</v>
      </c>
      <c r="K2379" s="8">
        <v>-0.1463392936571479</v>
      </c>
      <c r="L2379" s="8">
        <v>-9.171793658305738E-2</v>
      </c>
      <c r="M2379" s="18">
        <v>-0.3213332589895137</v>
      </c>
    </row>
    <row r="2380" spans="1:13" x14ac:dyDescent="0.45">
      <c r="A2380" t="s">
        <v>25</v>
      </c>
      <c r="B2380" s="18">
        <v>274.37</v>
      </c>
      <c r="C2380" s="18">
        <v>263.35000000000002</v>
      </c>
      <c r="D2380" s="18">
        <v>401.58</v>
      </c>
      <c r="E2380" s="18">
        <v>321.68</v>
      </c>
      <c r="F2380" s="18">
        <v>326.32</v>
      </c>
      <c r="G2380" s="18">
        <v>267.084</v>
      </c>
      <c r="H2380" s="18">
        <v>344.92252500000001</v>
      </c>
      <c r="I2380" s="8">
        <v>4.1845452819441631E-2</v>
      </c>
      <c r="J2380" s="8">
        <v>-0.31677374371233619</v>
      </c>
      <c r="K2380" s="8">
        <v>-0.14707162397413581</v>
      </c>
      <c r="L2380" s="8">
        <v>-0.15919955871537139</v>
      </c>
      <c r="M2380" s="18">
        <v>-0.58119947358240176</v>
      </c>
    </row>
    <row r="2381" spans="1:13" x14ac:dyDescent="0.45">
      <c r="A2381" t="s">
        <v>462</v>
      </c>
      <c r="B2381" s="18">
        <v>952.92</v>
      </c>
      <c r="C2381" s="18">
        <v>900.12</v>
      </c>
      <c r="D2381" s="18">
        <v>1051.03</v>
      </c>
      <c r="E2381" s="18">
        <v>1117.49</v>
      </c>
      <c r="F2381" s="18">
        <v>981.37</v>
      </c>
      <c r="G2381" s="18">
        <v>920.38639999999998</v>
      </c>
      <c r="H2381" s="18">
        <v>1157.84555</v>
      </c>
      <c r="I2381" s="8">
        <v>5.8658845487268303E-2</v>
      </c>
      <c r="J2381" s="8">
        <v>-9.3346526740435642E-2</v>
      </c>
      <c r="K2381" s="8">
        <v>-0.14726753706968301</v>
      </c>
      <c r="L2381" s="8">
        <v>-2.899008528893288E-2</v>
      </c>
      <c r="M2381" s="18">
        <v>-0.21094530361178321</v>
      </c>
    </row>
    <row r="2382" spans="1:13" x14ac:dyDescent="0.45">
      <c r="A2382" t="s">
        <v>1373</v>
      </c>
      <c r="B2382" s="18">
        <v>14.46</v>
      </c>
      <c r="C2382" s="18">
        <v>14.7</v>
      </c>
      <c r="D2382" s="18">
        <v>19.97</v>
      </c>
      <c r="E2382" s="18">
        <v>17</v>
      </c>
      <c r="F2382" s="18">
        <v>30.32</v>
      </c>
      <c r="G2382" s="18">
        <v>14.375400000000001</v>
      </c>
      <c r="H2382" s="18">
        <v>16.996649999999999</v>
      </c>
      <c r="I2382" s="8">
        <v>-1.6326530612244761E-2</v>
      </c>
      <c r="J2382" s="8">
        <v>-0.27591387080620922</v>
      </c>
      <c r="K2382" s="8">
        <v>-0.14941176470588241</v>
      </c>
      <c r="L2382" s="8">
        <v>-0.52308707124010545</v>
      </c>
      <c r="M2382" s="18">
        <v>-0.96473923736444178</v>
      </c>
    </row>
    <row r="2383" spans="1:13" x14ac:dyDescent="0.45">
      <c r="A2383" t="s">
        <v>654</v>
      </c>
      <c r="B2383" s="18">
        <v>48.34</v>
      </c>
      <c r="C2383" s="18">
        <v>52.37</v>
      </c>
      <c r="D2383" s="18">
        <v>50.52</v>
      </c>
      <c r="E2383" s="18">
        <v>56.85</v>
      </c>
      <c r="F2383" s="18">
        <v>94.26</v>
      </c>
      <c r="G2383" s="18">
        <v>50.783000000000001</v>
      </c>
      <c r="H2383" s="18">
        <v>61.161949999999997</v>
      </c>
      <c r="I2383" s="8">
        <v>-7.6952453694863365E-2</v>
      </c>
      <c r="J2383" s="8">
        <v>-4.3151227236737921E-2</v>
      </c>
      <c r="K2383" s="8">
        <v>-0.14969217238346519</v>
      </c>
      <c r="L2383" s="8">
        <v>-0.4871631657118608</v>
      </c>
      <c r="M2383" s="18">
        <v>-0.7569590190269273</v>
      </c>
    </row>
    <row r="2384" spans="1:13" x14ac:dyDescent="0.45">
      <c r="A2384" t="s">
        <v>716</v>
      </c>
      <c r="B2384" s="18">
        <v>76.42</v>
      </c>
      <c r="C2384" s="18">
        <v>85.29</v>
      </c>
      <c r="D2384" s="18">
        <v>93.26</v>
      </c>
      <c r="E2384" s="18">
        <v>89.93</v>
      </c>
      <c r="F2384" s="18">
        <v>138.9</v>
      </c>
      <c r="G2384" s="18">
        <v>83.272000000000006</v>
      </c>
      <c r="H2384" s="18">
        <v>96.636500000000012</v>
      </c>
      <c r="I2384" s="8">
        <v>-0.1039981240473679</v>
      </c>
      <c r="J2384" s="8">
        <v>-0.18057044820930729</v>
      </c>
      <c r="K2384" s="8">
        <v>-0.1502279550761704</v>
      </c>
      <c r="L2384" s="8">
        <v>-0.44982001439884811</v>
      </c>
      <c r="M2384" s="18">
        <v>-0.88461654173169368</v>
      </c>
    </row>
    <row r="2385" spans="1:13" x14ac:dyDescent="0.45">
      <c r="A2385" t="s">
        <v>519</v>
      </c>
      <c r="B2385" s="18">
        <v>9.49</v>
      </c>
      <c r="C2385" s="18">
        <v>11.41</v>
      </c>
      <c r="D2385" s="18">
        <v>11.3</v>
      </c>
      <c r="E2385" s="18">
        <v>11.17</v>
      </c>
      <c r="F2385" s="18">
        <v>10.815</v>
      </c>
      <c r="G2385" s="18">
        <v>11.305400000000001</v>
      </c>
      <c r="H2385" s="18">
        <v>11.192475</v>
      </c>
      <c r="I2385" s="8">
        <v>-0.1682734443470639</v>
      </c>
      <c r="J2385" s="8">
        <v>-0.16017699115044251</v>
      </c>
      <c r="K2385" s="8">
        <v>-0.15040286481647269</v>
      </c>
      <c r="L2385" s="8">
        <v>-0.1225150254276467</v>
      </c>
      <c r="M2385" s="18">
        <v>-0.6013683257416258</v>
      </c>
    </row>
    <row r="2386" spans="1:13" x14ac:dyDescent="0.45">
      <c r="A2386" t="s">
        <v>1901</v>
      </c>
      <c r="B2386" s="18">
        <v>39.119999999999997</v>
      </c>
      <c r="C2386" s="18">
        <v>40.75</v>
      </c>
      <c r="D2386" s="18">
        <v>49.02</v>
      </c>
      <c r="E2386" s="18">
        <v>46.05</v>
      </c>
      <c r="F2386" s="18">
        <v>76.72</v>
      </c>
      <c r="G2386" s="18">
        <v>42.621600000000001</v>
      </c>
      <c r="H2386" s="18">
        <v>55.390349999999998</v>
      </c>
      <c r="I2386" s="8">
        <v>-4.0000000000000042E-2</v>
      </c>
      <c r="J2386" s="8">
        <v>-0.20195838433292551</v>
      </c>
      <c r="K2386" s="8">
        <v>-0.1504885993485342</v>
      </c>
      <c r="L2386" s="8">
        <v>-0.4900938477580814</v>
      </c>
      <c r="M2386" s="18">
        <v>-0.8825408314395411</v>
      </c>
    </row>
    <row r="2387" spans="1:13" x14ac:dyDescent="0.45">
      <c r="A2387" t="s">
        <v>531</v>
      </c>
      <c r="B2387" s="18">
        <v>30.92</v>
      </c>
      <c r="C2387" s="18">
        <v>36.25</v>
      </c>
      <c r="D2387" s="18">
        <v>37.869999999999997</v>
      </c>
      <c r="E2387" s="18">
        <v>36.450000000000003</v>
      </c>
      <c r="F2387" s="18">
        <v>33.33</v>
      </c>
      <c r="G2387" s="18">
        <v>36.192999999999998</v>
      </c>
      <c r="H2387" s="18">
        <v>36.259254499999997</v>
      </c>
      <c r="I2387" s="8">
        <v>-0.1470344827586206</v>
      </c>
      <c r="J2387" s="8">
        <v>-0.18352257723791909</v>
      </c>
      <c r="K2387" s="8">
        <v>-0.15171467764060351</v>
      </c>
      <c r="L2387" s="8">
        <v>-7.2307230723072213E-2</v>
      </c>
      <c r="M2387" s="18">
        <v>-0.55457896836021547</v>
      </c>
    </row>
    <row r="2388" spans="1:13" x14ac:dyDescent="0.45">
      <c r="A2388" t="s">
        <v>1193</v>
      </c>
      <c r="B2388" s="18">
        <v>8.0500000000000007</v>
      </c>
      <c r="C2388" s="18">
        <v>9.99</v>
      </c>
      <c r="D2388" s="18">
        <v>11.23</v>
      </c>
      <c r="E2388" s="18">
        <v>9.5500000000000007</v>
      </c>
      <c r="F2388" s="18">
        <v>26.34</v>
      </c>
      <c r="G2388" s="18">
        <v>9.0858000000000008</v>
      </c>
      <c r="H2388" s="18">
        <v>9.6749500000000008</v>
      </c>
      <c r="I2388" s="8">
        <v>-0.19419419419419409</v>
      </c>
      <c r="J2388" s="8">
        <v>-0.28317008014247552</v>
      </c>
      <c r="K2388" s="8">
        <v>-0.1570680628272251</v>
      </c>
      <c r="L2388" s="8">
        <v>-0.69438116932422167</v>
      </c>
      <c r="M2388" s="18">
        <v>-1.3288135064881159</v>
      </c>
    </row>
    <row r="2389" spans="1:13" x14ac:dyDescent="0.45">
      <c r="A2389" t="s">
        <v>232</v>
      </c>
      <c r="B2389" s="18">
        <v>362.34</v>
      </c>
      <c r="C2389" s="18">
        <v>315.08999999999997</v>
      </c>
      <c r="D2389" s="18">
        <v>345.86</v>
      </c>
      <c r="E2389" s="18">
        <v>430.9</v>
      </c>
      <c r="F2389" s="18">
        <v>492.07</v>
      </c>
      <c r="G2389" s="18">
        <v>311.51780000000002</v>
      </c>
      <c r="H2389" s="18">
        <v>369.90469999999988</v>
      </c>
      <c r="I2389" s="8">
        <v>0.14995715509854321</v>
      </c>
      <c r="J2389" s="8">
        <v>4.7649337882380127E-2</v>
      </c>
      <c r="K2389" s="8">
        <v>-0.1591088419586911</v>
      </c>
      <c r="L2389" s="8">
        <v>-0.26364135184018528</v>
      </c>
      <c r="M2389" s="18">
        <v>-0.2251437008179531</v>
      </c>
    </row>
    <row r="2390" spans="1:13" x14ac:dyDescent="0.45">
      <c r="A2390" t="s">
        <v>155</v>
      </c>
      <c r="B2390" s="18">
        <v>44.54</v>
      </c>
      <c r="C2390" s="18">
        <v>47.23</v>
      </c>
      <c r="D2390" s="18">
        <v>48.52</v>
      </c>
      <c r="E2390" s="18">
        <v>53.07</v>
      </c>
      <c r="F2390" s="18">
        <v>53.96</v>
      </c>
      <c r="G2390" s="18">
        <v>46.229599999999998</v>
      </c>
      <c r="H2390" s="18">
        <v>51.299849999999999</v>
      </c>
      <c r="I2390" s="8">
        <v>-5.6955325005293211E-2</v>
      </c>
      <c r="J2390" s="8">
        <v>-8.2028029678483216E-2</v>
      </c>
      <c r="K2390" s="8">
        <v>-0.16073110985490871</v>
      </c>
      <c r="L2390" s="8">
        <v>-0.1745737583395108</v>
      </c>
      <c r="M2390" s="18">
        <v>-0.47428822287819589</v>
      </c>
    </row>
    <row r="2391" spans="1:13" x14ac:dyDescent="0.45">
      <c r="A2391" t="s">
        <v>197</v>
      </c>
      <c r="B2391" s="18">
        <v>142.76</v>
      </c>
      <c r="C2391" s="18">
        <v>145.97999999999999</v>
      </c>
      <c r="D2391" s="18">
        <v>172.12</v>
      </c>
      <c r="E2391" s="18">
        <v>170.96</v>
      </c>
      <c r="F2391" s="18">
        <v>246.67</v>
      </c>
      <c r="G2391" s="18">
        <v>151.93559999999999</v>
      </c>
      <c r="H2391" s="18">
        <v>174.1909</v>
      </c>
      <c r="I2391" s="8">
        <v>-2.205781613919711E-2</v>
      </c>
      <c r="J2391" s="8">
        <v>-0.17057866604694399</v>
      </c>
      <c r="K2391" s="8">
        <v>-0.16495086569957901</v>
      </c>
      <c r="L2391" s="8">
        <v>-0.42125106417480851</v>
      </c>
      <c r="M2391" s="18">
        <v>-0.77883841206052862</v>
      </c>
    </row>
    <row r="2392" spans="1:13" x14ac:dyDescent="0.45">
      <c r="A2392" t="s">
        <v>926</v>
      </c>
      <c r="B2392" s="18">
        <v>19.899999999999999</v>
      </c>
      <c r="C2392" s="18">
        <v>21.32</v>
      </c>
      <c r="D2392" s="18">
        <v>30.02</v>
      </c>
      <c r="E2392" s="18">
        <v>23.84</v>
      </c>
      <c r="F2392" s="18">
        <v>26.35</v>
      </c>
      <c r="G2392" s="18">
        <v>21.563600000000001</v>
      </c>
      <c r="H2392" s="18">
        <v>26.2685</v>
      </c>
      <c r="I2392" s="8">
        <v>-6.6604127579737438E-2</v>
      </c>
      <c r="J2392" s="8">
        <v>-0.33710859427048628</v>
      </c>
      <c r="K2392" s="8">
        <v>-0.16526845637583901</v>
      </c>
      <c r="L2392" s="8">
        <v>-0.2447817836812145</v>
      </c>
      <c r="M2392" s="18">
        <v>-0.81376296190727726</v>
      </c>
    </row>
    <row r="2393" spans="1:13" x14ac:dyDescent="0.45">
      <c r="A2393" t="s">
        <v>281</v>
      </c>
      <c r="B2393" s="18">
        <v>135.30000000000001</v>
      </c>
      <c r="C2393" s="18">
        <v>148.88</v>
      </c>
      <c r="D2393" s="18">
        <v>170.77</v>
      </c>
      <c r="E2393" s="18">
        <v>162.11000000000001</v>
      </c>
      <c r="F2393" s="18">
        <v>156.33000000000001</v>
      </c>
      <c r="G2393" s="18">
        <v>144.96039999999999</v>
      </c>
      <c r="H2393" s="18">
        <v>174.38120000000001</v>
      </c>
      <c r="I2393" s="8">
        <v>-9.1214400859752742E-2</v>
      </c>
      <c r="J2393" s="8">
        <v>-0.20770627159337121</v>
      </c>
      <c r="K2393" s="8">
        <v>-0.16538153105915729</v>
      </c>
      <c r="L2393" s="8">
        <v>-0.13452312416042991</v>
      </c>
      <c r="M2393" s="18">
        <v>-0.59882532767271113</v>
      </c>
    </row>
    <row r="2394" spans="1:13" x14ac:dyDescent="0.45">
      <c r="A2394" t="s">
        <v>348</v>
      </c>
      <c r="B2394" s="18">
        <v>172.13</v>
      </c>
      <c r="C2394" s="18">
        <v>188.17</v>
      </c>
      <c r="D2394" s="18">
        <v>218.97</v>
      </c>
      <c r="E2394" s="18">
        <v>206.27</v>
      </c>
      <c r="F2394" s="18">
        <v>273.64999999999998</v>
      </c>
      <c r="G2394" s="18">
        <v>184.99379999999999</v>
      </c>
      <c r="H2394" s="18">
        <v>207.98637500000001</v>
      </c>
      <c r="I2394" s="8">
        <v>-8.524206834245629E-2</v>
      </c>
      <c r="J2394" s="8">
        <v>-0.213910581358177</v>
      </c>
      <c r="K2394" s="8">
        <v>-0.16551122315411851</v>
      </c>
      <c r="L2394" s="8">
        <v>-0.37098483464279192</v>
      </c>
      <c r="M2394" s="18">
        <v>-0.83564870749754361</v>
      </c>
    </row>
    <row r="2395" spans="1:13" x14ac:dyDescent="0.45">
      <c r="A2395" t="s">
        <v>1546</v>
      </c>
      <c r="B2395" s="18">
        <v>68.44</v>
      </c>
      <c r="C2395" s="18">
        <v>78.88</v>
      </c>
      <c r="D2395" s="18">
        <v>80.77</v>
      </c>
      <c r="E2395" s="18">
        <v>82.02</v>
      </c>
      <c r="F2395" s="18">
        <v>88.96</v>
      </c>
      <c r="G2395" s="18">
        <v>80.926400000000001</v>
      </c>
      <c r="H2395" s="18">
        <v>89.837500000000006</v>
      </c>
      <c r="I2395" s="8">
        <v>-0.13235294117647059</v>
      </c>
      <c r="J2395" s="8">
        <v>-0.1526556889934382</v>
      </c>
      <c r="K2395" s="8">
        <v>-0.1655693733235796</v>
      </c>
      <c r="L2395" s="8">
        <v>-0.23066546762589921</v>
      </c>
      <c r="M2395" s="18">
        <v>-0.68124347111938754</v>
      </c>
    </row>
    <row r="2396" spans="1:13" x14ac:dyDescent="0.45">
      <c r="A2396" t="s">
        <v>536</v>
      </c>
      <c r="B2396" s="18">
        <v>17.350000000000001</v>
      </c>
      <c r="C2396" s="18">
        <v>18.73</v>
      </c>
      <c r="D2396" s="18">
        <v>22.28</v>
      </c>
      <c r="E2396" s="18">
        <v>20.94</v>
      </c>
      <c r="F2396" s="18">
        <v>18.579999999999998</v>
      </c>
      <c r="G2396" s="18">
        <v>18.7102</v>
      </c>
      <c r="H2396" s="18">
        <v>20.511399999999998</v>
      </c>
      <c r="I2396" s="8">
        <v>-7.3678590496529583E-2</v>
      </c>
      <c r="J2396" s="8">
        <v>-0.22127468581687609</v>
      </c>
      <c r="K2396" s="8">
        <v>-0.1714422158548233</v>
      </c>
      <c r="L2396" s="8">
        <v>-6.6200215285252773E-2</v>
      </c>
      <c r="M2396" s="18">
        <v>-0.53259570745348184</v>
      </c>
    </row>
    <row r="2397" spans="1:13" x14ac:dyDescent="0.45">
      <c r="A2397" t="s">
        <v>165</v>
      </c>
      <c r="B2397" s="18">
        <v>30.49</v>
      </c>
      <c r="C2397" s="18">
        <v>33.74</v>
      </c>
      <c r="D2397" s="18">
        <v>30.49</v>
      </c>
      <c r="E2397" s="18">
        <v>36.82</v>
      </c>
      <c r="F2397" s="18">
        <v>47.35</v>
      </c>
      <c r="G2397" s="18">
        <v>32.529800000000002</v>
      </c>
      <c r="H2397" s="18">
        <v>35.615124999999999</v>
      </c>
      <c r="I2397" s="8">
        <v>-9.6324836988737506E-2</v>
      </c>
      <c r="J2397" s="8">
        <v>0</v>
      </c>
      <c r="K2397" s="8">
        <v>-0.17191743617599131</v>
      </c>
      <c r="L2397" s="8">
        <v>-0.35607180570221758</v>
      </c>
      <c r="M2397" s="18">
        <v>-0.62431407886694645</v>
      </c>
    </row>
    <row r="2398" spans="1:13" x14ac:dyDescent="0.45">
      <c r="A2398" t="s">
        <v>876</v>
      </c>
      <c r="B2398" s="18">
        <v>5.4</v>
      </c>
      <c r="C2398" s="18">
        <v>5.58</v>
      </c>
      <c r="D2398" s="18">
        <v>6.5</v>
      </c>
      <c r="E2398" s="18">
        <v>6.55</v>
      </c>
      <c r="F2398" s="18">
        <v>8.2899999999999991</v>
      </c>
      <c r="G2398" s="18">
        <v>5.6527599999999998</v>
      </c>
      <c r="H2398" s="18">
        <v>6.6971135000000004</v>
      </c>
      <c r="I2398" s="8">
        <v>-3.2258064516128997E-2</v>
      </c>
      <c r="J2398" s="8">
        <v>-0.16923076923076921</v>
      </c>
      <c r="K2398" s="8">
        <v>-0.1755725190839694</v>
      </c>
      <c r="L2398" s="8">
        <v>-0.34861278648974658</v>
      </c>
      <c r="M2398" s="18">
        <v>-0.7256741393206142</v>
      </c>
    </row>
    <row r="2399" spans="1:13" x14ac:dyDescent="0.45">
      <c r="A2399" t="s">
        <v>28</v>
      </c>
      <c r="B2399" s="18">
        <v>44.93</v>
      </c>
      <c r="C2399" s="18">
        <v>48.07</v>
      </c>
      <c r="D2399" s="18">
        <v>47.99</v>
      </c>
      <c r="E2399" s="18">
        <v>54.59</v>
      </c>
      <c r="F2399" s="18">
        <v>52.9</v>
      </c>
      <c r="G2399" s="18">
        <v>46.811100000000003</v>
      </c>
      <c r="H2399" s="18">
        <v>52.991300000000003</v>
      </c>
      <c r="I2399" s="8">
        <v>-6.5321406282504713E-2</v>
      </c>
      <c r="J2399" s="8">
        <v>-6.3763284017503641E-2</v>
      </c>
      <c r="K2399" s="8">
        <v>-0.17695548635281191</v>
      </c>
      <c r="L2399" s="8">
        <v>-0.15066162570888461</v>
      </c>
      <c r="M2399" s="18">
        <v>-0.45670180236170488</v>
      </c>
    </row>
    <row r="2400" spans="1:13" x14ac:dyDescent="0.45">
      <c r="A2400" t="s">
        <v>2313</v>
      </c>
      <c r="B2400" s="18">
        <v>15.07</v>
      </c>
      <c r="C2400" s="18">
        <v>19.239999999999998</v>
      </c>
      <c r="D2400" s="18">
        <v>18.28</v>
      </c>
      <c r="E2400" s="18">
        <v>18.37</v>
      </c>
      <c r="F2400" s="18">
        <v>21.2</v>
      </c>
      <c r="G2400" s="18">
        <v>17.743002000000001</v>
      </c>
      <c r="H2400" s="18">
        <v>17.932178</v>
      </c>
      <c r="I2400" s="8">
        <v>-0.2167359667359666</v>
      </c>
      <c r="J2400" s="8">
        <v>-0.17560175054704599</v>
      </c>
      <c r="K2400" s="8">
        <v>-0.17964071856287431</v>
      </c>
      <c r="L2400" s="8">
        <v>-0.28915094339622638</v>
      </c>
      <c r="M2400" s="18">
        <v>-0.8611293792421133</v>
      </c>
    </row>
    <row r="2401" spans="1:13" x14ac:dyDescent="0.45">
      <c r="A2401" t="s">
        <v>2179</v>
      </c>
      <c r="B2401" s="18">
        <v>66.58</v>
      </c>
      <c r="C2401" s="18">
        <v>74.540000000000006</v>
      </c>
      <c r="D2401" s="18">
        <v>67.84</v>
      </c>
      <c r="E2401" s="18">
        <v>81.319999999999993</v>
      </c>
      <c r="F2401" s="18">
        <v>93.88</v>
      </c>
      <c r="G2401" s="18">
        <v>72.823000000000008</v>
      </c>
      <c r="H2401" s="18">
        <v>81.310050000000004</v>
      </c>
      <c r="I2401" s="8">
        <v>-0.1067883015830428</v>
      </c>
      <c r="J2401" s="8">
        <v>-1.8573113207547291E-2</v>
      </c>
      <c r="K2401" s="8">
        <v>-0.1812592228234137</v>
      </c>
      <c r="L2401" s="8">
        <v>-0.29079676182360459</v>
      </c>
      <c r="M2401" s="18">
        <v>-0.5974173994376083</v>
      </c>
    </row>
    <row r="2402" spans="1:13" x14ac:dyDescent="0.45">
      <c r="A2402" t="s">
        <v>2340</v>
      </c>
      <c r="B2402" s="18">
        <v>3.69</v>
      </c>
      <c r="C2402" s="18">
        <v>4.76</v>
      </c>
      <c r="D2402" s="18">
        <v>5.72</v>
      </c>
      <c r="E2402" s="18">
        <v>4.51</v>
      </c>
      <c r="F2402" s="18">
        <v>14.2</v>
      </c>
      <c r="G2402" s="18">
        <v>4.1052</v>
      </c>
      <c r="H2402" s="18">
        <v>6.2596999999999996</v>
      </c>
      <c r="I2402" s="8">
        <v>-0.22478991596638651</v>
      </c>
      <c r="J2402" s="8">
        <v>-0.3548951048951049</v>
      </c>
      <c r="K2402" s="8">
        <v>-0.1818181818181818</v>
      </c>
      <c r="L2402" s="8">
        <v>-0.74014084507042255</v>
      </c>
      <c r="M2402" s="18">
        <v>-1.5016440477500961</v>
      </c>
    </row>
    <row r="2403" spans="1:13" x14ac:dyDescent="0.45">
      <c r="A2403" t="s">
        <v>2335</v>
      </c>
      <c r="B2403" s="18">
        <v>14.85</v>
      </c>
      <c r="C2403" s="18">
        <v>17</v>
      </c>
      <c r="D2403" s="18">
        <v>19.48</v>
      </c>
      <c r="E2403" s="18">
        <v>18.149999999999999</v>
      </c>
      <c r="F2403" s="18">
        <v>18.07</v>
      </c>
      <c r="G2403" s="18">
        <v>16.495799999999999</v>
      </c>
      <c r="H2403" s="18">
        <v>19.597449999999998</v>
      </c>
      <c r="I2403" s="8">
        <v>-0.12647058823529411</v>
      </c>
      <c r="J2403" s="8">
        <v>-0.23767967145790561</v>
      </c>
      <c r="K2403" s="8">
        <v>-0.1818181818181818</v>
      </c>
      <c r="L2403" s="8">
        <v>-0.1781959048146099</v>
      </c>
      <c r="M2403" s="18">
        <v>-0.72416434632599136</v>
      </c>
    </row>
    <row r="2404" spans="1:13" x14ac:dyDescent="0.45">
      <c r="A2404" t="s">
        <v>1784</v>
      </c>
      <c r="B2404" s="18">
        <v>6.05</v>
      </c>
      <c r="C2404" s="18">
        <v>6.05</v>
      </c>
      <c r="D2404" s="18">
        <v>6.84</v>
      </c>
      <c r="E2404" s="18">
        <v>7.41</v>
      </c>
      <c r="F2404" s="18">
        <v>7.35</v>
      </c>
      <c r="G2404" s="18">
        <v>6.2205999999999992</v>
      </c>
      <c r="H2404" s="18">
        <v>7.0937000000000001</v>
      </c>
      <c r="I2404" s="8">
        <v>0</v>
      </c>
      <c r="J2404" s="8">
        <v>-0.1154970760233919</v>
      </c>
      <c r="K2404" s="8">
        <v>-0.183535762483131</v>
      </c>
      <c r="L2404" s="8">
        <v>-0.1768707482993197</v>
      </c>
      <c r="M2404" s="18">
        <v>-0.47590358680584249</v>
      </c>
    </row>
    <row r="2405" spans="1:13" x14ac:dyDescent="0.45">
      <c r="A2405" t="s">
        <v>1011</v>
      </c>
      <c r="B2405" s="18">
        <v>18.100000000000001</v>
      </c>
      <c r="C2405" s="18">
        <v>20.27</v>
      </c>
      <c r="D2405" s="18">
        <v>22.25</v>
      </c>
      <c r="E2405" s="18">
        <v>22.19</v>
      </c>
      <c r="F2405" s="18">
        <v>25.38</v>
      </c>
      <c r="G2405" s="18">
        <v>19.370799999999999</v>
      </c>
      <c r="H2405" s="18">
        <v>23.695900000000002</v>
      </c>
      <c r="I2405" s="8">
        <v>-0.107054760730143</v>
      </c>
      <c r="J2405" s="8">
        <v>-0.18651685393258419</v>
      </c>
      <c r="K2405" s="8">
        <v>-0.18431726002703919</v>
      </c>
      <c r="L2405" s="8">
        <v>-0.28684003152088261</v>
      </c>
      <c r="M2405" s="18">
        <v>-0.76472890621064893</v>
      </c>
    </row>
    <row r="2406" spans="1:13" x14ac:dyDescent="0.45">
      <c r="A2406" t="s">
        <v>1623</v>
      </c>
      <c r="B2406" s="18">
        <v>11</v>
      </c>
      <c r="C2406" s="18">
        <v>11.7</v>
      </c>
      <c r="D2406" s="18">
        <v>13.72</v>
      </c>
      <c r="E2406" s="18">
        <v>13.5</v>
      </c>
      <c r="F2406" s="18"/>
      <c r="G2406" s="18">
        <v>11.976599999999999</v>
      </c>
      <c r="H2406" s="18">
        <v>15.143649999999999</v>
      </c>
      <c r="I2406" s="8">
        <v>-5.9829059829059728E-2</v>
      </c>
      <c r="J2406" s="8">
        <v>-0.19825072886297379</v>
      </c>
      <c r="K2406" s="8">
        <v>-0.1851851851851852</v>
      </c>
      <c r="L2406" s="8"/>
      <c r="M2406" s="18">
        <v>-0.44326497387721869</v>
      </c>
    </row>
    <row r="2407" spans="1:13" x14ac:dyDescent="0.45">
      <c r="A2407" t="s">
        <v>294</v>
      </c>
      <c r="B2407" s="18">
        <v>23.89</v>
      </c>
      <c r="C2407" s="18">
        <v>25.52</v>
      </c>
      <c r="D2407" s="18">
        <v>31.54</v>
      </c>
      <c r="E2407" s="18">
        <v>29.32</v>
      </c>
      <c r="F2407" s="18">
        <v>31.35</v>
      </c>
      <c r="G2407" s="18">
        <v>26.4132</v>
      </c>
      <c r="H2407" s="18">
        <v>29.11795</v>
      </c>
      <c r="I2407" s="8">
        <v>-6.3871473354231934E-2</v>
      </c>
      <c r="J2407" s="8">
        <v>-0.2425491439441978</v>
      </c>
      <c r="K2407" s="8">
        <v>-0.18519781718963171</v>
      </c>
      <c r="L2407" s="8">
        <v>-0.23795853269537481</v>
      </c>
      <c r="M2407" s="18">
        <v>-0.72957696718343623</v>
      </c>
    </row>
    <row r="2408" spans="1:13" x14ac:dyDescent="0.45">
      <c r="A2408" t="s">
        <v>144</v>
      </c>
      <c r="B2408" s="18">
        <v>22.75</v>
      </c>
      <c r="C2408" s="18">
        <v>24.45</v>
      </c>
      <c r="D2408" s="18">
        <v>29.7</v>
      </c>
      <c r="E2408" s="18">
        <v>27.97</v>
      </c>
      <c r="F2408" s="18">
        <v>36.32</v>
      </c>
      <c r="G2408" s="18">
        <v>23.617000000000001</v>
      </c>
      <c r="H2408" s="18">
        <v>29.185449999999999</v>
      </c>
      <c r="I2408" s="8">
        <v>-6.9529652351738247E-2</v>
      </c>
      <c r="J2408" s="8">
        <v>-0.234006734006734</v>
      </c>
      <c r="K2408" s="8">
        <v>-0.18662853056846621</v>
      </c>
      <c r="L2408" s="8">
        <v>-0.3736233480176212</v>
      </c>
      <c r="M2408" s="18">
        <v>-0.86378826494455963</v>
      </c>
    </row>
    <row r="2409" spans="1:13" x14ac:dyDescent="0.45">
      <c r="A2409" t="s">
        <v>89</v>
      </c>
      <c r="B2409" s="18">
        <v>149.52000000000001</v>
      </c>
      <c r="C2409" s="18">
        <v>182.36</v>
      </c>
      <c r="D2409" s="18">
        <v>200.05</v>
      </c>
      <c r="E2409" s="18">
        <v>183.84</v>
      </c>
      <c r="F2409" s="18">
        <v>171</v>
      </c>
      <c r="G2409" s="18">
        <v>169.07560000000001</v>
      </c>
      <c r="H2409" s="18">
        <v>216.1755</v>
      </c>
      <c r="I2409" s="8">
        <v>-0.18008335161219571</v>
      </c>
      <c r="J2409" s="8">
        <v>-0.25258685328667829</v>
      </c>
      <c r="K2409" s="8">
        <v>-0.1866840731070496</v>
      </c>
      <c r="L2409" s="8">
        <v>-0.12561403508771929</v>
      </c>
      <c r="M2409" s="18">
        <v>-0.74496831309364286</v>
      </c>
    </row>
    <row r="2410" spans="1:13" x14ac:dyDescent="0.45">
      <c r="A2410" t="s">
        <v>873</v>
      </c>
      <c r="B2410" s="18">
        <v>56.8</v>
      </c>
      <c r="C2410" s="18">
        <v>57.67</v>
      </c>
      <c r="D2410" s="18">
        <v>73.2</v>
      </c>
      <c r="E2410" s="18">
        <v>70.03</v>
      </c>
      <c r="F2410" s="18">
        <v>65.37</v>
      </c>
      <c r="G2410" s="18">
        <v>59.645600000000002</v>
      </c>
      <c r="H2410" s="18">
        <v>72.135999999999996</v>
      </c>
      <c r="I2410" s="8">
        <v>-1.508583318883305E-2</v>
      </c>
      <c r="J2410" s="8">
        <v>-0.22404371584699459</v>
      </c>
      <c r="K2410" s="8">
        <v>-0.1889190346994146</v>
      </c>
      <c r="L2410" s="8">
        <v>-0.13109989291724039</v>
      </c>
      <c r="M2410" s="18">
        <v>-0.55914847665248268</v>
      </c>
    </row>
    <row r="2411" spans="1:13" x14ac:dyDescent="0.45">
      <c r="A2411" t="s">
        <v>1264</v>
      </c>
      <c r="B2411" s="18">
        <v>14.45</v>
      </c>
      <c r="C2411" s="18">
        <v>17.850000000000001</v>
      </c>
      <c r="D2411" s="18">
        <v>21.59</v>
      </c>
      <c r="E2411" s="18">
        <v>17.95</v>
      </c>
      <c r="F2411" s="18">
        <v>20.170000000000002</v>
      </c>
      <c r="G2411" s="18">
        <v>17.2834</v>
      </c>
      <c r="H2411" s="18">
        <v>20.387350000000001</v>
      </c>
      <c r="I2411" s="8">
        <v>-0.1904761904761906</v>
      </c>
      <c r="J2411" s="8">
        <v>-0.33070866141732291</v>
      </c>
      <c r="K2411" s="8">
        <v>-0.19498607242339841</v>
      </c>
      <c r="L2411" s="8">
        <v>-0.28358948934060491</v>
      </c>
      <c r="M2411" s="18">
        <v>-0.99976041365751678</v>
      </c>
    </row>
    <row r="2412" spans="1:13" x14ac:dyDescent="0.45">
      <c r="A2412" t="s">
        <v>867</v>
      </c>
      <c r="B2412" s="18">
        <v>63.16</v>
      </c>
      <c r="C2412" s="18">
        <v>65.28</v>
      </c>
      <c r="D2412" s="18">
        <v>91.45</v>
      </c>
      <c r="E2412" s="18">
        <v>78.459999999999994</v>
      </c>
      <c r="F2412" s="18">
        <v>126.6</v>
      </c>
      <c r="G2412" s="18">
        <v>69.424199999999999</v>
      </c>
      <c r="H2412" s="18">
        <v>89.729599999999991</v>
      </c>
      <c r="I2412" s="8">
        <v>-3.2475490196078538E-2</v>
      </c>
      <c r="J2412" s="8">
        <v>-0.30934937124111539</v>
      </c>
      <c r="K2412" s="8">
        <v>-0.1950038236043844</v>
      </c>
      <c r="L2412" s="8">
        <v>-0.50110584518167456</v>
      </c>
      <c r="M2412" s="18">
        <v>-1.037934530223253</v>
      </c>
    </row>
    <row r="2413" spans="1:13" x14ac:dyDescent="0.45">
      <c r="A2413" t="s">
        <v>1732</v>
      </c>
      <c r="B2413" s="18">
        <v>374.45</v>
      </c>
      <c r="C2413" s="18">
        <v>391.28</v>
      </c>
      <c r="D2413" s="18">
        <v>426.96</v>
      </c>
      <c r="E2413" s="18">
        <v>465.31</v>
      </c>
      <c r="F2413" s="18">
        <v>483.55</v>
      </c>
      <c r="G2413" s="18">
        <v>384.04219999999998</v>
      </c>
      <c r="H2413" s="18">
        <v>442.10545000000002</v>
      </c>
      <c r="I2413" s="8">
        <v>-4.3012676344305827E-2</v>
      </c>
      <c r="J2413" s="8">
        <v>-0.1229857597901443</v>
      </c>
      <c r="K2413" s="8">
        <v>-0.19526767101502229</v>
      </c>
      <c r="L2413" s="8">
        <v>-0.22562299658773649</v>
      </c>
      <c r="M2413" s="18">
        <v>-0.58688910373720893</v>
      </c>
    </row>
    <row r="2414" spans="1:13" x14ac:dyDescent="0.45">
      <c r="A2414" t="s">
        <v>1149</v>
      </c>
      <c r="B2414" s="18">
        <v>0.85299999999999998</v>
      </c>
      <c r="C2414" s="18">
        <v>1.0601</v>
      </c>
      <c r="D2414" s="18">
        <v>1.165</v>
      </c>
      <c r="E2414" s="18">
        <v>1.06</v>
      </c>
      <c r="F2414" s="18"/>
      <c r="G2414" s="18">
        <v>0.97575900000000004</v>
      </c>
      <c r="H2414" s="18">
        <v>1.05820376</v>
      </c>
      <c r="I2414" s="8">
        <v>-0.19535892840298091</v>
      </c>
      <c r="J2414" s="8">
        <v>-0.26781115879828332</v>
      </c>
      <c r="K2414" s="8">
        <v>-0.19528301886792451</v>
      </c>
      <c r="L2414" s="8"/>
      <c r="M2414" s="18">
        <v>-0.65845310606918872</v>
      </c>
    </row>
    <row r="2415" spans="1:13" x14ac:dyDescent="0.45">
      <c r="A2415" t="s">
        <v>1285</v>
      </c>
      <c r="B2415" s="18">
        <v>29.4</v>
      </c>
      <c r="C2415" s="18">
        <v>30</v>
      </c>
      <c r="D2415" s="18">
        <v>32.99</v>
      </c>
      <c r="E2415" s="18">
        <v>36.549999999999997</v>
      </c>
      <c r="F2415" s="18">
        <v>30.86</v>
      </c>
      <c r="G2415" s="18">
        <v>29.576937999999998</v>
      </c>
      <c r="H2415" s="18">
        <v>32.449114000000002</v>
      </c>
      <c r="I2415" s="8">
        <v>-2.0000000000000021E-2</v>
      </c>
      <c r="J2415" s="8">
        <v>-0.10882085480448631</v>
      </c>
      <c r="K2415" s="8">
        <v>-0.19562243502051979</v>
      </c>
      <c r="L2415" s="8">
        <v>-4.7310434219053787E-2</v>
      </c>
      <c r="M2415" s="18">
        <v>-0.37175372404405987</v>
      </c>
    </row>
    <row r="2416" spans="1:13" x14ac:dyDescent="0.45">
      <c r="A2416" t="s">
        <v>2057</v>
      </c>
      <c r="B2416" s="18">
        <v>1.35</v>
      </c>
      <c r="C2416" s="18">
        <v>1.44</v>
      </c>
      <c r="D2416" s="18">
        <v>2.15</v>
      </c>
      <c r="E2416" s="18">
        <v>1.68</v>
      </c>
      <c r="F2416" s="18">
        <v>2</v>
      </c>
      <c r="G2416" s="18">
        <v>1.4923999999999999</v>
      </c>
      <c r="H2416" s="18">
        <v>1.7469749999999999</v>
      </c>
      <c r="I2416" s="8">
        <v>-6.2499999999999889E-2</v>
      </c>
      <c r="J2416" s="8">
        <v>-0.37209302325581378</v>
      </c>
      <c r="K2416" s="8">
        <v>-0.1964285714285714</v>
      </c>
      <c r="L2416" s="8">
        <v>-0.32500000000000001</v>
      </c>
      <c r="M2416" s="18">
        <v>-0.95602159468438508</v>
      </c>
    </row>
    <row r="2417" spans="1:13" x14ac:dyDescent="0.45">
      <c r="A2417" t="s">
        <v>2038</v>
      </c>
      <c r="B2417" s="18">
        <v>3.61</v>
      </c>
      <c r="C2417" s="18">
        <v>4.3099999999999996</v>
      </c>
      <c r="D2417" s="18">
        <v>4.59</v>
      </c>
      <c r="E2417" s="18">
        <v>4.5199999999999996</v>
      </c>
      <c r="F2417" s="18">
        <v>7.31</v>
      </c>
      <c r="G2417" s="18">
        <v>4.0675999999999997</v>
      </c>
      <c r="H2417" s="18">
        <v>4.9709500000000002</v>
      </c>
      <c r="I2417" s="8">
        <v>-0.16241299303944309</v>
      </c>
      <c r="J2417" s="8">
        <v>-0.21350762527233111</v>
      </c>
      <c r="K2417" s="8">
        <v>-0.20132743362831851</v>
      </c>
      <c r="L2417" s="8">
        <v>-0.50615595075239395</v>
      </c>
      <c r="M2417" s="18">
        <v>-1.0834040026924869</v>
      </c>
    </row>
    <row r="2418" spans="1:13" x14ac:dyDescent="0.45">
      <c r="A2418" t="s">
        <v>1625</v>
      </c>
      <c r="B2418" s="18">
        <v>38.840000000000003</v>
      </c>
      <c r="C2418" s="18">
        <v>38.44</v>
      </c>
      <c r="D2418" s="18">
        <v>44.92</v>
      </c>
      <c r="E2418" s="18">
        <v>48.72</v>
      </c>
      <c r="F2418" s="18">
        <v>71.41</v>
      </c>
      <c r="G2418" s="18">
        <v>39.8322</v>
      </c>
      <c r="H2418" s="18">
        <v>47.599400000000003</v>
      </c>
      <c r="I2418" s="8">
        <v>1.0405827263267661E-2</v>
      </c>
      <c r="J2418" s="8">
        <v>-0.13535173642030271</v>
      </c>
      <c r="K2418" s="8">
        <v>-0.20279146141215099</v>
      </c>
      <c r="L2418" s="8">
        <v>-0.45609858563226441</v>
      </c>
      <c r="M2418" s="18">
        <v>-0.78383595620145041</v>
      </c>
    </row>
    <row r="2419" spans="1:13" x14ac:dyDescent="0.45">
      <c r="A2419" t="s">
        <v>2189</v>
      </c>
      <c r="B2419" s="18">
        <v>21.83</v>
      </c>
      <c r="C2419" s="18">
        <v>22.96</v>
      </c>
      <c r="D2419" s="18">
        <v>24.33</v>
      </c>
      <c r="E2419" s="18">
        <v>27.39</v>
      </c>
      <c r="F2419" s="18">
        <v>37.119999999999997</v>
      </c>
      <c r="G2419" s="18">
        <v>22.289200000000001</v>
      </c>
      <c r="H2419" s="18">
        <v>30.088950000000001</v>
      </c>
      <c r="I2419" s="8">
        <v>-4.9216027874564583E-2</v>
      </c>
      <c r="J2419" s="8">
        <v>-0.10275380189067</v>
      </c>
      <c r="K2419" s="8">
        <v>-0.20299379335523929</v>
      </c>
      <c r="L2419" s="8">
        <v>-0.41190732758620691</v>
      </c>
      <c r="M2419" s="18">
        <v>-0.76687095070668065</v>
      </c>
    </row>
    <row r="2420" spans="1:13" x14ac:dyDescent="0.45">
      <c r="A2420" t="s">
        <v>264</v>
      </c>
      <c r="B2420" s="18">
        <v>49.84</v>
      </c>
      <c r="C2420" s="18">
        <v>47.71</v>
      </c>
      <c r="D2420" s="18">
        <v>53.06</v>
      </c>
      <c r="E2420" s="18">
        <v>62.58</v>
      </c>
      <c r="F2420" s="18">
        <v>76.91</v>
      </c>
      <c r="G2420" s="18">
        <v>48.333599999999997</v>
      </c>
      <c r="H2420" s="18">
        <v>65.094850000000008</v>
      </c>
      <c r="I2420" s="8">
        <v>4.4644728568434378E-2</v>
      </c>
      <c r="J2420" s="8">
        <v>-6.0686015831134532E-2</v>
      </c>
      <c r="K2420" s="8">
        <v>-0.20357941834451901</v>
      </c>
      <c r="L2420" s="8">
        <v>-0.35196983487192812</v>
      </c>
      <c r="M2420" s="18">
        <v>-0.57159054047914726</v>
      </c>
    </row>
    <row r="2421" spans="1:13" x14ac:dyDescent="0.45">
      <c r="A2421" t="s">
        <v>1344</v>
      </c>
      <c r="B2421" s="18">
        <v>18.79</v>
      </c>
      <c r="C2421" s="18">
        <v>20.54</v>
      </c>
      <c r="D2421" s="18">
        <v>22.6</v>
      </c>
      <c r="E2421" s="18">
        <v>23.6</v>
      </c>
      <c r="F2421" s="18">
        <v>28.79</v>
      </c>
      <c r="G2421" s="18">
        <v>21.138000000000002</v>
      </c>
      <c r="H2421" s="18">
        <v>23.818449999999999</v>
      </c>
      <c r="I2421" s="8">
        <v>-8.5199610516066171E-2</v>
      </c>
      <c r="J2421" s="8">
        <v>-0.16858407079646029</v>
      </c>
      <c r="K2421" s="8">
        <v>-0.2038135593220339</v>
      </c>
      <c r="L2421" s="8">
        <v>-0.34734282737061478</v>
      </c>
      <c r="M2421" s="18">
        <v>-0.80494006800517526</v>
      </c>
    </row>
    <row r="2422" spans="1:13" x14ac:dyDescent="0.45">
      <c r="A2422" t="s">
        <v>766</v>
      </c>
      <c r="B2422" s="18">
        <v>89.15</v>
      </c>
      <c r="C2422" s="18">
        <v>97.53</v>
      </c>
      <c r="D2422" s="18">
        <v>106.7</v>
      </c>
      <c r="E2422" s="18">
        <v>111.99</v>
      </c>
      <c r="F2422" s="18">
        <v>86.5</v>
      </c>
      <c r="G2422" s="18">
        <v>99.275999999999982</v>
      </c>
      <c r="H2422" s="18">
        <v>105.3412</v>
      </c>
      <c r="I2422" s="8">
        <v>-8.5922280324002842E-2</v>
      </c>
      <c r="J2422" s="8">
        <v>-0.1644798500468603</v>
      </c>
      <c r="K2422" s="8">
        <v>-0.20394678096258589</v>
      </c>
      <c r="L2422" s="8">
        <v>3.0635838150289141E-2</v>
      </c>
      <c r="M2422" s="18">
        <v>-0.42371307318315993</v>
      </c>
    </row>
    <row r="2423" spans="1:13" x14ac:dyDescent="0.45">
      <c r="A2423" t="s">
        <v>2170</v>
      </c>
      <c r="B2423" s="18">
        <v>8.6300000000000008</v>
      </c>
      <c r="C2423" s="18">
        <v>9.07</v>
      </c>
      <c r="D2423" s="18">
        <v>11.6</v>
      </c>
      <c r="E2423" s="18">
        <v>10.85</v>
      </c>
      <c r="F2423" s="18">
        <v>17.39</v>
      </c>
      <c r="G2423" s="18">
        <v>10.1374</v>
      </c>
      <c r="H2423" s="18">
        <v>12.2613</v>
      </c>
      <c r="I2423" s="8">
        <v>-4.8511576626240283E-2</v>
      </c>
      <c r="J2423" s="8">
        <v>-0.25603448275862062</v>
      </c>
      <c r="K2423" s="8">
        <v>-0.20460829493087551</v>
      </c>
      <c r="L2423" s="8">
        <v>-0.50373778033352501</v>
      </c>
      <c r="M2423" s="18">
        <v>-1.012892134649261</v>
      </c>
    </row>
    <row r="2424" spans="1:13" x14ac:dyDescent="0.45">
      <c r="A2424" t="s">
        <v>1918</v>
      </c>
      <c r="B2424" s="18">
        <v>63.29</v>
      </c>
      <c r="C2424" s="18">
        <v>66.010000000000005</v>
      </c>
      <c r="D2424" s="18">
        <v>77.540000000000006</v>
      </c>
      <c r="E2424" s="18">
        <v>79.83</v>
      </c>
      <c r="F2424" s="18">
        <v>68.83</v>
      </c>
      <c r="G2424" s="18">
        <v>65.866399999999999</v>
      </c>
      <c r="H2424" s="18">
        <v>77.848500000000001</v>
      </c>
      <c r="I2424" s="8">
        <v>-4.1205877897288357E-2</v>
      </c>
      <c r="J2424" s="8">
        <v>-0.1837761155532629</v>
      </c>
      <c r="K2424" s="8">
        <v>-0.20719027934360509</v>
      </c>
      <c r="L2424" s="8">
        <v>-8.0488159232892653E-2</v>
      </c>
      <c r="M2424" s="18">
        <v>-0.51266043202704903</v>
      </c>
    </row>
    <row r="2425" spans="1:13" x14ac:dyDescent="0.45">
      <c r="A2425" t="s">
        <v>1590</v>
      </c>
      <c r="B2425" s="18">
        <v>1.84</v>
      </c>
      <c r="C2425" s="18">
        <v>2.34</v>
      </c>
      <c r="D2425" s="18">
        <v>2.08</v>
      </c>
      <c r="E2425" s="18">
        <v>2.33</v>
      </c>
      <c r="F2425" s="18">
        <v>2.48</v>
      </c>
      <c r="G2425" s="18">
        <v>2.1642000000000001</v>
      </c>
      <c r="H2425" s="18">
        <v>2.4519000000000002</v>
      </c>
      <c r="I2425" s="8">
        <v>-0.21367521367521361</v>
      </c>
      <c r="J2425" s="8">
        <v>-0.1153846153846154</v>
      </c>
      <c r="K2425" s="8">
        <v>-0.21030042918454939</v>
      </c>
      <c r="L2425" s="8">
        <v>-0.25806451612903231</v>
      </c>
      <c r="M2425" s="18">
        <v>-0.79742477437341064</v>
      </c>
    </row>
    <row r="2426" spans="1:13" x14ac:dyDescent="0.45">
      <c r="A2426" t="s">
        <v>1365</v>
      </c>
      <c r="B2426" s="18">
        <v>1.79</v>
      </c>
      <c r="C2426" s="18">
        <v>1.36</v>
      </c>
      <c r="D2426" s="18">
        <v>1.6</v>
      </c>
      <c r="E2426" s="18">
        <v>2.2799999999999998</v>
      </c>
      <c r="F2426" s="18">
        <v>6.52</v>
      </c>
      <c r="G2426" s="18">
        <v>1.6162000000000001</v>
      </c>
      <c r="H2426" s="18">
        <v>2.734865000000001</v>
      </c>
      <c r="I2426" s="8">
        <v>0.31617647058823528</v>
      </c>
      <c r="J2426" s="8">
        <v>0.1187499999999999</v>
      </c>
      <c r="K2426" s="8">
        <v>-0.2149122807017543</v>
      </c>
      <c r="L2426" s="8">
        <v>-0.72546012269938642</v>
      </c>
      <c r="M2426" s="18">
        <v>-0.50544593281290551</v>
      </c>
    </row>
    <row r="2427" spans="1:13" x14ac:dyDescent="0.45">
      <c r="A2427" t="s">
        <v>366</v>
      </c>
      <c r="B2427" s="18">
        <v>45.6</v>
      </c>
      <c r="C2427" s="18">
        <v>49.45</v>
      </c>
      <c r="D2427" s="18">
        <v>49.81</v>
      </c>
      <c r="E2427" s="18">
        <v>58.51</v>
      </c>
      <c r="F2427" s="18">
        <v>56.07</v>
      </c>
      <c r="G2427" s="18">
        <v>48.703000000000003</v>
      </c>
      <c r="H2427" s="18">
        <v>53.856250000000003</v>
      </c>
      <c r="I2427" s="8">
        <v>-7.7856420626895906E-2</v>
      </c>
      <c r="J2427" s="8">
        <v>-8.4521180485846226E-2</v>
      </c>
      <c r="K2427" s="8">
        <v>-0.22064604341138261</v>
      </c>
      <c r="L2427" s="8">
        <v>-0.1867308721241305</v>
      </c>
      <c r="M2427" s="18">
        <v>-0.56975451664825527</v>
      </c>
    </row>
    <row r="2428" spans="1:13" x14ac:dyDescent="0.45">
      <c r="A2428" t="s">
        <v>982</v>
      </c>
      <c r="B2428" s="18">
        <v>7.69</v>
      </c>
      <c r="C2428" s="18">
        <v>8.24</v>
      </c>
      <c r="D2428" s="18">
        <v>9.7449999999999992</v>
      </c>
      <c r="E2428" s="18">
        <v>9.8699999999999992</v>
      </c>
      <c r="F2428" s="18">
        <v>10.79</v>
      </c>
      <c r="G2428" s="18">
        <v>8.2747379999999993</v>
      </c>
      <c r="H2428" s="18">
        <v>9.8245459999999998</v>
      </c>
      <c r="I2428" s="8">
        <v>-6.6747572815534006E-2</v>
      </c>
      <c r="J2428" s="8">
        <v>-0.2108773730118009</v>
      </c>
      <c r="K2428" s="8">
        <v>-0.22087132725430589</v>
      </c>
      <c r="L2428" s="8">
        <v>-0.28730305838739573</v>
      </c>
      <c r="M2428" s="18">
        <v>-0.78579933146903647</v>
      </c>
    </row>
    <row r="2429" spans="1:13" x14ac:dyDescent="0.45">
      <c r="A2429" t="s">
        <v>958</v>
      </c>
      <c r="B2429" s="18">
        <v>1.0900000000000001</v>
      </c>
      <c r="C2429" s="18">
        <v>1.38</v>
      </c>
      <c r="D2429" s="18">
        <v>2</v>
      </c>
      <c r="E2429" s="18">
        <v>1.4</v>
      </c>
      <c r="F2429" s="18">
        <v>3.48</v>
      </c>
      <c r="G2429" s="18">
        <v>1.3340000000000001</v>
      </c>
      <c r="H2429" s="18">
        <v>1.7636499999999999</v>
      </c>
      <c r="I2429" s="8">
        <v>-0.21014492753623179</v>
      </c>
      <c r="J2429" s="8">
        <v>-0.45500000000000002</v>
      </c>
      <c r="K2429" s="8">
        <v>-0.22142857142857131</v>
      </c>
      <c r="L2429" s="8">
        <v>-0.68678160919540221</v>
      </c>
      <c r="M2429" s="18">
        <v>-1.5733551081602051</v>
      </c>
    </row>
    <row r="2430" spans="1:13" x14ac:dyDescent="0.45">
      <c r="A2430" t="s">
        <v>1351</v>
      </c>
      <c r="B2430" s="18">
        <v>13.15</v>
      </c>
      <c r="C2430" s="18">
        <v>15.64</v>
      </c>
      <c r="D2430" s="18">
        <v>21.3</v>
      </c>
      <c r="E2430" s="18">
        <v>16.920000000000002</v>
      </c>
      <c r="F2430" s="18">
        <v>11.72</v>
      </c>
      <c r="G2430" s="18">
        <v>15.8932</v>
      </c>
      <c r="H2430" s="18">
        <v>18.8139</v>
      </c>
      <c r="I2430" s="8">
        <v>-0.15920716112531971</v>
      </c>
      <c r="J2430" s="8">
        <v>-0.38262910798122057</v>
      </c>
      <c r="K2430" s="8">
        <v>-0.2228132387706856</v>
      </c>
      <c r="L2430" s="8">
        <v>0.1220136518771331</v>
      </c>
      <c r="M2430" s="18">
        <v>-0.64263585600009288</v>
      </c>
    </row>
    <row r="2431" spans="1:13" x14ac:dyDescent="0.45">
      <c r="A2431" t="s">
        <v>2534</v>
      </c>
      <c r="B2431" s="18">
        <v>3.94</v>
      </c>
      <c r="C2431" s="18">
        <v>4.8</v>
      </c>
      <c r="D2431" s="18">
        <v>5.21</v>
      </c>
      <c r="E2431" s="18">
        <v>5.07</v>
      </c>
      <c r="F2431" s="18">
        <v>9.6199999999999992</v>
      </c>
      <c r="G2431" s="18">
        <v>4.5464000000000002</v>
      </c>
      <c r="H2431" s="18">
        <v>5.5987</v>
      </c>
      <c r="I2431" s="8">
        <v>-0.1791666666666667</v>
      </c>
      <c r="J2431" s="8">
        <v>-0.2437619961612284</v>
      </c>
      <c r="K2431" s="8">
        <v>-0.22287968441814601</v>
      </c>
      <c r="L2431" s="8">
        <v>-0.59043659043659047</v>
      </c>
      <c r="M2431" s="18">
        <v>-1.2362449376826321</v>
      </c>
    </row>
    <row r="2432" spans="1:13" x14ac:dyDescent="0.45">
      <c r="A2432" t="s">
        <v>955</v>
      </c>
      <c r="B2432" s="18">
        <v>13.52</v>
      </c>
      <c r="C2432" s="18">
        <v>13.48</v>
      </c>
      <c r="D2432" s="18">
        <v>16.559999999999999</v>
      </c>
      <c r="E2432" s="18">
        <v>17.5</v>
      </c>
      <c r="F2432" s="18">
        <v>27.58</v>
      </c>
      <c r="G2432" s="18">
        <v>14.0242</v>
      </c>
      <c r="H2432" s="18">
        <v>18.152149999999999</v>
      </c>
      <c r="I2432" s="8">
        <v>2.9673590504450949E-3</v>
      </c>
      <c r="J2432" s="8">
        <v>-0.18357487922705309</v>
      </c>
      <c r="K2432" s="8">
        <v>-0.2274285714285714</v>
      </c>
      <c r="L2432" s="8">
        <v>-0.50978970268310375</v>
      </c>
      <c r="M2432" s="18">
        <v>-0.91782579428828315</v>
      </c>
    </row>
    <row r="2433" spans="1:13" x14ac:dyDescent="0.45">
      <c r="A2433" t="s">
        <v>1601</v>
      </c>
      <c r="B2433" s="18">
        <v>2.9550000000000001</v>
      </c>
      <c r="C2433" s="18">
        <v>2.23</v>
      </c>
      <c r="D2433" s="18">
        <v>2.63</v>
      </c>
      <c r="E2433" s="18">
        <v>3.83</v>
      </c>
      <c r="F2433" s="18">
        <v>2.78</v>
      </c>
      <c r="G2433" s="18">
        <v>2.6647500000000002</v>
      </c>
      <c r="H2433" s="18">
        <v>2.4519609999999998</v>
      </c>
      <c r="I2433" s="8">
        <v>0.32511210762331832</v>
      </c>
      <c r="J2433" s="8">
        <v>0.123574144486692</v>
      </c>
      <c r="K2433" s="8">
        <v>-0.22845953002610961</v>
      </c>
      <c r="L2433" s="8">
        <v>6.2949640287769837E-2</v>
      </c>
      <c r="M2433" s="18">
        <v>0.28317636237167049</v>
      </c>
    </row>
    <row r="2434" spans="1:13" x14ac:dyDescent="0.45">
      <c r="A2434" t="s">
        <v>2185</v>
      </c>
      <c r="B2434" s="18">
        <v>43.17</v>
      </c>
      <c r="C2434" s="18">
        <v>43.74</v>
      </c>
      <c r="D2434" s="18">
        <v>53.01</v>
      </c>
      <c r="E2434" s="18">
        <v>55.99</v>
      </c>
      <c r="F2434" s="18">
        <v>82.75</v>
      </c>
      <c r="G2434" s="18">
        <v>44.332199999999993</v>
      </c>
      <c r="H2434" s="18">
        <v>58.666800000000002</v>
      </c>
      <c r="I2434" s="8">
        <v>-1.3031550068587141E-2</v>
      </c>
      <c r="J2434" s="8">
        <v>-0.18562535370684771</v>
      </c>
      <c r="K2434" s="8">
        <v>-0.22896945883193431</v>
      </c>
      <c r="L2434" s="8">
        <v>-0.47830815709969787</v>
      </c>
      <c r="M2434" s="18">
        <v>-0.90593451970706707</v>
      </c>
    </row>
    <row r="2435" spans="1:13" x14ac:dyDescent="0.45">
      <c r="A2435" t="s">
        <v>341</v>
      </c>
      <c r="B2435" s="18">
        <v>29.7</v>
      </c>
      <c r="C2435" s="18">
        <v>32.31</v>
      </c>
      <c r="D2435" s="18">
        <v>39.21</v>
      </c>
      <c r="E2435" s="18">
        <v>38.54</v>
      </c>
      <c r="F2435" s="18">
        <v>39.22</v>
      </c>
      <c r="G2435" s="18">
        <v>31.001999999999999</v>
      </c>
      <c r="H2435" s="18">
        <v>37.161375</v>
      </c>
      <c r="I2435" s="8">
        <v>-8.0779944289693706E-2</v>
      </c>
      <c r="J2435" s="8">
        <v>-0.24254016832440711</v>
      </c>
      <c r="K2435" s="8">
        <v>-0.22937208095485209</v>
      </c>
      <c r="L2435" s="8">
        <v>-0.24273329933707291</v>
      </c>
      <c r="M2435" s="18">
        <v>-0.79542549290602571</v>
      </c>
    </row>
    <row r="2436" spans="1:13" x14ac:dyDescent="0.45">
      <c r="A2436" t="s">
        <v>2496</v>
      </c>
      <c r="B2436" s="18">
        <v>24.64</v>
      </c>
      <c r="C2436" s="18">
        <v>27.29</v>
      </c>
      <c r="D2436" s="18">
        <v>29.31</v>
      </c>
      <c r="E2436" s="18">
        <v>32.03</v>
      </c>
      <c r="F2436" s="18">
        <v>51.46</v>
      </c>
      <c r="G2436" s="18">
        <v>25.8048</v>
      </c>
      <c r="H2436" s="18">
        <v>36.534849999999999</v>
      </c>
      <c r="I2436" s="8">
        <v>-9.7105166727739056E-2</v>
      </c>
      <c r="J2436" s="8">
        <v>-0.1593312862504265</v>
      </c>
      <c r="K2436" s="8">
        <v>-0.23072119887605369</v>
      </c>
      <c r="L2436" s="8">
        <v>-0.52118150019432563</v>
      </c>
      <c r="M2436" s="18">
        <v>-1.008339152048545</v>
      </c>
    </row>
    <row r="2437" spans="1:13" x14ac:dyDescent="0.45">
      <c r="A2437" t="s">
        <v>1275</v>
      </c>
      <c r="B2437" s="18">
        <v>21.71</v>
      </c>
      <c r="C2437" s="18">
        <v>23.01</v>
      </c>
      <c r="D2437" s="18">
        <v>31.35</v>
      </c>
      <c r="E2437" s="18">
        <v>28.29</v>
      </c>
      <c r="F2437" s="18">
        <v>37.58</v>
      </c>
      <c r="G2437" s="18">
        <v>24.373999999999999</v>
      </c>
      <c r="H2437" s="18">
        <v>34.267049999999998</v>
      </c>
      <c r="I2437" s="8">
        <v>-5.6497175141242972E-2</v>
      </c>
      <c r="J2437" s="8">
        <v>-0.30749601275917071</v>
      </c>
      <c r="K2437" s="8">
        <v>-0.2325910215623895</v>
      </c>
      <c r="L2437" s="8">
        <v>-0.4222990952634379</v>
      </c>
      <c r="M2437" s="18">
        <v>-1.0188833047262409</v>
      </c>
    </row>
    <row r="2438" spans="1:13" x14ac:dyDescent="0.45">
      <c r="A2438" t="s">
        <v>582</v>
      </c>
      <c r="B2438" s="18">
        <v>9.6</v>
      </c>
      <c r="C2438" s="18">
        <v>10.3612</v>
      </c>
      <c r="D2438" s="18">
        <v>11.26</v>
      </c>
      <c r="E2438" s="18">
        <v>12.53</v>
      </c>
      <c r="F2438" s="18">
        <v>18.329999999999998</v>
      </c>
      <c r="G2438" s="18">
        <v>10.65804</v>
      </c>
      <c r="H2438" s="18">
        <v>12.760885</v>
      </c>
      <c r="I2438" s="8">
        <v>-7.3466393853993783E-2</v>
      </c>
      <c r="J2438" s="8">
        <v>-0.1474245115452931</v>
      </c>
      <c r="K2438" s="8">
        <v>-0.2338387869114126</v>
      </c>
      <c r="L2438" s="8">
        <v>-0.47626841243862522</v>
      </c>
      <c r="M2438" s="18">
        <v>-0.93099810474932465</v>
      </c>
    </row>
    <row r="2439" spans="1:13" x14ac:dyDescent="0.45">
      <c r="A2439" t="s">
        <v>2291</v>
      </c>
      <c r="B2439" s="18">
        <v>7.26</v>
      </c>
      <c r="C2439" s="18">
        <v>7.25</v>
      </c>
      <c r="D2439" s="18">
        <v>8.6300000000000008</v>
      </c>
      <c r="E2439" s="18">
        <v>9.49</v>
      </c>
      <c r="F2439" s="18">
        <v>7.94</v>
      </c>
      <c r="G2439" s="18">
        <v>8.3800000000000008</v>
      </c>
      <c r="H2439" s="18">
        <v>10.1365</v>
      </c>
      <c r="I2439" s="8">
        <v>1.3793103448276329E-3</v>
      </c>
      <c r="J2439" s="8">
        <v>-0.1587485515643107</v>
      </c>
      <c r="K2439" s="8">
        <v>-0.23498419388830349</v>
      </c>
      <c r="L2439" s="8">
        <v>-8.5642317380352662E-2</v>
      </c>
      <c r="M2439" s="18">
        <v>-0.47799575248813919</v>
      </c>
    </row>
    <row r="2440" spans="1:13" x14ac:dyDescent="0.45">
      <c r="A2440" t="s">
        <v>53</v>
      </c>
      <c r="B2440" s="18">
        <v>25.58</v>
      </c>
      <c r="C2440" s="18">
        <v>27.61</v>
      </c>
      <c r="D2440" s="18">
        <v>33.65</v>
      </c>
      <c r="E2440" s="18">
        <v>33.57</v>
      </c>
      <c r="F2440" s="18">
        <v>36.39</v>
      </c>
      <c r="G2440" s="18">
        <v>29.769500000000001</v>
      </c>
      <c r="H2440" s="18">
        <v>32.315300000000001</v>
      </c>
      <c r="I2440" s="8">
        <v>-7.3524085476276757E-2</v>
      </c>
      <c r="J2440" s="8">
        <v>-0.23982169390787519</v>
      </c>
      <c r="K2440" s="8">
        <v>-0.2380101280905571</v>
      </c>
      <c r="L2440" s="8">
        <v>-0.29705963176696898</v>
      </c>
      <c r="M2440" s="18">
        <v>-0.84841553924167812</v>
      </c>
    </row>
    <row r="2441" spans="1:13" x14ac:dyDescent="0.45">
      <c r="A2441" t="s">
        <v>896</v>
      </c>
      <c r="B2441" s="18">
        <v>434.96</v>
      </c>
      <c r="C2441" s="18">
        <v>462.75</v>
      </c>
      <c r="D2441" s="18">
        <v>465.68</v>
      </c>
      <c r="E2441" s="18">
        <v>571.76</v>
      </c>
      <c r="F2441" s="18">
        <v>581.54999999999995</v>
      </c>
      <c r="G2441" s="18">
        <v>446.93819999999999</v>
      </c>
      <c r="H2441" s="18">
        <v>526.16829999999993</v>
      </c>
      <c r="I2441" s="8">
        <v>-6.0054024851431742E-2</v>
      </c>
      <c r="J2441" s="8">
        <v>-6.5968046727366447E-2</v>
      </c>
      <c r="K2441" s="8">
        <v>-0.2392612284874773</v>
      </c>
      <c r="L2441" s="8">
        <v>-0.25206774997850567</v>
      </c>
      <c r="M2441" s="18">
        <v>-0.61735105004478119</v>
      </c>
    </row>
    <row r="2442" spans="1:13" x14ac:dyDescent="0.45">
      <c r="A2442" t="s">
        <v>2410</v>
      </c>
      <c r="B2442" s="18">
        <v>4.1900000000000004</v>
      </c>
      <c r="C2442" s="18">
        <v>4.8099999999999996</v>
      </c>
      <c r="D2442" s="18">
        <v>5.59</v>
      </c>
      <c r="E2442" s="18">
        <v>5.52</v>
      </c>
      <c r="F2442" s="18">
        <v>3.47</v>
      </c>
      <c r="G2442" s="18">
        <v>4.9730019999999993</v>
      </c>
      <c r="H2442" s="18">
        <v>6.5812205000000006</v>
      </c>
      <c r="I2442" s="8">
        <v>-0.12889812889812879</v>
      </c>
      <c r="J2442" s="8">
        <v>-0.2504472271914131</v>
      </c>
      <c r="K2442" s="8">
        <v>-0.2409420289855071</v>
      </c>
      <c r="L2442" s="8">
        <v>0.20749279538904911</v>
      </c>
      <c r="M2442" s="18">
        <v>-0.41279458968599991</v>
      </c>
    </row>
    <row r="2443" spans="1:13" x14ac:dyDescent="0.45">
      <c r="A2443" t="s">
        <v>2468</v>
      </c>
      <c r="B2443" s="18">
        <v>6.88</v>
      </c>
      <c r="C2443" s="18">
        <v>7.81</v>
      </c>
      <c r="D2443" s="18">
        <v>8.41</v>
      </c>
      <c r="E2443" s="18">
        <v>9.1300000000000008</v>
      </c>
      <c r="F2443" s="18">
        <v>13</v>
      </c>
      <c r="G2443" s="18">
        <v>7.4561999999999999</v>
      </c>
      <c r="H2443" s="18">
        <v>10.611000000000001</v>
      </c>
      <c r="I2443" s="8">
        <v>-0.1190781049935979</v>
      </c>
      <c r="J2443" s="8">
        <v>-0.18192627824019031</v>
      </c>
      <c r="K2443" s="8">
        <v>-0.24644030668127059</v>
      </c>
      <c r="L2443" s="8">
        <v>-0.47076923076923077</v>
      </c>
      <c r="M2443" s="18">
        <v>-1.01821392068429</v>
      </c>
    </row>
    <row r="2444" spans="1:13" x14ac:dyDescent="0.45">
      <c r="A2444" t="s">
        <v>194</v>
      </c>
      <c r="B2444" s="18">
        <v>18.71</v>
      </c>
      <c r="C2444" s="18">
        <v>19.420000000000002</v>
      </c>
      <c r="D2444" s="18">
        <v>19.489999999999998</v>
      </c>
      <c r="E2444" s="18">
        <v>24.99</v>
      </c>
      <c r="F2444" s="18">
        <v>29.51</v>
      </c>
      <c r="G2444" s="18">
        <v>18.940799999999999</v>
      </c>
      <c r="H2444" s="18">
        <v>22.806450000000002</v>
      </c>
      <c r="I2444" s="8">
        <v>-3.6560247167868209E-2</v>
      </c>
      <c r="J2444" s="8">
        <v>-4.0020523345305148E-2</v>
      </c>
      <c r="K2444" s="8">
        <v>-0.25130052020808308</v>
      </c>
      <c r="L2444" s="8">
        <v>-0.36597763470010169</v>
      </c>
      <c r="M2444" s="18">
        <v>-0.69385892542135819</v>
      </c>
    </row>
    <row r="2445" spans="1:13" x14ac:dyDescent="0.45">
      <c r="A2445" t="s">
        <v>324</v>
      </c>
      <c r="B2445" s="18">
        <v>16.079999999999998</v>
      </c>
      <c r="C2445" s="18">
        <v>18.87</v>
      </c>
      <c r="D2445" s="18">
        <v>20.92</v>
      </c>
      <c r="E2445" s="18">
        <v>21.49</v>
      </c>
      <c r="F2445" s="18">
        <v>22.16</v>
      </c>
      <c r="G2445" s="18">
        <v>19.363600000000002</v>
      </c>
      <c r="H2445" s="18">
        <v>21.564399999999999</v>
      </c>
      <c r="I2445" s="8">
        <v>-0.1478537360890303</v>
      </c>
      <c r="J2445" s="8">
        <v>-0.23135755258126209</v>
      </c>
      <c r="K2445" s="8">
        <v>-0.25174499767333652</v>
      </c>
      <c r="L2445" s="8">
        <v>-0.27436823104693148</v>
      </c>
      <c r="M2445" s="18">
        <v>-0.90532451739056041</v>
      </c>
    </row>
    <row r="2446" spans="1:13" x14ac:dyDescent="0.45">
      <c r="A2446" t="s">
        <v>568</v>
      </c>
      <c r="B2446" s="18">
        <v>7.76</v>
      </c>
      <c r="C2446" s="18">
        <v>7.93</v>
      </c>
      <c r="D2446" s="18">
        <v>9.14</v>
      </c>
      <c r="E2446" s="18">
        <v>10.46</v>
      </c>
      <c r="F2446" s="18">
        <v>11.18</v>
      </c>
      <c r="G2446" s="18">
        <v>8.4260000000000002</v>
      </c>
      <c r="H2446" s="18">
        <v>9.5228000000000002</v>
      </c>
      <c r="I2446" s="8">
        <v>-2.143757881462793E-2</v>
      </c>
      <c r="J2446" s="8">
        <v>-0.150984682713348</v>
      </c>
      <c r="K2446" s="8">
        <v>-0.25812619502868073</v>
      </c>
      <c r="L2446" s="8">
        <v>-0.30590339892665469</v>
      </c>
      <c r="M2446" s="18">
        <v>-0.73645185548331138</v>
      </c>
    </row>
    <row r="2447" spans="1:13" x14ac:dyDescent="0.45">
      <c r="A2447" t="s">
        <v>1162</v>
      </c>
      <c r="B2447" s="18">
        <v>20.27</v>
      </c>
      <c r="C2447" s="18">
        <v>22.41</v>
      </c>
      <c r="D2447" s="18">
        <v>26.76</v>
      </c>
      <c r="E2447" s="18">
        <v>27.44</v>
      </c>
      <c r="F2447" s="18">
        <v>34.39</v>
      </c>
      <c r="G2447" s="18">
        <v>22.142600000000002</v>
      </c>
      <c r="H2447" s="18">
        <v>27.50665</v>
      </c>
      <c r="I2447" s="8">
        <v>-9.5493083444890714E-2</v>
      </c>
      <c r="J2447" s="8">
        <v>-0.24252615844544101</v>
      </c>
      <c r="K2447" s="8">
        <v>-0.26129737609329451</v>
      </c>
      <c r="L2447" s="8">
        <v>-0.41058447223029948</v>
      </c>
      <c r="M2447" s="18">
        <v>-1.009901090213926</v>
      </c>
    </row>
    <row r="2448" spans="1:13" x14ac:dyDescent="0.45">
      <c r="A2448" t="s">
        <v>1433</v>
      </c>
      <c r="B2448" s="18">
        <v>9</v>
      </c>
      <c r="C2448" s="18">
        <v>11.23</v>
      </c>
      <c r="D2448" s="18">
        <v>11.88</v>
      </c>
      <c r="E2448" s="18">
        <v>12.25</v>
      </c>
      <c r="F2448" s="18">
        <v>24.21</v>
      </c>
      <c r="G2448" s="18">
        <v>10.037599999999999</v>
      </c>
      <c r="H2448" s="18">
        <v>13.234299999999999</v>
      </c>
      <c r="I2448" s="8">
        <v>-0.19857524487978631</v>
      </c>
      <c r="J2448" s="8">
        <v>-0.2424242424242424</v>
      </c>
      <c r="K2448" s="8">
        <v>-0.26530612244897961</v>
      </c>
      <c r="L2448" s="8">
        <v>-0.62825278810408924</v>
      </c>
      <c r="M2448" s="18">
        <v>-1.334558397857097</v>
      </c>
    </row>
    <row r="2449" spans="1:13" x14ac:dyDescent="0.45">
      <c r="A2449" t="s">
        <v>1910</v>
      </c>
      <c r="B2449" s="18">
        <v>37.270000000000003</v>
      </c>
      <c r="C2449" s="18">
        <v>46.86</v>
      </c>
      <c r="D2449" s="18">
        <v>69.61</v>
      </c>
      <c r="E2449" s="18">
        <v>50.87</v>
      </c>
      <c r="F2449" s="18">
        <v>52.65</v>
      </c>
      <c r="G2449" s="18">
        <v>47.734799999999993</v>
      </c>
      <c r="H2449" s="18">
        <v>61.277650000000001</v>
      </c>
      <c r="I2449" s="8">
        <v>-0.20465215535638059</v>
      </c>
      <c r="J2449" s="8">
        <v>-0.46458842120385002</v>
      </c>
      <c r="K2449" s="8">
        <v>-0.26734814232356968</v>
      </c>
      <c r="L2449" s="8">
        <v>-0.29211775878442542</v>
      </c>
      <c r="M2449" s="18">
        <v>-1.2287064776682259</v>
      </c>
    </row>
    <row r="2450" spans="1:13" x14ac:dyDescent="0.45">
      <c r="A2450" t="s">
        <v>542</v>
      </c>
      <c r="B2450" s="18">
        <v>9.3800000000000008</v>
      </c>
      <c r="C2450" s="18">
        <v>10.98</v>
      </c>
      <c r="D2450" s="18">
        <v>16.52</v>
      </c>
      <c r="E2450" s="18">
        <v>12.82</v>
      </c>
      <c r="F2450" s="18">
        <v>19.21</v>
      </c>
      <c r="G2450" s="18">
        <v>11.323</v>
      </c>
      <c r="H2450" s="18">
        <v>15.60765</v>
      </c>
      <c r="I2450" s="8">
        <v>-0.14571948998178511</v>
      </c>
      <c r="J2450" s="8">
        <v>-0.43220338983050838</v>
      </c>
      <c r="K2450" s="8">
        <v>-0.2683307332293291</v>
      </c>
      <c r="L2450" s="8">
        <v>-0.51171264966163454</v>
      </c>
      <c r="M2450" s="18">
        <v>-1.3579662627032569</v>
      </c>
    </row>
    <row r="2451" spans="1:13" x14ac:dyDescent="0.45">
      <c r="A2451" t="s">
        <v>234</v>
      </c>
      <c r="B2451" s="18">
        <v>36.03</v>
      </c>
      <c r="C2451" s="18">
        <v>37.94</v>
      </c>
      <c r="D2451" s="18">
        <v>42.97</v>
      </c>
      <c r="E2451" s="18">
        <v>49.52</v>
      </c>
      <c r="F2451" s="18">
        <v>105.95</v>
      </c>
      <c r="G2451" s="18">
        <v>36.110399999999998</v>
      </c>
      <c r="H2451" s="18">
        <v>49.133699999999997</v>
      </c>
      <c r="I2451" s="8">
        <v>-5.034264628360563E-2</v>
      </c>
      <c r="J2451" s="8">
        <v>-0.16150802885734231</v>
      </c>
      <c r="K2451" s="8">
        <v>-0.27241518578352192</v>
      </c>
      <c r="L2451" s="8">
        <v>-0.65993393109957532</v>
      </c>
      <c r="M2451" s="18">
        <v>-1.144199792024045</v>
      </c>
    </row>
    <row r="2452" spans="1:13" x14ac:dyDescent="0.45">
      <c r="A2452" t="s">
        <v>2064</v>
      </c>
      <c r="B2452" s="18">
        <v>33.67</v>
      </c>
      <c r="C2452" s="18">
        <v>35.85</v>
      </c>
      <c r="D2452" s="18">
        <v>42.92</v>
      </c>
      <c r="E2452" s="18">
        <v>46.33</v>
      </c>
      <c r="F2452" s="18">
        <v>66.62</v>
      </c>
      <c r="G2452" s="18">
        <v>35.485199999999999</v>
      </c>
      <c r="H2452" s="18">
        <v>48.279449999999997</v>
      </c>
      <c r="I2452" s="8">
        <v>-6.0808926080892611E-2</v>
      </c>
      <c r="J2452" s="8">
        <v>-0.21551724137931039</v>
      </c>
      <c r="K2452" s="8">
        <v>-0.27325706885387441</v>
      </c>
      <c r="L2452" s="8">
        <v>-0.49459621735214648</v>
      </c>
      <c r="M2452" s="18">
        <v>-1.0441794536662239</v>
      </c>
    </row>
    <row r="2453" spans="1:13" x14ac:dyDescent="0.45">
      <c r="A2453" t="s">
        <v>2238</v>
      </c>
      <c r="B2453" s="18">
        <v>5.9</v>
      </c>
      <c r="C2453" s="18">
        <v>5.22</v>
      </c>
      <c r="D2453" s="18">
        <v>6.14</v>
      </c>
      <c r="E2453" s="18">
        <v>8.1199999999999992</v>
      </c>
      <c r="F2453" s="18">
        <v>7.89</v>
      </c>
      <c r="G2453" s="18">
        <v>5.5810869200000006</v>
      </c>
      <c r="H2453" s="18">
        <v>6.8611987299999999</v>
      </c>
      <c r="I2453" s="8">
        <v>0.13026819923371671</v>
      </c>
      <c r="J2453" s="8">
        <v>-3.9087947882736063E-2</v>
      </c>
      <c r="K2453" s="8">
        <v>-0.27339901477832501</v>
      </c>
      <c r="L2453" s="8">
        <v>-0.25221799746514573</v>
      </c>
      <c r="M2453" s="18">
        <v>-0.43443676089249011</v>
      </c>
    </row>
    <row r="2454" spans="1:13" x14ac:dyDescent="0.45">
      <c r="A2454" t="s">
        <v>693</v>
      </c>
      <c r="B2454" s="18">
        <v>33.9</v>
      </c>
      <c r="C2454" s="18">
        <v>29.16</v>
      </c>
      <c r="D2454" s="18">
        <v>21.07</v>
      </c>
      <c r="E2454" s="18">
        <v>47.16</v>
      </c>
      <c r="F2454" s="18">
        <v>39.369999999999997</v>
      </c>
      <c r="G2454" s="18">
        <v>27.993200000000002</v>
      </c>
      <c r="H2454" s="18">
        <v>34.060499999999998</v>
      </c>
      <c r="I2454" s="8">
        <v>0.16255144032921809</v>
      </c>
      <c r="J2454" s="8">
        <v>0.60892263882297093</v>
      </c>
      <c r="K2454" s="8">
        <v>-0.28117048346055967</v>
      </c>
      <c r="L2454" s="8">
        <v>-0.1389382778765558</v>
      </c>
      <c r="M2454" s="18">
        <v>0.35136531781507352</v>
      </c>
    </row>
    <row r="2455" spans="1:13" x14ac:dyDescent="0.45">
      <c r="A2455" t="s">
        <v>803</v>
      </c>
      <c r="B2455" s="18">
        <v>26.86</v>
      </c>
      <c r="C2455" s="18">
        <v>30.1</v>
      </c>
      <c r="D2455" s="18">
        <v>34.14</v>
      </c>
      <c r="E2455" s="18">
        <v>37.54</v>
      </c>
      <c r="F2455" s="18">
        <v>29.12</v>
      </c>
      <c r="G2455" s="18">
        <v>29.555599999999998</v>
      </c>
      <c r="H2455" s="18">
        <v>34.266500000000001</v>
      </c>
      <c r="I2455" s="8">
        <v>-0.1076411960132891</v>
      </c>
      <c r="J2455" s="8">
        <v>-0.21323960164030459</v>
      </c>
      <c r="K2455" s="8">
        <v>-0.28449653702717098</v>
      </c>
      <c r="L2455" s="8">
        <v>-7.7609890109890167E-2</v>
      </c>
      <c r="M2455" s="18">
        <v>-0.68298722479065499</v>
      </c>
    </row>
    <row r="2456" spans="1:13" x14ac:dyDescent="0.45">
      <c r="A2456" t="s">
        <v>1237</v>
      </c>
      <c r="B2456" s="18">
        <v>12.6</v>
      </c>
      <c r="C2456" s="18">
        <v>14.8</v>
      </c>
      <c r="D2456" s="18">
        <v>15.83</v>
      </c>
      <c r="E2456" s="18">
        <v>17.649999999999999</v>
      </c>
      <c r="F2456" s="18">
        <v>22.4</v>
      </c>
      <c r="G2456" s="18">
        <v>14.591200000000001</v>
      </c>
      <c r="H2456" s="18">
        <v>17.137049999999999</v>
      </c>
      <c r="I2456" s="8">
        <v>-0.14864864864864871</v>
      </c>
      <c r="J2456" s="8">
        <v>-0.2040429564118762</v>
      </c>
      <c r="K2456" s="8">
        <v>-0.28611898016997162</v>
      </c>
      <c r="L2456" s="8">
        <v>-0.4375</v>
      </c>
      <c r="M2456" s="18">
        <v>-1.0763105852304959</v>
      </c>
    </row>
    <row r="2457" spans="1:13" x14ac:dyDescent="0.45">
      <c r="A2457" t="s">
        <v>856</v>
      </c>
      <c r="B2457" s="18">
        <v>170.88</v>
      </c>
      <c r="C2457" s="18">
        <v>162.22999999999999</v>
      </c>
      <c r="D2457" s="18">
        <v>132.71</v>
      </c>
      <c r="E2457" s="18">
        <v>240.46</v>
      </c>
      <c r="F2457" s="18">
        <v>346.33</v>
      </c>
      <c r="G2457" s="18">
        <v>159.05160000000001</v>
      </c>
      <c r="H2457" s="18">
        <v>213.82095000000001</v>
      </c>
      <c r="I2457" s="8">
        <v>5.3319361400480769E-2</v>
      </c>
      <c r="J2457" s="8">
        <v>0.28761962173159522</v>
      </c>
      <c r="K2457" s="8">
        <v>-0.28936205605921977</v>
      </c>
      <c r="L2457" s="8">
        <v>-0.50659775358761872</v>
      </c>
      <c r="M2457" s="18">
        <v>-0.45502082651476261</v>
      </c>
    </row>
    <row r="2458" spans="1:13" x14ac:dyDescent="0.45">
      <c r="A2458" t="s">
        <v>1446</v>
      </c>
      <c r="B2458" s="18">
        <v>30.42</v>
      </c>
      <c r="C2458" s="18">
        <v>26.99</v>
      </c>
      <c r="D2458" s="18">
        <v>37.31</v>
      </c>
      <c r="E2458" s="18">
        <v>42.92</v>
      </c>
      <c r="F2458" s="18">
        <v>63.08</v>
      </c>
      <c r="G2458" s="18">
        <v>28.678000000000001</v>
      </c>
      <c r="H2458" s="18">
        <v>45.509549999999997</v>
      </c>
      <c r="I2458" s="8">
        <v>0.12708410522415711</v>
      </c>
      <c r="J2458" s="8">
        <v>-0.18466898954703839</v>
      </c>
      <c r="K2458" s="8">
        <v>-0.29123951537744641</v>
      </c>
      <c r="L2458" s="8">
        <v>-0.51775523145212432</v>
      </c>
      <c r="M2458" s="18">
        <v>-0.86657963115245196</v>
      </c>
    </row>
    <row r="2459" spans="1:13" x14ac:dyDescent="0.45">
      <c r="A2459" t="s">
        <v>58</v>
      </c>
      <c r="B2459" s="18">
        <v>174.82</v>
      </c>
      <c r="C2459" s="18">
        <v>165.69</v>
      </c>
      <c r="D2459" s="18">
        <v>238.52</v>
      </c>
      <c r="E2459" s="18">
        <v>247.61</v>
      </c>
      <c r="F2459" s="18">
        <v>270.38</v>
      </c>
      <c r="G2459" s="18">
        <v>185.4271</v>
      </c>
      <c r="H2459" s="18">
        <v>280.14217500000001</v>
      </c>
      <c r="I2459" s="8">
        <v>5.510290301164833E-2</v>
      </c>
      <c r="J2459" s="8">
        <v>-0.26706355861143732</v>
      </c>
      <c r="K2459" s="8">
        <v>-0.29397035660918391</v>
      </c>
      <c r="L2459" s="8">
        <v>-0.35342850802574161</v>
      </c>
      <c r="M2459" s="18">
        <v>-0.8593595202347144</v>
      </c>
    </row>
    <row r="2460" spans="1:13" x14ac:dyDescent="0.45">
      <c r="A2460" t="s">
        <v>254</v>
      </c>
      <c r="B2460" s="18">
        <v>281.47000000000003</v>
      </c>
      <c r="C2460" s="18">
        <v>372.86</v>
      </c>
      <c r="D2460" s="18">
        <v>449.98</v>
      </c>
      <c r="E2460" s="18">
        <v>398.85</v>
      </c>
      <c r="F2460" s="18">
        <v>457</v>
      </c>
      <c r="G2460" s="18">
        <v>348.88720000000001</v>
      </c>
      <c r="H2460" s="18">
        <v>422.51825000000002</v>
      </c>
      <c r="I2460" s="8">
        <v>-0.24510540149117629</v>
      </c>
      <c r="J2460" s="8">
        <v>-0.37448331036934968</v>
      </c>
      <c r="K2460" s="8">
        <v>-0.2942961012912122</v>
      </c>
      <c r="L2460" s="8">
        <v>-0.38409190371991242</v>
      </c>
      <c r="M2460" s="18">
        <v>-1.2979767168716509</v>
      </c>
    </row>
    <row r="2461" spans="1:13" x14ac:dyDescent="0.45">
      <c r="A2461" t="s">
        <v>1779</v>
      </c>
      <c r="B2461" s="18">
        <v>0.63570000000000004</v>
      </c>
      <c r="C2461" s="18">
        <v>0.69</v>
      </c>
      <c r="D2461" s="18">
        <v>0.89019999999999999</v>
      </c>
      <c r="E2461" s="18">
        <v>0.90129999999999999</v>
      </c>
      <c r="F2461" s="18">
        <v>1.22</v>
      </c>
      <c r="G2461" s="18">
        <v>0.65951199999999999</v>
      </c>
      <c r="H2461" s="18">
        <v>0.88340149999999995</v>
      </c>
      <c r="I2461" s="8">
        <v>-7.8695652173912944E-2</v>
      </c>
      <c r="J2461" s="8">
        <v>-0.28589081105369568</v>
      </c>
      <c r="K2461" s="8">
        <v>-0.29468545434372567</v>
      </c>
      <c r="L2461" s="8">
        <v>-0.4789344262295081</v>
      </c>
      <c r="M2461" s="18">
        <v>-1.138206343800843</v>
      </c>
    </row>
    <row r="2462" spans="1:13" x14ac:dyDescent="0.45">
      <c r="A2462" t="s">
        <v>1299</v>
      </c>
      <c r="B2462" s="18">
        <v>18.559999999999999</v>
      </c>
      <c r="C2462" s="18">
        <v>21.57</v>
      </c>
      <c r="D2462" s="18">
        <v>26.13</v>
      </c>
      <c r="E2462" s="18">
        <v>26.37</v>
      </c>
      <c r="F2462" s="18">
        <v>13.41</v>
      </c>
      <c r="G2462" s="18">
        <v>21.5044</v>
      </c>
      <c r="H2462" s="18">
        <v>26.08935</v>
      </c>
      <c r="I2462" s="8">
        <v>-0.13954566527584611</v>
      </c>
      <c r="J2462" s="8">
        <v>-0.28970531955606582</v>
      </c>
      <c r="K2462" s="8">
        <v>-0.29616989002654542</v>
      </c>
      <c r="L2462" s="8">
        <v>0.38404175988068601</v>
      </c>
      <c r="M2462" s="18">
        <v>-0.34137911497777129</v>
      </c>
    </row>
    <row r="2463" spans="1:13" x14ac:dyDescent="0.45">
      <c r="A2463" t="s">
        <v>2345</v>
      </c>
      <c r="B2463" s="18">
        <v>2.02</v>
      </c>
      <c r="C2463" s="18">
        <v>2.42</v>
      </c>
      <c r="D2463" s="18">
        <v>3.09</v>
      </c>
      <c r="E2463" s="18">
        <v>2.9</v>
      </c>
      <c r="F2463" s="18">
        <v>6.79</v>
      </c>
      <c r="G2463" s="18">
        <v>2.409494</v>
      </c>
      <c r="H2463" s="18">
        <v>3.4842735</v>
      </c>
      <c r="I2463" s="8">
        <v>-0.16528925619834711</v>
      </c>
      <c r="J2463" s="8">
        <v>-0.34627831715210361</v>
      </c>
      <c r="K2463" s="8">
        <v>-0.30344827586206891</v>
      </c>
      <c r="L2463" s="8">
        <v>-0.70250368188512513</v>
      </c>
      <c r="M2463" s="18">
        <v>-1.517519531097645</v>
      </c>
    </row>
    <row r="2464" spans="1:13" x14ac:dyDescent="0.45">
      <c r="A2464" t="s">
        <v>808</v>
      </c>
      <c r="B2464" s="18">
        <v>1.39</v>
      </c>
      <c r="C2464" s="18">
        <v>1.58</v>
      </c>
      <c r="D2464" s="18">
        <v>1.59</v>
      </c>
      <c r="E2464" s="18">
        <v>2</v>
      </c>
      <c r="F2464" s="18">
        <v>3.33</v>
      </c>
      <c r="G2464" s="18">
        <v>1.5506</v>
      </c>
      <c r="H2464" s="18">
        <v>2.0144500000000001</v>
      </c>
      <c r="I2464" s="8">
        <v>-0.1202531645569621</v>
      </c>
      <c r="J2464" s="8">
        <v>-0.12578616352201269</v>
      </c>
      <c r="K2464" s="8">
        <v>-0.30499999999999999</v>
      </c>
      <c r="L2464" s="8">
        <v>-0.58258258258258255</v>
      </c>
      <c r="M2464" s="18">
        <v>-1.133621910661557</v>
      </c>
    </row>
    <row r="2465" spans="1:13" x14ac:dyDescent="0.45">
      <c r="A2465" t="s">
        <v>1805</v>
      </c>
      <c r="B2465" s="18">
        <v>12.75</v>
      </c>
      <c r="C2465" s="18">
        <v>14.15</v>
      </c>
      <c r="D2465" s="18">
        <v>17.38</v>
      </c>
      <c r="E2465" s="18">
        <v>18.420000000000002</v>
      </c>
      <c r="F2465" s="18">
        <v>18.23</v>
      </c>
      <c r="G2465" s="18">
        <v>14.6152</v>
      </c>
      <c r="H2465" s="18">
        <v>17.24155</v>
      </c>
      <c r="I2465" s="8">
        <v>-9.8939929328621945E-2</v>
      </c>
      <c r="J2465" s="8">
        <v>-0.26639815880322198</v>
      </c>
      <c r="K2465" s="8">
        <v>-0.30781758957654731</v>
      </c>
      <c r="L2465" s="8">
        <v>-0.30060340098738347</v>
      </c>
      <c r="M2465" s="18">
        <v>-0.97375907869577472</v>
      </c>
    </row>
    <row r="2466" spans="1:13" x14ac:dyDescent="0.45">
      <c r="A2466" t="s">
        <v>743</v>
      </c>
      <c r="B2466" s="18">
        <v>4.2</v>
      </c>
      <c r="C2466" s="18">
        <v>4.57</v>
      </c>
      <c r="D2466" s="18">
        <v>4.32</v>
      </c>
      <c r="E2466" s="18">
        <v>6.1</v>
      </c>
      <c r="F2466" s="18">
        <v>8.44</v>
      </c>
      <c r="G2466" s="18">
        <v>4.3963999999999999</v>
      </c>
      <c r="H2466" s="18">
        <v>5.4360999999999997</v>
      </c>
      <c r="I2466" s="8">
        <v>-8.0962800875273522E-2</v>
      </c>
      <c r="J2466" s="8">
        <v>-2.777777777777779E-2</v>
      </c>
      <c r="K2466" s="8">
        <v>-0.31147540983606548</v>
      </c>
      <c r="L2466" s="8">
        <v>-0.50236966824644547</v>
      </c>
      <c r="M2466" s="18">
        <v>-0.92258565673556225</v>
      </c>
    </row>
    <row r="2467" spans="1:13" x14ac:dyDescent="0.45">
      <c r="A2467" t="s">
        <v>1114</v>
      </c>
      <c r="B2467" s="18">
        <v>16.420000000000002</v>
      </c>
      <c r="C2467" s="18">
        <v>17.61</v>
      </c>
      <c r="D2467" s="18">
        <v>25.75</v>
      </c>
      <c r="E2467" s="18">
        <v>24.07</v>
      </c>
      <c r="F2467" s="18">
        <v>22.37</v>
      </c>
      <c r="G2467" s="18">
        <v>21.6068</v>
      </c>
      <c r="H2467" s="18">
        <v>30.257200000000001</v>
      </c>
      <c r="I2467" s="8">
        <v>-6.7575241340147474E-2</v>
      </c>
      <c r="J2467" s="8">
        <v>-0.36233009708737862</v>
      </c>
      <c r="K2467" s="8">
        <v>-0.31782301620274189</v>
      </c>
      <c r="L2467" s="8">
        <v>-0.26598122485471609</v>
      </c>
      <c r="M2467" s="18">
        <v>-1.013709579484984</v>
      </c>
    </row>
    <row r="2468" spans="1:13" x14ac:dyDescent="0.45">
      <c r="A2468" t="s">
        <v>1532</v>
      </c>
      <c r="B2468" s="18">
        <v>29.77</v>
      </c>
      <c r="C2468" s="18">
        <v>30.5</v>
      </c>
      <c r="D2468" s="18">
        <v>43.98</v>
      </c>
      <c r="E2468" s="18">
        <v>43.65</v>
      </c>
      <c r="F2468" s="18">
        <v>57.03</v>
      </c>
      <c r="G2468" s="18">
        <v>31.5366</v>
      </c>
      <c r="H2468" s="18">
        <v>43.131500000000003</v>
      </c>
      <c r="I2468" s="8">
        <v>-2.3934426229508251E-2</v>
      </c>
      <c r="J2468" s="8">
        <v>-0.32310140973169621</v>
      </c>
      <c r="K2468" s="8">
        <v>-0.31798396334478812</v>
      </c>
      <c r="L2468" s="8">
        <v>-0.47799403822549541</v>
      </c>
      <c r="M2468" s="18">
        <v>-1.143013837531488</v>
      </c>
    </row>
    <row r="2469" spans="1:13" x14ac:dyDescent="0.45">
      <c r="A2469" t="s">
        <v>589</v>
      </c>
      <c r="B2469" s="18">
        <v>3.18</v>
      </c>
      <c r="C2469" s="18">
        <v>3.71</v>
      </c>
      <c r="D2469" s="18">
        <v>5.93</v>
      </c>
      <c r="E2469" s="18">
        <v>4.6900000000000004</v>
      </c>
      <c r="F2469" s="18">
        <v>7.31</v>
      </c>
      <c r="G2469" s="18">
        <v>3.753400000000001</v>
      </c>
      <c r="H2469" s="18">
        <v>5.4169500000000008</v>
      </c>
      <c r="I2469" s="8">
        <v>-0.14285714285714279</v>
      </c>
      <c r="J2469" s="8">
        <v>-0.46374367622259688</v>
      </c>
      <c r="K2469" s="8">
        <v>-0.32196162046908322</v>
      </c>
      <c r="L2469" s="8">
        <v>-0.56497948016415867</v>
      </c>
      <c r="M2469" s="18">
        <v>-1.493541919712982</v>
      </c>
    </row>
    <row r="2470" spans="1:13" x14ac:dyDescent="0.45">
      <c r="A2470" t="s">
        <v>2446</v>
      </c>
      <c r="B2470" s="18">
        <v>5.07</v>
      </c>
      <c r="C2470" s="18">
        <v>4.18</v>
      </c>
      <c r="D2470" s="18">
        <v>6.22</v>
      </c>
      <c r="E2470" s="18">
        <v>7.54</v>
      </c>
      <c r="F2470" s="18">
        <v>14.8</v>
      </c>
      <c r="G2470" s="18">
        <v>4.694</v>
      </c>
      <c r="H2470" s="18">
        <v>8.5744499999999988</v>
      </c>
      <c r="I2470" s="8">
        <v>0.2129186602870814</v>
      </c>
      <c r="J2470" s="8">
        <v>-0.18488745980707391</v>
      </c>
      <c r="K2470" s="8">
        <v>-0.32758620689655171</v>
      </c>
      <c r="L2470" s="8">
        <v>-0.65743243243243243</v>
      </c>
      <c r="M2470" s="18">
        <v>-0.95698743884897663</v>
      </c>
    </row>
    <row r="2471" spans="1:13" x14ac:dyDescent="0.45">
      <c r="A2471" t="s">
        <v>783</v>
      </c>
      <c r="B2471" s="18">
        <v>43.88</v>
      </c>
      <c r="C2471" s="18">
        <v>44.18</v>
      </c>
      <c r="D2471" s="18">
        <v>68.069999999999993</v>
      </c>
      <c r="E2471" s="18">
        <v>65.34</v>
      </c>
      <c r="F2471" s="18">
        <v>67.95</v>
      </c>
      <c r="G2471" s="18">
        <v>56.116400000000013</v>
      </c>
      <c r="H2471" s="18">
        <v>78.414100000000005</v>
      </c>
      <c r="I2471" s="8">
        <v>-6.7904028972385344E-3</v>
      </c>
      <c r="J2471" s="8">
        <v>-0.35536947260173352</v>
      </c>
      <c r="K2471" s="8">
        <v>-0.32843587389041939</v>
      </c>
      <c r="L2471" s="8">
        <v>-0.3542310522442973</v>
      </c>
      <c r="M2471" s="18">
        <v>-1.044826801633689</v>
      </c>
    </row>
    <row r="2472" spans="1:13" x14ac:dyDescent="0.45">
      <c r="A2472" t="s">
        <v>483</v>
      </c>
      <c r="B2472" s="18">
        <v>369.92</v>
      </c>
      <c r="C2472" s="18">
        <v>347.92</v>
      </c>
      <c r="D2472" s="18">
        <v>299.51</v>
      </c>
      <c r="E2472" s="18">
        <v>553.08000000000004</v>
      </c>
      <c r="F2472" s="18">
        <v>591.20000000000005</v>
      </c>
      <c r="G2472" s="18">
        <v>312.64819999999997</v>
      </c>
      <c r="H2472" s="18">
        <v>399.57704999999999</v>
      </c>
      <c r="I2472" s="8">
        <v>6.3232927109680315E-2</v>
      </c>
      <c r="J2472" s="8">
        <v>0.23508397048512569</v>
      </c>
      <c r="K2472" s="8">
        <v>-0.3311636652925436</v>
      </c>
      <c r="L2472" s="8">
        <v>-0.37428958051420852</v>
      </c>
      <c r="M2472" s="18">
        <v>-0.407136348211946</v>
      </c>
    </row>
    <row r="2473" spans="1:13" x14ac:dyDescent="0.45">
      <c r="A2473" t="s">
        <v>2266</v>
      </c>
      <c r="B2473" s="18">
        <v>5.97</v>
      </c>
      <c r="C2473" s="18">
        <v>6.09</v>
      </c>
      <c r="D2473" s="18">
        <v>6.28</v>
      </c>
      <c r="E2473" s="18">
        <v>8.9450000000000003</v>
      </c>
      <c r="F2473" s="18">
        <v>8.76</v>
      </c>
      <c r="G2473" s="18">
        <v>6.0884999999999998</v>
      </c>
      <c r="H2473" s="18">
        <v>7.1543910000000004</v>
      </c>
      <c r="I2473" s="8">
        <v>-1.9704433497536918E-2</v>
      </c>
      <c r="J2473" s="8">
        <v>-4.9363057324840809E-2</v>
      </c>
      <c r="K2473" s="8">
        <v>-0.33258803801006148</v>
      </c>
      <c r="L2473" s="8">
        <v>-0.31849315068493161</v>
      </c>
      <c r="M2473" s="18">
        <v>-0.72014867951737083</v>
      </c>
    </row>
    <row r="2474" spans="1:13" x14ac:dyDescent="0.45">
      <c r="A2474" t="s">
        <v>1996</v>
      </c>
      <c r="B2474" s="18">
        <v>21.86</v>
      </c>
      <c r="C2474" s="18">
        <v>24.47</v>
      </c>
      <c r="D2474" s="18">
        <v>30.53</v>
      </c>
      <c r="E2474" s="18">
        <v>32.81</v>
      </c>
      <c r="F2474" s="18"/>
      <c r="G2474" s="18">
        <v>24.062999999999999</v>
      </c>
      <c r="H2474" s="18">
        <v>29.880199999999999</v>
      </c>
      <c r="I2474" s="8">
        <v>-0.10666121781773601</v>
      </c>
      <c r="J2474" s="8">
        <v>-0.28398296757287922</v>
      </c>
      <c r="K2474" s="8">
        <v>-0.33373971350198117</v>
      </c>
      <c r="L2474" s="8"/>
      <c r="M2474" s="18">
        <v>-0.72438389889259636</v>
      </c>
    </row>
    <row r="2475" spans="1:13" x14ac:dyDescent="0.45">
      <c r="A2475" t="s">
        <v>1863</v>
      </c>
      <c r="B2475" s="18">
        <v>7.09</v>
      </c>
      <c r="C2475" s="18">
        <v>10.49</v>
      </c>
      <c r="D2475" s="18">
        <v>11.32</v>
      </c>
      <c r="E2475" s="18">
        <v>10.76</v>
      </c>
      <c r="F2475" s="18">
        <v>16.850000000000001</v>
      </c>
      <c r="G2475" s="18">
        <v>9.3795999999999999</v>
      </c>
      <c r="H2475" s="18">
        <v>11.822900000000001</v>
      </c>
      <c r="I2475" s="8">
        <v>-0.32411820781696848</v>
      </c>
      <c r="J2475" s="8">
        <v>-0.37367491166077738</v>
      </c>
      <c r="K2475" s="8">
        <v>-0.34107806691449821</v>
      </c>
      <c r="L2475" s="8">
        <v>-0.57922848664688431</v>
      </c>
      <c r="M2475" s="18">
        <v>-1.6180996730391279</v>
      </c>
    </row>
    <row r="2476" spans="1:13" x14ac:dyDescent="0.45">
      <c r="A2476" t="s">
        <v>262</v>
      </c>
      <c r="B2476" s="18">
        <v>126.51</v>
      </c>
      <c r="C2476" s="18">
        <v>136.41</v>
      </c>
      <c r="D2476" s="18">
        <v>169.7</v>
      </c>
      <c r="E2476" s="18">
        <v>195.59</v>
      </c>
      <c r="F2476" s="18">
        <v>185.42</v>
      </c>
      <c r="G2476" s="18">
        <v>133.78800000000001</v>
      </c>
      <c r="H2476" s="18">
        <v>179.81549999999999</v>
      </c>
      <c r="I2476" s="8">
        <v>-7.2575324389707485E-2</v>
      </c>
      <c r="J2476" s="8">
        <v>-0.2545079552150854</v>
      </c>
      <c r="K2476" s="8">
        <v>-0.35318779078684998</v>
      </c>
      <c r="L2476" s="8">
        <v>-0.31771114227159958</v>
      </c>
      <c r="M2476" s="18">
        <v>-0.9979822126632425</v>
      </c>
    </row>
    <row r="2477" spans="1:13" x14ac:dyDescent="0.45">
      <c r="A2477" t="s">
        <v>270</v>
      </c>
      <c r="B2477" s="18">
        <v>243.99</v>
      </c>
      <c r="C2477" s="18">
        <v>246.28</v>
      </c>
      <c r="D2477" s="18">
        <v>387.78</v>
      </c>
      <c r="E2477" s="18">
        <v>377.5</v>
      </c>
      <c r="F2477" s="18">
        <v>513.71</v>
      </c>
      <c r="G2477" s="18">
        <v>254.4538</v>
      </c>
      <c r="H2477" s="18">
        <v>397.92475000000002</v>
      </c>
      <c r="I2477" s="8">
        <v>-9.2983595907096817E-3</v>
      </c>
      <c r="J2477" s="8">
        <v>-0.37080303264737741</v>
      </c>
      <c r="K2477" s="8">
        <v>-0.3536688741721854</v>
      </c>
      <c r="L2477" s="8">
        <v>-0.52504331237468604</v>
      </c>
      <c r="M2477" s="18">
        <v>-1.258813578784959</v>
      </c>
    </row>
    <row r="2478" spans="1:13" x14ac:dyDescent="0.45">
      <c r="A2478" t="s">
        <v>941</v>
      </c>
      <c r="B2478" s="18">
        <v>4.6399999999999997</v>
      </c>
      <c r="C2478" s="18">
        <v>3.0550000000000002</v>
      </c>
      <c r="D2478" s="18">
        <v>8.0009999999999994</v>
      </c>
      <c r="E2478" s="18">
        <v>7.19</v>
      </c>
      <c r="F2478" s="18">
        <v>19.899999999999999</v>
      </c>
      <c r="G2478" s="18">
        <v>4.6849600000000002</v>
      </c>
      <c r="H2478" s="18">
        <v>7.4142815000000004</v>
      </c>
      <c r="I2478" s="8">
        <v>0.51882160392798671</v>
      </c>
      <c r="J2478" s="8">
        <v>-0.42007249093863258</v>
      </c>
      <c r="K2478" s="8">
        <v>-0.35465924895688461</v>
      </c>
      <c r="L2478" s="8">
        <v>-0.76683417085427141</v>
      </c>
      <c r="M2478" s="18">
        <v>-1.0227443068218021</v>
      </c>
    </row>
    <row r="2479" spans="1:13" x14ac:dyDescent="0.45">
      <c r="A2479" t="s">
        <v>2512</v>
      </c>
      <c r="B2479" s="18">
        <v>1.95</v>
      </c>
      <c r="C2479" s="18">
        <v>1.96</v>
      </c>
      <c r="D2479" s="18">
        <v>2.59</v>
      </c>
      <c r="E2479" s="18">
        <v>3.08</v>
      </c>
      <c r="F2479" s="18">
        <v>2.82</v>
      </c>
      <c r="G2479" s="18">
        <v>1.9835020000000001</v>
      </c>
      <c r="H2479" s="18">
        <v>2.546569635</v>
      </c>
      <c r="I2479" s="8">
        <v>-5.1020408163264808E-3</v>
      </c>
      <c r="J2479" s="8">
        <v>-0.24710424710424711</v>
      </c>
      <c r="K2479" s="8">
        <v>-0.36688311688311692</v>
      </c>
      <c r="L2479" s="8">
        <v>-0.30851063829787229</v>
      </c>
      <c r="M2479" s="18">
        <v>-0.92760004310156274</v>
      </c>
    </row>
    <row r="2480" spans="1:13" x14ac:dyDescent="0.45">
      <c r="A2480" t="s">
        <v>175</v>
      </c>
      <c r="B2480" s="18">
        <v>38.450000000000003</v>
      </c>
      <c r="C2480" s="18">
        <v>31.06</v>
      </c>
      <c r="D2480" s="18">
        <v>32.520000000000003</v>
      </c>
      <c r="E2480" s="18">
        <v>62.4</v>
      </c>
      <c r="F2480" s="18">
        <v>72.08</v>
      </c>
      <c r="G2480" s="18">
        <v>30.6402</v>
      </c>
      <c r="H2480" s="18">
        <v>49.517949999999999</v>
      </c>
      <c r="I2480" s="8">
        <v>0.23792659368963309</v>
      </c>
      <c r="J2480" s="8">
        <v>0.18234932349323499</v>
      </c>
      <c r="K2480" s="8">
        <v>-0.38381410256410248</v>
      </c>
      <c r="L2480" s="8">
        <v>-0.46656492785793557</v>
      </c>
      <c r="M2480" s="18">
        <v>-0.43010311323917011</v>
      </c>
    </row>
    <row r="2481" spans="1:13" x14ac:dyDescent="0.45">
      <c r="A2481" t="s">
        <v>365</v>
      </c>
      <c r="B2481" s="18">
        <v>202.92</v>
      </c>
      <c r="C2481" s="18">
        <v>181.54</v>
      </c>
      <c r="D2481" s="18">
        <v>228.58</v>
      </c>
      <c r="E2481" s="18">
        <v>330.66</v>
      </c>
      <c r="F2481" s="18">
        <v>330.67</v>
      </c>
      <c r="G2481" s="18">
        <v>176.14160000000001</v>
      </c>
      <c r="H2481" s="18">
        <v>264.56959999999998</v>
      </c>
      <c r="I2481" s="8">
        <v>0.1177701883882341</v>
      </c>
      <c r="J2481" s="8">
        <v>-0.1122582903141133</v>
      </c>
      <c r="K2481" s="8">
        <v>-0.38631827254581752</v>
      </c>
      <c r="L2481" s="8">
        <v>-0.38633683128194268</v>
      </c>
      <c r="M2481" s="18">
        <v>-0.76714320575363948</v>
      </c>
    </row>
    <row r="2482" spans="1:13" x14ac:dyDescent="0.45">
      <c r="A2482" t="s">
        <v>1825</v>
      </c>
      <c r="B2482" s="18">
        <v>47.79</v>
      </c>
      <c r="C2482" s="18">
        <v>53.47</v>
      </c>
      <c r="D2482" s="18">
        <v>60.49</v>
      </c>
      <c r="E2482" s="18">
        <v>78.45</v>
      </c>
      <c r="F2482" s="18">
        <v>86.32</v>
      </c>
      <c r="G2482" s="18">
        <v>52.101999999999997</v>
      </c>
      <c r="H2482" s="18">
        <v>68.627349999999993</v>
      </c>
      <c r="I2482" s="8">
        <v>-0.1062277912848326</v>
      </c>
      <c r="J2482" s="8">
        <v>-0.20995205819143661</v>
      </c>
      <c r="K2482" s="8">
        <v>-0.39082217973231359</v>
      </c>
      <c r="L2482" s="8">
        <v>-0.4463623725671918</v>
      </c>
      <c r="M2482" s="18">
        <v>-1.1533644017757749</v>
      </c>
    </row>
    <row r="2483" spans="1:13" x14ac:dyDescent="0.45">
      <c r="A2483" t="s">
        <v>1806</v>
      </c>
      <c r="B2483" s="18">
        <v>5.29</v>
      </c>
      <c r="C2483" s="18">
        <v>4.7300000000000004</v>
      </c>
      <c r="D2483" s="18">
        <v>8.6904000000000003</v>
      </c>
      <c r="E2483" s="18">
        <v>8.7035999999999998</v>
      </c>
      <c r="F2483" s="18">
        <v>14.28</v>
      </c>
      <c r="G2483" s="18">
        <v>5.4642319999999991</v>
      </c>
      <c r="H2483" s="18">
        <v>9.6017060000000001</v>
      </c>
      <c r="I2483" s="8">
        <v>0.11839323467230441</v>
      </c>
      <c r="J2483" s="8">
        <v>-0.39128233453005612</v>
      </c>
      <c r="K2483" s="8">
        <v>-0.39220552415092602</v>
      </c>
      <c r="L2483" s="8">
        <v>-0.6295518207282913</v>
      </c>
      <c r="M2483" s="18">
        <v>-1.294646444736969</v>
      </c>
    </row>
    <row r="2484" spans="1:13" x14ac:dyDescent="0.45">
      <c r="A2484" t="s">
        <v>1878</v>
      </c>
      <c r="B2484" s="18">
        <v>4.72</v>
      </c>
      <c r="C2484" s="18">
        <v>5.53</v>
      </c>
      <c r="D2484" s="18">
        <v>8.2799999999999994</v>
      </c>
      <c r="E2484" s="18">
        <v>7.77</v>
      </c>
      <c r="F2484" s="18">
        <v>14.68</v>
      </c>
      <c r="G2484" s="18">
        <v>5.4138000000000002</v>
      </c>
      <c r="H2484" s="18">
        <v>8.1418999999999997</v>
      </c>
      <c r="I2484" s="8">
        <v>-0.14647377938517189</v>
      </c>
      <c r="J2484" s="8">
        <v>-0.42995169082125612</v>
      </c>
      <c r="K2484" s="8">
        <v>-0.39253539253539249</v>
      </c>
      <c r="L2484" s="8">
        <v>-0.67847411444141692</v>
      </c>
      <c r="M2484" s="18">
        <v>-1.6474349771832379</v>
      </c>
    </row>
    <row r="2485" spans="1:13" x14ac:dyDescent="0.45">
      <c r="A2485" t="s">
        <v>168</v>
      </c>
      <c r="B2485" s="18">
        <v>44.36</v>
      </c>
      <c r="C2485" s="18">
        <v>61.38</v>
      </c>
      <c r="D2485" s="18">
        <v>66.94</v>
      </c>
      <c r="E2485" s="18">
        <v>73.31</v>
      </c>
      <c r="F2485" s="18">
        <v>73.09</v>
      </c>
      <c r="G2485" s="18">
        <v>56.087000000000003</v>
      </c>
      <c r="H2485" s="18">
        <v>68.7286</v>
      </c>
      <c r="I2485" s="8">
        <v>-0.27728901922450311</v>
      </c>
      <c r="J2485" s="8">
        <v>-0.33731700029877498</v>
      </c>
      <c r="K2485" s="8">
        <v>-0.39489837675624062</v>
      </c>
      <c r="L2485" s="8">
        <v>-0.3930770283212478</v>
      </c>
      <c r="M2485" s="18">
        <v>-1.4025814246007671</v>
      </c>
    </row>
    <row r="2486" spans="1:13" x14ac:dyDescent="0.45">
      <c r="A2486" t="s">
        <v>2184</v>
      </c>
      <c r="B2486" s="18">
        <v>1.97</v>
      </c>
      <c r="C2486" s="18">
        <v>2.0299999999999998</v>
      </c>
      <c r="D2486" s="18">
        <v>2.42</v>
      </c>
      <c r="E2486" s="18">
        <v>3.29</v>
      </c>
      <c r="F2486" s="18">
        <v>2.12</v>
      </c>
      <c r="G2486" s="18">
        <v>2.0533999999999999</v>
      </c>
      <c r="H2486" s="18">
        <v>2.9600499999999998</v>
      </c>
      <c r="I2486" s="8">
        <v>-2.9556650246305379E-2</v>
      </c>
      <c r="J2486" s="8">
        <v>-0.1859504132231404</v>
      </c>
      <c r="K2486" s="8">
        <v>-0.40121580547112468</v>
      </c>
      <c r="L2486" s="8">
        <v>-7.0754716981132115E-2</v>
      </c>
      <c r="M2486" s="18">
        <v>-0.68747758592170261</v>
      </c>
    </row>
    <row r="2487" spans="1:13" x14ac:dyDescent="0.45">
      <c r="A2487" t="s">
        <v>1326</v>
      </c>
      <c r="B2487" s="18">
        <v>59.41</v>
      </c>
      <c r="C2487" s="18">
        <v>59.98</v>
      </c>
      <c r="D2487" s="18">
        <v>87.49</v>
      </c>
      <c r="E2487" s="18">
        <v>99.28</v>
      </c>
      <c r="F2487" s="18">
        <v>193.45</v>
      </c>
      <c r="G2487" s="18">
        <v>65.795600000000007</v>
      </c>
      <c r="H2487" s="18">
        <v>121.0125</v>
      </c>
      <c r="I2487" s="8">
        <v>-9.5031677225742017E-3</v>
      </c>
      <c r="J2487" s="8">
        <v>-0.32095096582466559</v>
      </c>
      <c r="K2487" s="8">
        <v>-0.4015914585012087</v>
      </c>
      <c r="L2487" s="8">
        <v>-0.69289222021194108</v>
      </c>
      <c r="M2487" s="18">
        <v>-1.42493781226039</v>
      </c>
    </row>
    <row r="2488" spans="1:13" x14ac:dyDescent="0.45">
      <c r="A2488" t="s">
        <v>701</v>
      </c>
      <c r="B2488" s="18">
        <v>0.78369999999999995</v>
      </c>
      <c r="C2488" s="18">
        <v>0.89</v>
      </c>
      <c r="D2488" s="18">
        <v>0.96440000000000003</v>
      </c>
      <c r="E2488" s="18">
        <v>1.32</v>
      </c>
      <c r="F2488" s="18">
        <v>1.65</v>
      </c>
      <c r="G2488" s="18">
        <v>0.844746</v>
      </c>
      <c r="H2488" s="18">
        <v>1.2633274999999999</v>
      </c>
      <c r="I2488" s="8">
        <v>-0.119438202247191</v>
      </c>
      <c r="J2488" s="8">
        <v>-0.18737038573206141</v>
      </c>
      <c r="K2488" s="8">
        <v>-0.40628787878787892</v>
      </c>
      <c r="L2488" s="8">
        <v>-0.52503030303030296</v>
      </c>
      <c r="M2488" s="18">
        <v>-1.2381267697974341</v>
      </c>
    </row>
    <row r="2489" spans="1:13" x14ac:dyDescent="0.45">
      <c r="A2489" t="s">
        <v>1829</v>
      </c>
      <c r="B2489" s="18">
        <v>2.87</v>
      </c>
      <c r="C2489" s="18">
        <v>3.07</v>
      </c>
      <c r="D2489" s="18">
        <v>3.91</v>
      </c>
      <c r="E2489" s="18">
        <v>4.93</v>
      </c>
      <c r="F2489" s="18">
        <v>4.3006000000000002</v>
      </c>
      <c r="G2489" s="18">
        <v>3.056292</v>
      </c>
      <c r="H2489" s="18">
        <v>4.0030320000000001</v>
      </c>
      <c r="I2489" s="8">
        <v>-6.5146579804560178E-2</v>
      </c>
      <c r="J2489" s="8">
        <v>-0.26598465473145783</v>
      </c>
      <c r="K2489" s="8">
        <v>-0.41784989858012173</v>
      </c>
      <c r="L2489" s="8">
        <v>-0.33265125796400508</v>
      </c>
      <c r="M2489" s="18">
        <v>-1.0816323910801451</v>
      </c>
    </row>
    <row r="2490" spans="1:13" x14ac:dyDescent="0.45">
      <c r="A2490" t="s">
        <v>1540</v>
      </c>
      <c r="B2490" s="18">
        <v>6.32</v>
      </c>
      <c r="C2490" s="18">
        <v>7.36</v>
      </c>
      <c r="D2490" s="18">
        <v>9.5</v>
      </c>
      <c r="E2490" s="18">
        <v>11.11</v>
      </c>
      <c r="F2490" s="18"/>
      <c r="G2490" s="18">
        <v>7.6158000000000001</v>
      </c>
      <c r="H2490" s="18">
        <v>12.74535</v>
      </c>
      <c r="I2490" s="8">
        <v>-0.14130434782608689</v>
      </c>
      <c r="J2490" s="8">
        <v>-0.33473684210526311</v>
      </c>
      <c r="K2490" s="8">
        <v>-0.43114311431143099</v>
      </c>
      <c r="L2490" s="8"/>
      <c r="M2490" s="18">
        <v>-0.90718430424278107</v>
      </c>
    </row>
    <row r="2491" spans="1:13" x14ac:dyDescent="0.45">
      <c r="A2491" t="s">
        <v>1473</v>
      </c>
      <c r="B2491" s="18">
        <v>78.540000000000006</v>
      </c>
      <c r="C2491" s="18">
        <v>81.47</v>
      </c>
      <c r="D2491" s="18">
        <v>139.25</v>
      </c>
      <c r="E2491" s="18">
        <v>141.41</v>
      </c>
      <c r="F2491" s="18">
        <v>214.93</v>
      </c>
      <c r="G2491" s="18">
        <v>86.713999999999999</v>
      </c>
      <c r="H2491" s="18">
        <v>141.36949999999999</v>
      </c>
      <c r="I2491" s="8">
        <v>-3.5964158585982453E-2</v>
      </c>
      <c r="J2491" s="8">
        <v>-0.43597845601436258</v>
      </c>
      <c r="K2491" s="8">
        <v>-0.44459373453079692</v>
      </c>
      <c r="L2491" s="8">
        <v>-0.63457870004187411</v>
      </c>
      <c r="M2491" s="18">
        <v>-1.5511150491730159</v>
      </c>
    </row>
    <row r="2492" spans="1:13" x14ac:dyDescent="0.45">
      <c r="A2492" t="s">
        <v>704</v>
      </c>
      <c r="B2492" s="18">
        <v>8.32</v>
      </c>
      <c r="C2492" s="18">
        <v>9.25</v>
      </c>
      <c r="D2492" s="18">
        <v>15.54</v>
      </c>
      <c r="E2492" s="18">
        <v>15.01</v>
      </c>
      <c r="F2492" s="18">
        <v>11.13</v>
      </c>
      <c r="G2492" s="18">
        <v>12.0558</v>
      </c>
      <c r="H2492" s="18">
        <v>17.351749999999999</v>
      </c>
      <c r="I2492" s="8">
        <v>-0.1005405405405405</v>
      </c>
      <c r="J2492" s="8">
        <v>-0.4646074646074646</v>
      </c>
      <c r="K2492" s="8">
        <v>-0.44570286475682869</v>
      </c>
      <c r="L2492" s="8">
        <v>-0.25247079964061098</v>
      </c>
      <c r="M2492" s="18">
        <v>-1.263321669545445</v>
      </c>
    </row>
    <row r="2493" spans="1:13" x14ac:dyDescent="0.45">
      <c r="A2493" t="s">
        <v>1028</v>
      </c>
      <c r="B2493" s="18">
        <v>8.94</v>
      </c>
      <c r="C2493" s="18">
        <v>9.93</v>
      </c>
      <c r="D2493" s="18">
        <v>14.09</v>
      </c>
      <c r="E2493" s="18">
        <v>16.96</v>
      </c>
      <c r="F2493" s="18">
        <v>25.37</v>
      </c>
      <c r="G2493" s="18">
        <v>11.2746</v>
      </c>
      <c r="H2493" s="18">
        <v>19.034099999999999</v>
      </c>
      <c r="I2493" s="8">
        <v>-9.969788519637468E-2</v>
      </c>
      <c r="J2493" s="8">
        <v>-0.36550745209368352</v>
      </c>
      <c r="K2493" s="8">
        <v>-0.47287735849056611</v>
      </c>
      <c r="L2493" s="8">
        <v>-0.64761529365392201</v>
      </c>
      <c r="M2493" s="18">
        <v>-1.585697989434546</v>
      </c>
    </row>
    <row r="2494" spans="1:13" x14ac:dyDescent="0.45">
      <c r="A2494" t="s">
        <v>2232</v>
      </c>
      <c r="B2494" s="18">
        <v>9.44</v>
      </c>
      <c r="C2494" s="18">
        <v>8.74</v>
      </c>
      <c r="D2494" s="18">
        <v>39</v>
      </c>
      <c r="E2494" s="18">
        <v>18.2</v>
      </c>
      <c r="F2494" s="18">
        <v>26.75</v>
      </c>
      <c r="G2494" s="18">
        <v>10.35394</v>
      </c>
      <c r="H2494" s="18">
        <v>20.330324999999998</v>
      </c>
      <c r="I2494" s="8">
        <v>8.0091533180777885E-2</v>
      </c>
      <c r="J2494" s="8">
        <v>-0.75794871794871799</v>
      </c>
      <c r="K2494" s="8">
        <v>-0.48131868131868127</v>
      </c>
      <c r="L2494" s="8">
        <v>-0.64710280373831774</v>
      </c>
      <c r="M2494" s="18">
        <v>-1.8062786698249389</v>
      </c>
    </row>
    <row r="2495" spans="1:13" x14ac:dyDescent="0.45">
      <c r="A2495" t="s">
        <v>2214</v>
      </c>
      <c r="B2495" s="18">
        <v>2.1800000000000002</v>
      </c>
      <c r="C2495" s="18">
        <v>2.04</v>
      </c>
      <c r="D2495" s="18">
        <v>8.2100000000000009</v>
      </c>
      <c r="E2495" s="18">
        <v>4.3600000000000003</v>
      </c>
      <c r="F2495" s="18">
        <v>13.5</v>
      </c>
      <c r="G2495" s="18">
        <v>1.928002</v>
      </c>
      <c r="H2495" s="18">
        <v>4.9941754999999999</v>
      </c>
      <c r="I2495" s="8">
        <v>6.8627450980392135E-2</v>
      </c>
      <c r="J2495" s="8">
        <v>-0.73447015834348361</v>
      </c>
      <c r="K2495" s="8">
        <v>-0.5</v>
      </c>
      <c r="L2495" s="8">
        <v>-0.83851851851851844</v>
      </c>
      <c r="M2495" s="18">
        <v>-2.0043612258816101</v>
      </c>
    </row>
    <row r="2496" spans="1:13" x14ac:dyDescent="0.45">
      <c r="A2496" t="s">
        <v>806</v>
      </c>
      <c r="B2496" s="18">
        <v>34.79</v>
      </c>
      <c r="C2496" s="18">
        <v>37.71</v>
      </c>
      <c r="D2496" s="18">
        <v>58.29</v>
      </c>
      <c r="E2496" s="18">
        <v>69.67</v>
      </c>
      <c r="F2496" s="18">
        <v>62.12</v>
      </c>
      <c r="G2496" s="18">
        <v>39.279400000000003</v>
      </c>
      <c r="H2496" s="18">
        <v>61.278899999999993</v>
      </c>
      <c r="I2496" s="8">
        <v>-7.7433041633519051E-2</v>
      </c>
      <c r="J2496" s="8">
        <v>-0.40315663063990392</v>
      </c>
      <c r="K2496" s="8">
        <v>-0.50064590210994697</v>
      </c>
      <c r="L2496" s="8">
        <v>-0.43995492594977459</v>
      </c>
      <c r="M2496" s="18">
        <v>-1.421190500333144</v>
      </c>
    </row>
    <row r="2497" spans="1:13" x14ac:dyDescent="0.45">
      <c r="A2497" t="s">
        <v>2262</v>
      </c>
      <c r="B2497" s="18">
        <v>4.9800000000000004</v>
      </c>
      <c r="C2497" s="18">
        <v>5.9</v>
      </c>
      <c r="D2497" s="18">
        <v>10.41</v>
      </c>
      <c r="E2497" s="18">
        <v>10.83</v>
      </c>
      <c r="F2497" s="18">
        <v>7.34</v>
      </c>
      <c r="G2497" s="18">
        <v>7.6643999999999997</v>
      </c>
      <c r="H2497" s="18">
        <v>12.317600000000001</v>
      </c>
      <c r="I2497" s="8">
        <v>-0.15593220338983049</v>
      </c>
      <c r="J2497" s="8">
        <v>-0.52161383285302598</v>
      </c>
      <c r="K2497" s="8">
        <v>-0.54016620498614953</v>
      </c>
      <c r="L2497" s="8">
        <v>-0.32152588555858308</v>
      </c>
      <c r="M2497" s="18">
        <v>-1.539238126787589</v>
      </c>
    </row>
    <row r="2498" spans="1:13" x14ac:dyDescent="0.45">
      <c r="A2498" t="s">
        <v>953</v>
      </c>
      <c r="B2498" s="18">
        <v>6.54</v>
      </c>
      <c r="C2498" s="18">
        <v>7.13</v>
      </c>
      <c r="D2498" s="18">
        <v>6.59</v>
      </c>
      <c r="E2498" s="18">
        <v>15.85</v>
      </c>
      <c r="F2498" s="18">
        <v>21.76</v>
      </c>
      <c r="G2498" s="18">
        <v>7.0184000000000006</v>
      </c>
      <c r="H2498" s="18">
        <v>12.9762</v>
      </c>
      <c r="I2498" s="8">
        <v>-8.2748948106591835E-2</v>
      </c>
      <c r="J2498" s="8">
        <v>-7.587253414264028E-3</v>
      </c>
      <c r="K2498" s="8">
        <v>-0.58738170347003149</v>
      </c>
      <c r="L2498" s="8">
        <v>-0.69944852941176472</v>
      </c>
      <c r="M2498" s="18">
        <v>-1.377166434402652</v>
      </c>
    </row>
    <row r="2499" spans="1:13" x14ac:dyDescent="0.45">
      <c r="A2499" t="s">
        <v>2156</v>
      </c>
      <c r="B2499" s="18">
        <v>7.77</v>
      </c>
      <c r="C2499" s="18">
        <v>8.68</v>
      </c>
      <c r="D2499" s="18">
        <v>13.71</v>
      </c>
      <c r="E2499" s="18">
        <v>19.45</v>
      </c>
      <c r="F2499" s="18">
        <v>34.299999999999997</v>
      </c>
      <c r="G2499" s="18">
        <v>9.2742000000000004</v>
      </c>
      <c r="H2499" s="18">
        <v>18.437249999999999</v>
      </c>
      <c r="I2499" s="8">
        <v>-0.1048387096774194</v>
      </c>
      <c r="J2499" s="8">
        <v>-0.43326039387308551</v>
      </c>
      <c r="K2499" s="8">
        <v>-0.60051413881748072</v>
      </c>
      <c r="L2499" s="8">
        <v>-0.77346938775510199</v>
      </c>
      <c r="M2499" s="18">
        <v>-1.912082630123088</v>
      </c>
    </row>
    <row r="2500" spans="1:13" x14ac:dyDescent="0.45">
      <c r="A2500" t="s">
        <v>1614</v>
      </c>
      <c r="B2500" s="18">
        <v>7.88</v>
      </c>
      <c r="C2500" s="18">
        <v>9.5299999999999994</v>
      </c>
      <c r="D2500" s="18">
        <v>7.98</v>
      </c>
      <c r="E2500" s="18">
        <v>21.305700000000002</v>
      </c>
      <c r="F2500" s="18">
        <v>27.09</v>
      </c>
      <c r="G2500" s="18">
        <v>8.4741999999999997</v>
      </c>
      <c r="H2500" s="18">
        <v>14.538119500000001</v>
      </c>
      <c r="I2500" s="8">
        <v>-0.17313746065057711</v>
      </c>
      <c r="J2500" s="8">
        <v>-1.253132832080206E-2</v>
      </c>
      <c r="K2500" s="8">
        <v>-0.63014592339139297</v>
      </c>
      <c r="L2500" s="8">
        <v>-0.70911775562938351</v>
      </c>
      <c r="M2500" s="18">
        <v>-1.5249324679921561</v>
      </c>
    </row>
    <row r="2501" spans="1:13" x14ac:dyDescent="0.45">
      <c r="A2501" t="s">
        <v>1003</v>
      </c>
      <c r="B2501" s="18">
        <v>1.58</v>
      </c>
      <c r="C2501" s="18">
        <v>1.9</v>
      </c>
      <c r="D2501" s="18">
        <v>2.98</v>
      </c>
      <c r="E2501" s="18">
        <v>4.59</v>
      </c>
      <c r="F2501" s="18">
        <v>3.55</v>
      </c>
      <c r="G2501" s="18">
        <v>2.0318000000000001</v>
      </c>
      <c r="H2501" s="18">
        <v>4.4079000000000006</v>
      </c>
      <c r="I2501" s="8">
        <v>-0.16842105263157889</v>
      </c>
      <c r="J2501" s="8">
        <v>-0.46979865771812079</v>
      </c>
      <c r="K2501" s="8">
        <v>-0.65577342047930287</v>
      </c>
      <c r="L2501" s="8">
        <v>-0.55492957746478866</v>
      </c>
      <c r="M2501" s="18">
        <v>-1.8489227082937909</v>
      </c>
    </row>
    <row r="2502" spans="1:13" x14ac:dyDescent="0.45">
      <c r="A2502" t="s">
        <v>1788</v>
      </c>
      <c r="B2502" s="18">
        <v>12.38</v>
      </c>
      <c r="C2502" s="18">
        <v>12.94</v>
      </c>
      <c r="D2502" s="18">
        <v>14.88</v>
      </c>
      <c r="E2502" s="18">
        <v>39.21</v>
      </c>
      <c r="F2502" s="18"/>
      <c r="G2502" s="18">
        <v>13.0382</v>
      </c>
      <c r="H2502" s="18"/>
      <c r="I2502" s="8">
        <v>-4.3276661514683012E-2</v>
      </c>
      <c r="J2502" s="8">
        <v>-0.168010752688172</v>
      </c>
      <c r="K2502" s="8">
        <v>-0.68426421831165518</v>
      </c>
      <c r="L2502" s="8"/>
      <c r="M2502" s="18">
        <v>-0.8955516325145102</v>
      </c>
    </row>
    <row r="2503" spans="1:13" x14ac:dyDescent="0.45">
      <c r="A2503" t="s">
        <v>1568</v>
      </c>
      <c r="B2503" s="18">
        <v>0.6</v>
      </c>
      <c r="C2503" s="18">
        <v>1.77</v>
      </c>
      <c r="D2503" s="18">
        <v>2.94</v>
      </c>
      <c r="E2503" s="18">
        <v>2.82</v>
      </c>
      <c r="F2503" s="18">
        <v>7.3010000000000002</v>
      </c>
      <c r="G2503" s="18">
        <v>1.5559890199999999</v>
      </c>
      <c r="H2503" s="18">
        <v>2.9922292549999998</v>
      </c>
      <c r="I2503" s="8">
        <v>-0.66101694915254239</v>
      </c>
      <c r="J2503" s="8">
        <v>-0.79591836734693877</v>
      </c>
      <c r="K2503" s="8">
        <v>-0.78723404255319152</v>
      </c>
      <c r="L2503" s="8">
        <v>-0.91781947678400222</v>
      </c>
      <c r="M2503" s="18">
        <v>-3.161988835836675</v>
      </c>
    </row>
    <row r="2504" spans="1:13" x14ac:dyDescent="0.45">
      <c r="A2504" t="s">
        <v>565</v>
      </c>
      <c r="B2504" s="18">
        <v>1.0900000000000001</v>
      </c>
      <c r="C2504" s="18">
        <v>1.1499999999999999</v>
      </c>
      <c r="D2504" s="18">
        <v>2.31</v>
      </c>
      <c r="E2504" s="18">
        <v>5.36</v>
      </c>
      <c r="F2504" s="18">
        <v>3.21</v>
      </c>
      <c r="G2504" s="18">
        <v>1.17757</v>
      </c>
      <c r="H2504" s="18">
        <v>2.6309425000000002</v>
      </c>
      <c r="I2504" s="8">
        <v>-5.2173913043478071E-2</v>
      </c>
      <c r="J2504" s="8">
        <v>-0.52813852813852813</v>
      </c>
      <c r="K2504" s="8">
        <v>-0.79664179104477606</v>
      </c>
      <c r="L2504" s="8">
        <v>-0.66043613707165105</v>
      </c>
      <c r="M2504" s="18">
        <v>-2.037390369298433</v>
      </c>
    </row>
    <row r="2505" spans="1:13" x14ac:dyDescent="0.45">
      <c r="A2505" t="s">
        <v>524</v>
      </c>
      <c r="B2505" s="18">
        <v>18.86</v>
      </c>
      <c r="C2505" s="18">
        <v>15.12</v>
      </c>
      <c r="D2505" s="18">
        <v>13.25</v>
      </c>
      <c r="E2505" s="18"/>
      <c r="F2505" s="18"/>
      <c r="G2505" s="18">
        <v>14.785</v>
      </c>
      <c r="H2505" s="18"/>
      <c r="I2505" s="8">
        <v>0.24735449735449741</v>
      </c>
      <c r="J2505" s="8">
        <v>0.42339622641509428</v>
      </c>
      <c r="K2505" s="8"/>
      <c r="L2505" s="8"/>
      <c r="M2505" s="18">
        <v>0.67075072376959177</v>
      </c>
    </row>
    <row r="2506" spans="1:13" x14ac:dyDescent="0.45">
      <c r="A2506" t="s">
        <v>543</v>
      </c>
      <c r="B2506" s="18">
        <v>49.62</v>
      </c>
      <c r="C2506" s="18">
        <v>51.27</v>
      </c>
      <c r="D2506" s="18"/>
      <c r="E2506" s="18"/>
      <c r="F2506" s="18"/>
      <c r="G2506" s="18"/>
      <c r="H2506" s="18"/>
      <c r="I2506" s="8">
        <v>-3.2182562902282157E-2</v>
      </c>
      <c r="J2506" s="8"/>
      <c r="K2506" s="8"/>
      <c r="L2506" s="8"/>
      <c r="M2506" s="18">
        <v>-3.2182562902282157E-2</v>
      </c>
    </row>
    <row r="2507" spans="1:13" x14ac:dyDescent="0.45">
      <c r="A2507" t="s">
        <v>571</v>
      </c>
      <c r="B2507" s="18">
        <v>36.68</v>
      </c>
      <c r="C2507" s="18">
        <v>36.6</v>
      </c>
      <c r="D2507" s="18">
        <v>30.01</v>
      </c>
      <c r="E2507" s="18"/>
      <c r="F2507" s="18"/>
      <c r="G2507" s="18">
        <v>34.192599999999999</v>
      </c>
      <c r="H2507" s="18"/>
      <c r="I2507" s="8">
        <v>2.1857923497268228E-3</v>
      </c>
      <c r="J2507" s="8">
        <v>0.22225924691769411</v>
      </c>
      <c r="K2507" s="8"/>
      <c r="L2507" s="8"/>
      <c r="M2507" s="18">
        <v>0.2244450392674209</v>
      </c>
    </row>
    <row r="2508" spans="1:13" x14ac:dyDescent="0.45">
      <c r="A2508" t="s">
        <v>575</v>
      </c>
      <c r="B2508" s="18">
        <v>23.91</v>
      </c>
      <c r="C2508" s="18">
        <v>19.54</v>
      </c>
      <c r="D2508" s="18">
        <v>17.239999999999998</v>
      </c>
      <c r="E2508" s="18"/>
      <c r="F2508" s="18"/>
      <c r="G2508" s="18">
        <v>19.988</v>
      </c>
      <c r="H2508" s="18"/>
      <c r="I2508" s="8">
        <v>0.2236438075742069</v>
      </c>
      <c r="J2508" s="8">
        <v>0.38689095127610229</v>
      </c>
      <c r="K2508" s="8"/>
      <c r="L2508" s="8"/>
      <c r="M2508" s="18">
        <v>0.61053475885030917</v>
      </c>
    </row>
    <row r="2509" spans="1:13" x14ac:dyDescent="0.45">
      <c r="A2509" t="s">
        <v>600</v>
      </c>
      <c r="B2509" s="18">
        <v>33.83</v>
      </c>
      <c r="C2509" s="18">
        <v>36.590000000000003</v>
      </c>
      <c r="D2509" s="18"/>
      <c r="E2509" s="18"/>
      <c r="F2509" s="18"/>
      <c r="G2509" s="18">
        <v>35.811799999999998</v>
      </c>
      <c r="H2509" s="18"/>
      <c r="I2509" s="8">
        <v>-7.543044547690636E-2</v>
      </c>
      <c r="J2509" s="8"/>
      <c r="K2509" s="8"/>
      <c r="L2509" s="8"/>
      <c r="M2509" s="18">
        <v>-7.543044547690636E-2</v>
      </c>
    </row>
    <row r="2510" spans="1:13" x14ac:dyDescent="0.45">
      <c r="A2510" t="s">
        <v>609</v>
      </c>
      <c r="B2510" s="18">
        <v>48.95</v>
      </c>
      <c r="C2510" s="18">
        <v>54.38</v>
      </c>
      <c r="D2510" s="18">
        <v>50.98</v>
      </c>
      <c r="E2510" s="18"/>
      <c r="F2510" s="18"/>
      <c r="G2510" s="18">
        <v>50.817599999999999</v>
      </c>
      <c r="H2510" s="18"/>
      <c r="I2510" s="8">
        <v>-9.9852887090842168E-2</v>
      </c>
      <c r="J2510" s="8">
        <v>-3.9819537073361937E-2</v>
      </c>
      <c r="K2510" s="8"/>
      <c r="L2510" s="8"/>
      <c r="M2510" s="18">
        <v>-0.13967242416420411</v>
      </c>
    </row>
    <row r="2511" spans="1:13" x14ac:dyDescent="0.45">
      <c r="A2511" t="s">
        <v>620</v>
      </c>
      <c r="B2511" s="18">
        <v>25.15</v>
      </c>
      <c r="C2511" s="18">
        <v>25.01</v>
      </c>
      <c r="D2511" s="18">
        <v>24.74</v>
      </c>
      <c r="E2511" s="18"/>
      <c r="F2511" s="18"/>
      <c r="G2511" s="18">
        <v>25.103563999999999</v>
      </c>
      <c r="H2511" s="18"/>
      <c r="I2511" s="8">
        <v>5.5977608956416791E-3</v>
      </c>
      <c r="J2511" s="8">
        <v>1.65723524656427E-2</v>
      </c>
      <c r="K2511" s="8"/>
      <c r="L2511" s="8"/>
      <c r="M2511" s="18">
        <v>2.2170113361284379E-2</v>
      </c>
    </row>
    <row r="2512" spans="1:13" x14ac:dyDescent="0.45">
      <c r="A2512" t="s">
        <v>645</v>
      </c>
      <c r="B2512" s="18">
        <v>14.98</v>
      </c>
      <c r="C2512" s="18">
        <v>20.079999999999998</v>
      </c>
      <c r="D2512" s="18"/>
      <c r="E2512" s="18"/>
      <c r="F2512" s="18"/>
      <c r="G2512" s="18">
        <v>21.941800000000001</v>
      </c>
      <c r="H2512" s="18"/>
      <c r="I2512" s="8">
        <v>-0.25398406374501981</v>
      </c>
      <c r="J2512" s="8"/>
      <c r="K2512" s="8"/>
      <c r="L2512" s="8"/>
      <c r="M2512" s="18">
        <v>-0.25398406374501981</v>
      </c>
    </row>
    <row r="2513" spans="1:13" x14ac:dyDescent="0.45">
      <c r="A2513" t="s">
        <v>656</v>
      </c>
      <c r="B2513" s="18">
        <v>17.559999999999999</v>
      </c>
      <c r="C2513" s="18">
        <v>21.6</v>
      </c>
      <c r="D2513" s="18">
        <v>20.92</v>
      </c>
      <c r="E2513" s="18"/>
      <c r="F2513" s="18"/>
      <c r="G2513" s="18">
        <v>20.527799999999999</v>
      </c>
      <c r="H2513" s="18"/>
      <c r="I2513" s="8">
        <v>-0.18703703703703711</v>
      </c>
      <c r="J2513" s="8">
        <v>-0.16061185468451261</v>
      </c>
      <c r="K2513" s="8"/>
      <c r="L2513" s="8"/>
      <c r="M2513" s="18">
        <v>-0.34764889172154972</v>
      </c>
    </row>
    <row r="2514" spans="1:13" x14ac:dyDescent="0.45">
      <c r="A2514" t="s">
        <v>676</v>
      </c>
      <c r="B2514" s="18">
        <v>14.91</v>
      </c>
      <c r="C2514" s="18">
        <v>15.54</v>
      </c>
      <c r="D2514" s="18"/>
      <c r="E2514" s="18"/>
      <c r="F2514" s="18"/>
      <c r="G2514" s="18"/>
      <c r="H2514" s="18"/>
      <c r="I2514" s="8">
        <v>-4.054054054054046E-2</v>
      </c>
      <c r="J2514" s="8"/>
      <c r="K2514" s="8"/>
      <c r="L2514" s="8"/>
      <c r="M2514" s="18">
        <v>-4.054054054054046E-2</v>
      </c>
    </row>
    <row r="2515" spans="1:13" x14ac:dyDescent="0.45">
      <c r="A2515" t="s">
        <v>780</v>
      </c>
      <c r="B2515" s="18">
        <v>67.41</v>
      </c>
      <c r="C2515" s="18">
        <v>53.81</v>
      </c>
      <c r="D2515" s="18"/>
      <c r="E2515" s="18"/>
      <c r="F2515" s="18"/>
      <c r="G2515" s="18"/>
      <c r="H2515" s="18"/>
      <c r="I2515" s="8">
        <v>0.25274112618472389</v>
      </c>
      <c r="J2515" s="8"/>
      <c r="K2515" s="8"/>
      <c r="L2515" s="8"/>
      <c r="M2515" s="18">
        <v>0.25274112618472389</v>
      </c>
    </row>
    <row r="2516" spans="1:13" x14ac:dyDescent="0.45">
      <c r="A2516" t="s">
        <v>812</v>
      </c>
      <c r="B2516" s="18">
        <v>17.37</v>
      </c>
      <c r="C2516" s="18">
        <v>16.77</v>
      </c>
      <c r="D2516" s="18">
        <v>18</v>
      </c>
      <c r="E2516" s="18"/>
      <c r="F2516" s="18"/>
      <c r="G2516" s="18">
        <v>16.3598</v>
      </c>
      <c r="H2516" s="18"/>
      <c r="I2516" s="8">
        <v>3.5778175313059053E-2</v>
      </c>
      <c r="J2516" s="8">
        <v>-3.499999999999992E-2</v>
      </c>
      <c r="K2516" s="8"/>
      <c r="L2516" s="8"/>
      <c r="M2516" s="18">
        <v>7.7817531305912624E-4</v>
      </c>
    </row>
    <row r="2517" spans="1:13" x14ac:dyDescent="0.45">
      <c r="A2517" t="s">
        <v>892</v>
      </c>
      <c r="B2517" s="18">
        <v>8.26</v>
      </c>
      <c r="C2517" s="18">
        <v>8.2899999999999991</v>
      </c>
      <c r="D2517" s="18"/>
      <c r="E2517" s="18"/>
      <c r="F2517" s="18"/>
      <c r="G2517" s="18"/>
      <c r="H2517" s="18"/>
      <c r="I2517" s="8">
        <v>-3.6188178528346882E-3</v>
      </c>
      <c r="J2517" s="8"/>
      <c r="K2517" s="8"/>
      <c r="L2517" s="8"/>
      <c r="M2517" s="18">
        <v>-3.6188178528346882E-3</v>
      </c>
    </row>
    <row r="2518" spans="1:13" x14ac:dyDescent="0.45">
      <c r="A2518" t="s">
        <v>932</v>
      </c>
      <c r="B2518" s="18">
        <v>14.2</v>
      </c>
      <c r="C2518" s="18">
        <v>11.69</v>
      </c>
      <c r="D2518" s="18">
        <v>9.52</v>
      </c>
      <c r="E2518" s="18"/>
      <c r="F2518" s="18"/>
      <c r="G2518" s="18">
        <v>11.173</v>
      </c>
      <c r="H2518" s="18"/>
      <c r="I2518" s="8">
        <v>0.21471343028229259</v>
      </c>
      <c r="J2518" s="8">
        <v>0.49159663865546221</v>
      </c>
      <c r="K2518" s="8"/>
      <c r="L2518" s="8"/>
      <c r="M2518" s="18">
        <v>0.70631006893775483</v>
      </c>
    </row>
    <row r="2519" spans="1:13" x14ac:dyDescent="0.45">
      <c r="A2519" t="s">
        <v>959</v>
      </c>
      <c r="B2519" s="18">
        <v>10.14</v>
      </c>
      <c r="C2519" s="18">
        <v>10.1</v>
      </c>
      <c r="D2519" s="18">
        <v>10.039999999999999</v>
      </c>
      <c r="E2519" s="18"/>
      <c r="F2519" s="18"/>
      <c r="G2519" s="18">
        <v>10.088620000000001</v>
      </c>
      <c r="H2519" s="18"/>
      <c r="I2519" s="8">
        <v>3.9603960396039639E-3</v>
      </c>
      <c r="J2519" s="8">
        <v>9.960159362550014E-3</v>
      </c>
      <c r="K2519" s="8"/>
      <c r="L2519" s="8"/>
      <c r="M2519" s="18">
        <v>1.392055540215398E-2</v>
      </c>
    </row>
    <row r="2520" spans="1:13" x14ac:dyDescent="0.45">
      <c r="A2520" t="s">
        <v>976</v>
      </c>
      <c r="B2520" s="18">
        <v>150.46</v>
      </c>
      <c r="C2520" s="18">
        <v>117.99</v>
      </c>
      <c r="D2520" s="18">
        <v>202.9</v>
      </c>
      <c r="E2520" s="18"/>
      <c r="F2520" s="18"/>
      <c r="G2520" s="18">
        <v>139.5042</v>
      </c>
      <c r="H2520" s="18"/>
      <c r="I2520" s="8">
        <v>0.27519281295025011</v>
      </c>
      <c r="J2520" s="8">
        <v>-0.25845243962543119</v>
      </c>
      <c r="K2520" s="8"/>
      <c r="L2520" s="8"/>
      <c r="M2520" s="18">
        <v>1.6740373324818921E-2</v>
      </c>
    </row>
    <row r="2521" spans="1:13" x14ac:dyDescent="0.45">
      <c r="A2521" t="s">
        <v>988</v>
      </c>
      <c r="B2521" s="18">
        <v>249.49</v>
      </c>
      <c r="C2521" s="18">
        <v>252.68</v>
      </c>
      <c r="D2521" s="18">
        <v>304.67</v>
      </c>
      <c r="E2521" s="18"/>
      <c r="F2521" s="18"/>
      <c r="G2521" s="18">
        <v>257.70420000000001</v>
      </c>
      <c r="H2521" s="18"/>
      <c r="I2521" s="8">
        <v>-1.262466360614212E-2</v>
      </c>
      <c r="J2521" s="8">
        <v>-0.18111399218826929</v>
      </c>
      <c r="K2521" s="8"/>
      <c r="L2521" s="8"/>
      <c r="M2521" s="18">
        <v>-0.19373865579441141</v>
      </c>
    </row>
    <row r="2522" spans="1:13" x14ac:dyDescent="0.45">
      <c r="A2522" t="s">
        <v>1142</v>
      </c>
      <c r="B2522" s="18">
        <v>48.03</v>
      </c>
      <c r="C2522" s="18">
        <v>46.69</v>
      </c>
      <c r="D2522" s="18">
        <v>45.77</v>
      </c>
      <c r="E2522" s="18"/>
      <c r="F2522" s="18"/>
      <c r="G2522" s="18">
        <v>47.278399999999998</v>
      </c>
      <c r="H2522" s="18"/>
      <c r="I2522" s="8">
        <v>2.8699935746412612E-2</v>
      </c>
      <c r="J2522" s="8">
        <v>4.9377321389556528E-2</v>
      </c>
      <c r="K2522" s="8"/>
      <c r="L2522" s="8"/>
      <c r="M2522" s="18">
        <v>7.8077257135969136E-2</v>
      </c>
    </row>
    <row r="2523" spans="1:13" x14ac:dyDescent="0.45">
      <c r="A2523" t="s">
        <v>1407</v>
      </c>
      <c r="B2523" s="18">
        <v>53.81</v>
      </c>
      <c r="C2523" s="18">
        <v>57.31</v>
      </c>
      <c r="D2523" s="18">
        <v>44.14</v>
      </c>
      <c r="E2523" s="18"/>
      <c r="F2523" s="18"/>
      <c r="G2523" s="18">
        <v>54.846400000000003</v>
      </c>
      <c r="H2523" s="18"/>
      <c r="I2523" s="8">
        <v>-6.1071366253707897E-2</v>
      </c>
      <c r="J2523" s="8">
        <v>0.21907566832804731</v>
      </c>
      <c r="K2523" s="8"/>
      <c r="L2523" s="8"/>
      <c r="M2523" s="18">
        <v>0.15800430207433941</v>
      </c>
    </row>
    <row r="2524" spans="1:13" x14ac:dyDescent="0.45">
      <c r="A2524" t="s">
        <v>1493</v>
      </c>
      <c r="B2524" s="18">
        <v>12.85</v>
      </c>
      <c r="C2524" s="18">
        <v>15.58</v>
      </c>
      <c r="D2524" s="18">
        <v>13.33</v>
      </c>
      <c r="E2524" s="18"/>
      <c r="F2524" s="18"/>
      <c r="G2524" s="18">
        <v>14.9536</v>
      </c>
      <c r="H2524" s="18"/>
      <c r="I2524" s="8">
        <v>-0.175224646983312</v>
      </c>
      <c r="J2524" s="8">
        <v>-3.6009002250562687E-2</v>
      </c>
      <c r="K2524" s="8"/>
      <c r="L2524" s="8"/>
      <c r="M2524" s="18">
        <v>-0.21123364923387469</v>
      </c>
    </row>
    <row r="2525" spans="1:13" x14ac:dyDescent="0.45">
      <c r="A2525" t="s">
        <v>1498</v>
      </c>
      <c r="B2525" s="18">
        <v>10.199999999999999</v>
      </c>
      <c r="C2525" s="18">
        <v>10.119999999999999</v>
      </c>
      <c r="D2525" s="18"/>
      <c r="E2525" s="18"/>
      <c r="F2525" s="18"/>
      <c r="G2525" s="18"/>
      <c r="H2525" s="18"/>
      <c r="I2525" s="8">
        <v>7.905138339920903E-3</v>
      </c>
      <c r="J2525" s="8"/>
      <c r="K2525" s="8"/>
      <c r="L2525" s="8"/>
      <c r="M2525" s="18">
        <v>7.905138339920903E-3</v>
      </c>
    </row>
    <row r="2526" spans="1:13" x14ac:dyDescent="0.45">
      <c r="A2526" t="s">
        <v>1539</v>
      </c>
      <c r="B2526" s="18">
        <v>25.98</v>
      </c>
      <c r="C2526" s="18">
        <v>25.86</v>
      </c>
      <c r="D2526" s="18">
        <v>25.6</v>
      </c>
      <c r="E2526" s="18"/>
      <c r="F2526" s="18"/>
      <c r="G2526" s="18">
        <v>25.860199999999999</v>
      </c>
      <c r="H2526" s="18"/>
      <c r="I2526" s="8">
        <v>4.6403712296985136E-3</v>
      </c>
      <c r="J2526" s="8">
        <v>1.4843750000000039E-2</v>
      </c>
      <c r="K2526" s="8"/>
      <c r="L2526" s="8"/>
      <c r="M2526" s="18">
        <v>1.9484121229698559E-2</v>
      </c>
    </row>
    <row r="2527" spans="1:13" x14ac:dyDescent="0.45">
      <c r="A2527" t="s">
        <v>1662</v>
      </c>
      <c r="B2527" s="18">
        <v>12.5</v>
      </c>
      <c r="C2527" s="18">
        <v>14.76</v>
      </c>
      <c r="D2527" s="18"/>
      <c r="E2527" s="18"/>
      <c r="F2527" s="18"/>
      <c r="G2527" s="18">
        <v>14.028600000000001</v>
      </c>
      <c r="H2527" s="18"/>
      <c r="I2527" s="8">
        <v>-0.15311653116531171</v>
      </c>
      <c r="J2527" s="8"/>
      <c r="K2527" s="8"/>
      <c r="L2527" s="8"/>
      <c r="M2527" s="18">
        <v>-0.15311653116531171</v>
      </c>
    </row>
    <row r="2528" spans="1:13" x14ac:dyDescent="0.45">
      <c r="A2528" t="s">
        <v>1670</v>
      </c>
      <c r="B2528" s="18">
        <v>44.67</v>
      </c>
      <c r="C2528" s="18">
        <v>37.299999999999997</v>
      </c>
      <c r="D2528" s="18"/>
      <c r="E2528" s="18"/>
      <c r="F2528" s="18"/>
      <c r="G2528" s="18"/>
      <c r="H2528" s="18"/>
      <c r="I2528" s="8">
        <v>0.19758713136729231</v>
      </c>
      <c r="J2528" s="8"/>
      <c r="K2528" s="8"/>
      <c r="L2528" s="8"/>
      <c r="M2528" s="18">
        <v>0.19758713136729231</v>
      </c>
    </row>
    <row r="2529" spans="1:13" x14ac:dyDescent="0.45">
      <c r="A2529" t="s">
        <v>1846</v>
      </c>
      <c r="B2529" s="18">
        <v>2.02</v>
      </c>
      <c r="C2529" s="18">
        <v>2.0299999999999998</v>
      </c>
      <c r="D2529" s="18"/>
      <c r="E2529" s="18"/>
      <c r="F2529" s="18"/>
      <c r="G2529" s="18">
        <v>2.0144000000000002</v>
      </c>
      <c r="H2529" s="18"/>
      <c r="I2529" s="8">
        <v>-4.9261083743841194E-3</v>
      </c>
      <c r="J2529" s="8"/>
      <c r="K2529" s="8"/>
      <c r="L2529" s="8"/>
      <c r="M2529" s="18">
        <v>-4.9261083743841194E-3</v>
      </c>
    </row>
    <row r="2530" spans="1:13" x14ac:dyDescent="0.45">
      <c r="A2530" t="s">
        <v>1896</v>
      </c>
      <c r="B2530" s="18">
        <v>13.97</v>
      </c>
      <c r="C2530" s="18">
        <v>14.9</v>
      </c>
      <c r="D2530" s="18">
        <v>15.61</v>
      </c>
      <c r="E2530" s="18"/>
      <c r="F2530" s="18"/>
      <c r="G2530" s="18">
        <v>14.6616</v>
      </c>
      <c r="H2530" s="18"/>
      <c r="I2530" s="8">
        <v>-6.2416107382550323E-2</v>
      </c>
      <c r="J2530" s="8">
        <v>-0.10506085842408711</v>
      </c>
      <c r="K2530" s="8"/>
      <c r="L2530" s="8"/>
      <c r="M2530" s="18">
        <v>-0.1674769658066374</v>
      </c>
    </row>
    <row r="2531" spans="1:13" x14ac:dyDescent="0.45">
      <c r="A2531" t="s">
        <v>1940</v>
      </c>
      <c r="B2531" s="18">
        <v>4.8499999999999996</v>
      </c>
      <c r="C2531" s="18">
        <v>6.08</v>
      </c>
      <c r="D2531" s="18"/>
      <c r="E2531" s="18"/>
      <c r="F2531" s="18"/>
      <c r="G2531" s="18">
        <v>5.6531999999999991</v>
      </c>
      <c r="H2531" s="18"/>
      <c r="I2531" s="8">
        <v>-0.20230263157894751</v>
      </c>
      <c r="J2531" s="8"/>
      <c r="K2531" s="8"/>
      <c r="L2531" s="8"/>
      <c r="M2531" s="18">
        <v>-0.20230263157894751</v>
      </c>
    </row>
    <row r="2532" spans="1:13" x14ac:dyDescent="0.45">
      <c r="A2532" t="s">
        <v>1980</v>
      </c>
      <c r="B2532" s="18">
        <v>25.56</v>
      </c>
      <c r="C2532" s="18">
        <v>25.17</v>
      </c>
      <c r="D2532" s="18">
        <v>25.08</v>
      </c>
      <c r="E2532" s="18"/>
      <c r="F2532" s="18"/>
      <c r="G2532" s="18">
        <v>25.414324000000001</v>
      </c>
      <c r="H2532" s="18"/>
      <c r="I2532" s="8">
        <v>1.549463647199034E-2</v>
      </c>
      <c r="J2532" s="8">
        <v>1.913875598086134E-2</v>
      </c>
      <c r="K2532" s="8"/>
      <c r="L2532" s="8"/>
      <c r="M2532" s="18">
        <v>3.4633392452851693E-2</v>
      </c>
    </row>
    <row r="2533" spans="1:13" x14ac:dyDescent="0.45">
      <c r="A2533" t="s">
        <v>395</v>
      </c>
      <c r="B2533" s="18">
        <v>18.5</v>
      </c>
      <c r="C2533" s="18">
        <v>15.2</v>
      </c>
      <c r="D2533" s="18"/>
      <c r="E2533" s="18"/>
      <c r="F2533" s="18"/>
      <c r="G2533" s="18"/>
      <c r="H2533" s="18"/>
      <c r="I2533" s="8">
        <v>0.21710526315789469</v>
      </c>
      <c r="J2533" s="8"/>
      <c r="K2533" s="8"/>
      <c r="L2533" s="8"/>
      <c r="M2533" s="18">
        <v>0.21710526315789469</v>
      </c>
    </row>
    <row r="2534" spans="1:13" x14ac:dyDescent="0.45">
      <c r="A2534" t="s">
        <v>2029</v>
      </c>
      <c r="B2534" s="18">
        <v>10.3</v>
      </c>
      <c r="C2534" s="18">
        <v>10.26</v>
      </c>
      <c r="D2534" s="18">
        <v>10.19</v>
      </c>
      <c r="E2534" s="18"/>
      <c r="F2534" s="18"/>
      <c r="G2534" s="18">
        <v>10.262812</v>
      </c>
      <c r="H2534" s="18"/>
      <c r="I2534" s="8">
        <v>3.8986354775829568E-3</v>
      </c>
      <c r="J2534" s="8">
        <v>1.0794896957801781E-2</v>
      </c>
      <c r="K2534" s="8"/>
      <c r="L2534" s="8"/>
      <c r="M2534" s="18">
        <v>1.4693532435384739E-2</v>
      </c>
    </row>
    <row r="2535" spans="1:13" x14ac:dyDescent="0.45">
      <c r="A2535" t="s">
        <v>2031</v>
      </c>
      <c r="B2535" s="18">
        <v>44.54</v>
      </c>
      <c r="C2535" s="18">
        <v>42.26</v>
      </c>
      <c r="D2535" s="18">
        <v>49.11</v>
      </c>
      <c r="E2535" s="18"/>
      <c r="F2535" s="18"/>
      <c r="G2535" s="18">
        <v>43.272399999999998</v>
      </c>
      <c r="H2535" s="18"/>
      <c r="I2535" s="8">
        <v>5.3951727401798433E-2</v>
      </c>
      <c r="J2535" s="8">
        <v>-9.3056403991040537E-2</v>
      </c>
      <c r="K2535" s="8"/>
      <c r="L2535" s="8"/>
      <c r="M2535" s="18">
        <v>-3.9104676589242097E-2</v>
      </c>
    </row>
    <row r="2536" spans="1:13" x14ac:dyDescent="0.45">
      <c r="A2536" t="s">
        <v>2127</v>
      </c>
      <c r="B2536" s="18">
        <v>14.489599999999999</v>
      </c>
      <c r="C2536" s="18">
        <v>14.11</v>
      </c>
      <c r="D2536" s="18"/>
      <c r="E2536" s="18"/>
      <c r="F2536" s="18"/>
      <c r="G2536" s="18">
        <v>13.400952</v>
      </c>
      <c r="H2536" s="18"/>
      <c r="I2536" s="8">
        <v>2.6902905740609381E-2</v>
      </c>
      <c r="J2536" s="8"/>
      <c r="K2536" s="8"/>
      <c r="L2536" s="8"/>
      <c r="M2536" s="18">
        <v>2.6902905740609381E-2</v>
      </c>
    </row>
    <row r="2537" spans="1:13" x14ac:dyDescent="0.45">
      <c r="A2537" t="s">
        <v>2215</v>
      </c>
      <c r="B2537" s="18">
        <v>10.050000000000001</v>
      </c>
      <c r="C2537" s="18">
        <v>10.0802</v>
      </c>
      <c r="D2537" s="18">
        <v>9.9789999999999992</v>
      </c>
      <c r="E2537" s="18"/>
      <c r="F2537" s="18"/>
      <c r="G2537" s="18">
        <v>10.074476000000001</v>
      </c>
      <c r="H2537" s="18"/>
      <c r="I2537" s="8">
        <v>-2.995972302136773E-3</v>
      </c>
      <c r="J2537" s="8">
        <v>7.1149413768916148E-3</v>
      </c>
      <c r="K2537" s="8"/>
      <c r="L2537" s="8"/>
      <c r="M2537" s="18">
        <v>4.1189690747548413E-3</v>
      </c>
    </row>
    <row r="2538" spans="1:13" x14ac:dyDescent="0.45">
      <c r="A2538" t="s">
        <v>2224</v>
      </c>
      <c r="B2538" s="18">
        <v>25.186900000000001</v>
      </c>
      <c r="C2538" s="18">
        <v>25.096</v>
      </c>
      <c r="D2538" s="18"/>
      <c r="E2538" s="18"/>
      <c r="F2538" s="18"/>
      <c r="G2538" s="18">
        <v>25.117909999999998</v>
      </c>
      <c r="H2538" s="18"/>
      <c r="I2538" s="8">
        <v>3.622091169907637E-3</v>
      </c>
      <c r="J2538" s="8"/>
      <c r="K2538" s="8"/>
      <c r="L2538" s="8"/>
      <c r="M2538" s="18">
        <v>3.622091169907637E-3</v>
      </c>
    </row>
    <row r="2539" spans="1:13" x14ac:dyDescent="0.45">
      <c r="A2539" t="s">
        <v>2300</v>
      </c>
      <c r="B2539" s="18">
        <v>2.12</v>
      </c>
      <c r="C2539" s="18">
        <v>2.77</v>
      </c>
      <c r="D2539" s="18">
        <v>6.28</v>
      </c>
      <c r="E2539" s="18"/>
      <c r="F2539" s="18"/>
      <c r="G2539" s="18">
        <v>3.1707000000000001</v>
      </c>
      <c r="H2539" s="18"/>
      <c r="I2539" s="8">
        <v>-0.23465703971119131</v>
      </c>
      <c r="J2539" s="8">
        <v>-0.66242038216560517</v>
      </c>
      <c r="K2539" s="8"/>
      <c r="L2539" s="8"/>
      <c r="M2539" s="18">
        <v>-0.89707742187679651</v>
      </c>
    </row>
    <row r="2540" spans="1:13" x14ac:dyDescent="0.45">
      <c r="A2540" t="s">
        <v>2363</v>
      </c>
      <c r="B2540" s="18">
        <v>25.7</v>
      </c>
      <c r="C2540" s="18">
        <v>25.47</v>
      </c>
      <c r="D2540" s="18">
        <v>25.81</v>
      </c>
      <c r="E2540" s="18"/>
      <c r="F2540" s="18"/>
      <c r="G2540" s="18">
        <v>25.575230000000001</v>
      </c>
      <c r="H2540" s="18"/>
      <c r="I2540" s="8">
        <v>9.0302316450725506E-3</v>
      </c>
      <c r="J2540" s="8">
        <v>-4.2619139868267366E-3</v>
      </c>
      <c r="K2540" s="8"/>
      <c r="L2540" s="8"/>
      <c r="M2540" s="18">
        <v>4.7683176582458131E-3</v>
      </c>
    </row>
    <row r="2541" spans="1:13" x14ac:dyDescent="0.45">
      <c r="A2541" t="s">
        <v>2438</v>
      </c>
      <c r="B2541" s="18">
        <v>35.69</v>
      </c>
      <c r="C2541" s="18">
        <v>28.6</v>
      </c>
      <c r="D2541" s="18">
        <v>42.33</v>
      </c>
      <c r="E2541" s="18"/>
      <c r="F2541" s="18"/>
      <c r="G2541" s="18">
        <v>31.498999999999999</v>
      </c>
      <c r="H2541" s="18"/>
      <c r="I2541" s="8">
        <v>0.2479020979020978</v>
      </c>
      <c r="J2541" s="8">
        <v>-0.15686274509803921</v>
      </c>
      <c r="K2541" s="8"/>
      <c r="L2541" s="8"/>
      <c r="M2541" s="18">
        <v>9.1039352804058615E-2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tabSelected="1" workbookViewId="0">
      <selection activeCell="S22" sqref="S22"/>
    </sheetView>
  </sheetViews>
  <sheetFormatPr defaultRowHeight="14.25" x14ac:dyDescent="0.45"/>
  <cols>
    <col min="1" max="1" width="6" customWidth="1"/>
    <col min="2" max="2" width="10.46484375" customWidth="1"/>
    <col min="3" max="6" width="9" customWidth="1"/>
    <col min="7" max="7" width="10" customWidth="1"/>
    <col min="8" max="9" width="9" customWidth="1"/>
    <col min="10" max="10" width="11.1328125" style="18" bestFit="1" customWidth="1"/>
    <col min="11" max="11" width="10.1328125" style="18" bestFit="1" customWidth="1"/>
    <col min="12" max="13" width="11.1328125" style="18" bestFit="1" customWidth="1"/>
    <col min="14" max="14" width="13.59765625" bestFit="1" customWidth="1"/>
  </cols>
  <sheetData>
    <row r="1" spans="1:14" x14ac:dyDescent="0.45">
      <c r="A1" s="11" t="s">
        <v>2553</v>
      </c>
      <c r="B1" s="11" t="s">
        <v>0</v>
      </c>
      <c r="C1" s="11" t="s">
        <v>2541</v>
      </c>
      <c r="D1" s="11" t="s">
        <v>2542</v>
      </c>
      <c r="E1" s="11" t="s">
        <v>2543</v>
      </c>
      <c r="F1" s="11" t="s">
        <v>2544</v>
      </c>
      <c r="G1" s="11" t="s">
        <v>2545</v>
      </c>
      <c r="H1" s="11" t="s">
        <v>2546</v>
      </c>
      <c r="I1" s="11" t="s">
        <v>2547</v>
      </c>
      <c r="J1" s="19" t="s">
        <v>2548</v>
      </c>
      <c r="K1" s="19" t="s">
        <v>2549</v>
      </c>
      <c r="L1" s="19" t="s">
        <v>2550</v>
      </c>
      <c r="M1" s="19" t="s">
        <v>2551</v>
      </c>
      <c r="N1" s="11" t="s">
        <v>2552</v>
      </c>
    </row>
    <row r="2" spans="1:14" x14ac:dyDescent="0.45">
      <c r="A2">
        <v>1</v>
      </c>
      <c r="B2" t="s">
        <v>2017</v>
      </c>
      <c r="C2" s="18">
        <v>35.020000000000003</v>
      </c>
      <c r="D2" s="18">
        <v>15.37</v>
      </c>
      <c r="E2" s="18">
        <v>15.99</v>
      </c>
      <c r="F2" s="18">
        <v>6.34</v>
      </c>
      <c r="G2" s="18">
        <v>0.91820000000000002</v>
      </c>
      <c r="H2" s="18">
        <v>19.581199999999999</v>
      </c>
      <c r="I2" s="18">
        <v>12.523899999999999</v>
      </c>
      <c r="J2" s="20">
        <v>1.278464541314249</v>
      </c>
      <c r="K2" s="20">
        <v>1.1901188242651661</v>
      </c>
      <c r="L2" s="20">
        <v>4.5236593059936911</v>
      </c>
      <c r="M2" s="20">
        <v>37.13983881507297</v>
      </c>
      <c r="N2" s="18">
        <v>1103.3020371661521</v>
      </c>
    </row>
    <row r="3" spans="1:14" x14ac:dyDescent="0.45">
      <c r="A3">
        <v>2</v>
      </c>
      <c r="B3" t="s">
        <v>2529</v>
      </c>
      <c r="C3" s="18">
        <v>56.12</v>
      </c>
      <c r="D3" s="18">
        <v>49.98</v>
      </c>
      <c r="E3" s="18">
        <v>5.12</v>
      </c>
      <c r="F3" s="18">
        <v>2.61</v>
      </c>
      <c r="G3" s="18">
        <v>3.91</v>
      </c>
      <c r="H3" s="18">
        <v>39.630200000000002</v>
      </c>
      <c r="I3" s="18">
        <v>12.54895</v>
      </c>
      <c r="J3" s="20">
        <v>0.1228491396558624</v>
      </c>
      <c r="K3" s="20">
        <v>9.9609375</v>
      </c>
      <c r="L3" s="20">
        <v>20.501915708812263</v>
      </c>
      <c r="M3" s="20">
        <v>13.352941176470591</v>
      </c>
      <c r="N3" s="18">
        <v>1098.4660881234679</v>
      </c>
    </row>
    <row r="4" spans="1:14" x14ac:dyDescent="0.45">
      <c r="A4">
        <v>3</v>
      </c>
      <c r="B4" t="s">
        <v>2491</v>
      </c>
      <c r="C4" s="18">
        <v>26.17</v>
      </c>
      <c r="D4" s="18">
        <v>1.25</v>
      </c>
      <c r="E4" s="18">
        <v>2.52</v>
      </c>
      <c r="F4" s="18">
        <v>2.64</v>
      </c>
      <c r="G4" s="18">
        <v>9.15</v>
      </c>
      <c r="H4" s="18">
        <v>4.4429999999999996</v>
      </c>
      <c r="I4" s="18">
        <v>4.0769320000000002</v>
      </c>
      <c r="J4" s="20">
        <v>19.936</v>
      </c>
      <c r="K4" s="20">
        <v>9.3849206349206362</v>
      </c>
      <c r="L4" s="20">
        <v>8.9128787878787872</v>
      </c>
      <c r="M4" s="20">
        <v>1.860109289617486</v>
      </c>
      <c r="N4" s="18">
        <v>1002.347717810423</v>
      </c>
    </row>
    <row r="5" spans="1:14" x14ac:dyDescent="0.45">
      <c r="A5">
        <v>4</v>
      </c>
      <c r="B5" t="s">
        <v>1873</v>
      </c>
      <c r="C5" s="18">
        <v>138.56</v>
      </c>
      <c r="D5" s="18">
        <v>69.790000000000006</v>
      </c>
      <c r="E5" s="18">
        <v>53.52</v>
      </c>
      <c r="F5" s="18">
        <v>19.8</v>
      </c>
      <c r="G5" s="18">
        <v>9.5</v>
      </c>
      <c r="H5" s="18">
        <v>88.512199999999993</v>
      </c>
      <c r="I5" s="18">
        <v>50.78990000000001</v>
      </c>
      <c r="J5" s="20">
        <v>0.98538472560538737</v>
      </c>
      <c r="K5" s="20">
        <v>1.5889387144992519</v>
      </c>
      <c r="L5" s="20">
        <v>5.9979797979797977</v>
      </c>
      <c r="M5" s="20">
        <v>13.58526315789474</v>
      </c>
      <c r="N5" s="18">
        <v>553.93915989947925</v>
      </c>
    </row>
    <row r="6" spans="1:14" x14ac:dyDescent="0.45">
      <c r="A6">
        <v>5</v>
      </c>
      <c r="B6" t="s">
        <v>605</v>
      </c>
      <c r="C6" s="18">
        <v>13.44</v>
      </c>
      <c r="D6" s="18">
        <v>7.11</v>
      </c>
      <c r="E6" s="18">
        <v>5.53</v>
      </c>
      <c r="F6" s="18">
        <v>2.38</v>
      </c>
      <c r="G6" s="18">
        <v>1</v>
      </c>
      <c r="H6" s="18">
        <v>8.6465999999999994</v>
      </c>
      <c r="I6" s="18">
        <v>4.6338999999999997</v>
      </c>
      <c r="J6" s="20">
        <v>0.89029535864978881</v>
      </c>
      <c r="K6" s="20">
        <v>1.4303797468354429</v>
      </c>
      <c r="L6" s="20">
        <v>4.6470588235294121</v>
      </c>
      <c r="M6" s="20">
        <v>12.44</v>
      </c>
      <c r="N6" s="18">
        <v>485.19334822536609</v>
      </c>
    </row>
    <row r="7" spans="1:14" x14ac:dyDescent="0.45">
      <c r="A7">
        <v>6</v>
      </c>
      <c r="B7" t="s">
        <v>726</v>
      </c>
      <c r="C7" s="18">
        <v>86.97</v>
      </c>
      <c r="D7" s="18">
        <v>57.07</v>
      </c>
      <c r="E7" s="18">
        <v>24.3</v>
      </c>
      <c r="F7" s="18">
        <v>16.600000000000001</v>
      </c>
      <c r="G7" s="18">
        <v>10.73</v>
      </c>
      <c r="H7" s="18">
        <v>57.184600000000003</v>
      </c>
      <c r="I7" s="18">
        <v>30.980599999999999</v>
      </c>
      <c r="J7" s="20">
        <v>0.52391799544419126</v>
      </c>
      <c r="K7" s="20">
        <v>2.5790123456790122</v>
      </c>
      <c r="L7" s="20">
        <v>4.2391566265060243</v>
      </c>
      <c r="M7" s="20">
        <v>7.1053122087604841</v>
      </c>
      <c r="N7" s="18">
        <v>361.18497940974282</v>
      </c>
    </row>
    <row r="8" spans="1:14" x14ac:dyDescent="0.45">
      <c r="A8">
        <v>7</v>
      </c>
      <c r="B8" t="s">
        <v>1970</v>
      </c>
      <c r="C8" s="18">
        <v>15.24</v>
      </c>
      <c r="D8" s="18">
        <v>6.53</v>
      </c>
      <c r="E8" s="18">
        <v>6.93</v>
      </c>
      <c r="F8" s="18">
        <v>3.17</v>
      </c>
      <c r="G8" s="18">
        <v>2.2400000000000002</v>
      </c>
      <c r="H8" s="18">
        <v>8.6774000000000004</v>
      </c>
      <c r="I8" s="18">
        <v>5.6415499999999996</v>
      </c>
      <c r="J8" s="20">
        <v>1.3338437978560489</v>
      </c>
      <c r="K8" s="20">
        <v>1.1991341991341991</v>
      </c>
      <c r="L8" s="20">
        <v>3.8075709779179814</v>
      </c>
      <c r="M8" s="20">
        <v>5.8035714285714279</v>
      </c>
      <c r="N8" s="18">
        <v>303.60301008699139</v>
      </c>
    </row>
    <row r="9" spans="1:14" x14ac:dyDescent="0.45">
      <c r="A9">
        <v>8</v>
      </c>
      <c r="B9" t="s">
        <v>1476</v>
      </c>
      <c r="C9" s="18">
        <v>78.989999999999995</v>
      </c>
      <c r="D9" s="18">
        <v>41.8</v>
      </c>
      <c r="E9" s="18">
        <v>44.97</v>
      </c>
      <c r="F9" s="18">
        <v>20.68</v>
      </c>
      <c r="G9" s="18">
        <v>9.1999999999999993</v>
      </c>
      <c r="H9" s="18">
        <v>50.121200000000002</v>
      </c>
      <c r="I9" s="18">
        <v>38.725099999999998</v>
      </c>
      <c r="J9" s="20">
        <v>0.88971291866028712</v>
      </c>
      <c r="K9" s="20">
        <v>0.75650433622414925</v>
      </c>
      <c r="L9" s="20">
        <v>2.8196324951644103</v>
      </c>
      <c r="M9" s="20">
        <v>7.5858695652173909</v>
      </c>
      <c r="N9" s="18">
        <v>301.29298288165597</v>
      </c>
    </row>
    <row r="10" spans="1:14" x14ac:dyDescent="0.45">
      <c r="A10">
        <v>9</v>
      </c>
      <c r="B10" t="s">
        <v>838</v>
      </c>
      <c r="C10" s="18">
        <v>3.13</v>
      </c>
      <c r="D10" s="18">
        <v>2.13</v>
      </c>
      <c r="E10" s="18">
        <v>1.06</v>
      </c>
      <c r="F10" s="18">
        <v>0.32879999999999998</v>
      </c>
      <c r="G10" s="18">
        <v>1.79</v>
      </c>
      <c r="H10" s="18">
        <v>2.125151999999999</v>
      </c>
      <c r="I10" s="18">
        <v>1.2884789999999999</v>
      </c>
      <c r="J10" s="20">
        <v>0.46948356807511749</v>
      </c>
      <c r="K10" s="20">
        <v>1.9528301886792452</v>
      </c>
      <c r="L10" s="20">
        <v>8.5194647201946481</v>
      </c>
      <c r="M10" s="20">
        <v>0.74860335195530725</v>
      </c>
      <c r="N10" s="18">
        <v>292.25954572260792</v>
      </c>
    </row>
    <row r="11" spans="1:14" x14ac:dyDescent="0.45">
      <c r="A11">
        <v>10</v>
      </c>
      <c r="B11" t="s">
        <v>2151</v>
      </c>
      <c r="C11" s="18">
        <v>2.4300000000000002</v>
      </c>
      <c r="D11" s="18">
        <v>1.08</v>
      </c>
      <c r="E11" s="18">
        <v>0.88480000000000003</v>
      </c>
      <c r="F11" s="18">
        <v>0.52380000000000004</v>
      </c>
      <c r="G11" s="18">
        <v>0.59609999999999996</v>
      </c>
      <c r="H11" s="18">
        <v>1.3284</v>
      </c>
      <c r="I11" s="18">
        <v>1.0151085</v>
      </c>
      <c r="J11" s="20">
        <v>1.25</v>
      </c>
      <c r="K11" s="20">
        <v>1.7463833634719712</v>
      </c>
      <c r="L11" s="20">
        <v>3.6391752577319578</v>
      </c>
      <c r="M11" s="20">
        <v>3.076497232008053</v>
      </c>
      <c r="N11" s="18">
        <v>242.80139633029961</v>
      </c>
    </row>
    <row r="12" spans="1:14" x14ac:dyDescent="0.45">
      <c r="A12">
        <v>11</v>
      </c>
      <c r="B12" t="s">
        <v>1819</v>
      </c>
      <c r="C12" s="18">
        <v>3.28</v>
      </c>
      <c r="D12" s="18">
        <v>2.0699999999999998</v>
      </c>
      <c r="E12" s="18">
        <v>0.85970000000000002</v>
      </c>
      <c r="F12" s="18">
        <v>0.72230000000000005</v>
      </c>
      <c r="G12" s="18">
        <v>0.93410000000000004</v>
      </c>
      <c r="H12" s="18">
        <v>2.0308000000000002</v>
      </c>
      <c r="I12" s="18">
        <v>1.398655</v>
      </c>
      <c r="J12" s="20">
        <v>0.5845410628019323</v>
      </c>
      <c r="K12" s="20">
        <v>2.8152844015354193</v>
      </c>
      <c r="L12" s="20">
        <v>3.5410494254464902</v>
      </c>
      <c r="M12" s="20">
        <v>2.5114013488919809</v>
      </c>
      <c r="N12" s="18">
        <v>236.3069059668955</v>
      </c>
    </row>
    <row r="13" spans="1:14" x14ac:dyDescent="0.45">
      <c r="A13">
        <v>12</v>
      </c>
      <c r="B13" t="s">
        <v>772</v>
      </c>
      <c r="C13" s="18">
        <v>28.58</v>
      </c>
      <c r="D13" s="18">
        <v>16.22</v>
      </c>
      <c r="E13" s="18">
        <v>22.52</v>
      </c>
      <c r="F13" s="18">
        <v>6.81</v>
      </c>
      <c r="G13" s="18">
        <v>4.99</v>
      </c>
      <c r="H13" s="18">
        <v>18.845600000000001</v>
      </c>
      <c r="I13" s="18">
        <v>14.397650000000001</v>
      </c>
      <c r="J13" s="20">
        <v>0.76202219482120848</v>
      </c>
      <c r="K13" s="20">
        <v>0.26909413854351683</v>
      </c>
      <c r="L13" s="20">
        <v>3.1967694566813507</v>
      </c>
      <c r="M13" s="20">
        <v>4.727454909819639</v>
      </c>
      <c r="N13" s="18">
        <v>223.8835174966429</v>
      </c>
    </row>
    <row r="14" spans="1:14" x14ac:dyDescent="0.45">
      <c r="A14">
        <v>13</v>
      </c>
      <c r="B14" t="s">
        <v>1510</v>
      </c>
      <c r="C14" s="18">
        <v>11.86</v>
      </c>
      <c r="D14" s="18">
        <v>8.86</v>
      </c>
      <c r="E14" s="18">
        <v>4.2300000000000004</v>
      </c>
      <c r="F14" s="18">
        <v>1.78</v>
      </c>
      <c r="G14" s="18">
        <v>5.61</v>
      </c>
      <c r="H14" s="18">
        <v>8.6707999999999998</v>
      </c>
      <c r="I14" s="18">
        <v>4.6287000000000003</v>
      </c>
      <c r="J14" s="20">
        <v>0.33860045146726869</v>
      </c>
      <c r="K14" s="20">
        <v>1.8037825059101649</v>
      </c>
      <c r="L14" s="20">
        <v>5.6629213483146064</v>
      </c>
      <c r="M14" s="20">
        <v>1.1140819964349371</v>
      </c>
      <c r="N14" s="18">
        <v>222.9846575531744</v>
      </c>
    </row>
    <row r="15" spans="1:14" x14ac:dyDescent="0.45">
      <c r="A15">
        <v>14</v>
      </c>
      <c r="B15" t="s">
        <v>1573</v>
      </c>
      <c r="C15" s="18">
        <v>8.4499999999999993</v>
      </c>
      <c r="D15" s="18">
        <v>2.89</v>
      </c>
      <c r="E15" s="18">
        <v>2.74</v>
      </c>
      <c r="F15" s="18">
        <v>2.56</v>
      </c>
      <c r="G15" s="18">
        <v>2.59</v>
      </c>
      <c r="H15" s="18">
        <v>3.6103999999999998</v>
      </c>
      <c r="I15" s="18">
        <v>3.08385</v>
      </c>
      <c r="J15" s="20">
        <v>1.9238754325259508</v>
      </c>
      <c r="K15" s="20">
        <v>2.0839416058394149</v>
      </c>
      <c r="L15" s="20">
        <v>2.30078125</v>
      </c>
      <c r="M15" s="20">
        <v>2.262548262548262</v>
      </c>
      <c r="N15" s="18">
        <v>214.2786637728407</v>
      </c>
    </row>
    <row r="16" spans="1:14" x14ac:dyDescent="0.45">
      <c r="A16">
        <v>15</v>
      </c>
      <c r="B16" t="s">
        <v>1695</v>
      </c>
      <c r="C16" s="18">
        <v>74.33</v>
      </c>
      <c r="D16" s="18">
        <v>63.05</v>
      </c>
      <c r="E16" s="18">
        <v>31.19</v>
      </c>
      <c r="F16" s="18">
        <v>23.06</v>
      </c>
      <c r="G16" s="18">
        <v>16.96</v>
      </c>
      <c r="H16" s="18">
        <v>68.796399999999991</v>
      </c>
      <c r="I16" s="18">
        <v>37.262</v>
      </c>
      <c r="J16" s="20">
        <v>0.17890563045202221</v>
      </c>
      <c r="K16" s="20">
        <v>1.3831356203911511</v>
      </c>
      <c r="L16" s="20">
        <v>2.2233304423243707</v>
      </c>
      <c r="M16" s="20">
        <v>3.382665094339623</v>
      </c>
      <c r="N16" s="18">
        <v>179.2009196876792</v>
      </c>
    </row>
  </sheetData>
  <pageMargins left="0.75" right="0.75" top="1" bottom="1" header="0.5" footer="0.5"/>
  <pageSetup paperSize="2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AB22" sqref="AB22"/>
    </sheetView>
  </sheetViews>
  <sheetFormatPr defaultRowHeight="14.25" x14ac:dyDescent="0.45"/>
  <cols>
    <col min="1" max="1" width="18.265625" bestFit="1" customWidth="1"/>
    <col min="9" max="9" width="10.3984375" bestFit="1" customWidth="1"/>
  </cols>
  <sheetData>
    <row r="1" spans="1:26" x14ac:dyDescent="0.45">
      <c r="A1" s="12" t="s">
        <v>2554</v>
      </c>
      <c r="B1" s="12" t="s">
        <v>2555</v>
      </c>
      <c r="C1" s="12" t="s">
        <v>2556</v>
      </c>
      <c r="D1" s="12" t="s">
        <v>2557</v>
      </c>
      <c r="E1" s="12" t="s">
        <v>2558</v>
      </c>
      <c r="F1" s="12" t="s">
        <v>2559</v>
      </c>
      <c r="G1" s="12" t="s">
        <v>2560</v>
      </c>
      <c r="H1" s="12" t="s">
        <v>2561</v>
      </c>
      <c r="I1" s="12" t="s">
        <v>2562</v>
      </c>
      <c r="J1" s="12" t="s">
        <v>2563</v>
      </c>
      <c r="K1" s="12" t="s">
        <v>2564</v>
      </c>
      <c r="L1" s="12" t="s">
        <v>2565</v>
      </c>
      <c r="M1" s="12" t="s">
        <v>2566</v>
      </c>
      <c r="N1" s="12" t="s">
        <v>2567</v>
      </c>
      <c r="O1" s="12" t="s">
        <v>2568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45">
      <c r="A2" s="9">
        <v>45884</v>
      </c>
      <c r="B2" t="s">
        <v>375</v>
      </c>
      <c r="C2">
        <v>2</v>
      </c>
      <c r="D2" s="10">
        <v>68.03</v>
      </c>
      <c r="E2">
        <v>62.15</v>
      </c>
      <c r="F2">
        <v>9.5672990000000002</v>
      </c>
      <c r="G2" s="10">
        <v>1301.73</v>
      </c>
      <c r="H2" s="10">
        <v>9.57</v>
      </c>
      <c r="I2" s="9"/>
      <c r="J2" s="10"/>
      <c r="L2" s="10"/>
      <c r="M2" s="10"/>
      <c r="N2" s="10"/>
      <c r="O2" s="8"/>
      <c r="P2" s="10"/>
    </row>
    <row r="3" spans="1:26" x14ac:dyDescent="0.45">
      <c r="A3" s="9">
        <v>45884</v>
      </c>
      <c r="B3" t="s">
        <v>507</v>
      </c>
      <c r="C3">
        <v>2</v>
      </c>
      <c r="D3" s="10">
        <v>75.459999999999994</v>
      </c>
      <c r="E3">
        <v>70.8</v>
      </c>
      <c r="F3">
        <v>9.5672990000000002</v>
      </c>
      <c r="G3" s="10">
        <v>1443.9</v>
      </c>
      <c r="H3" s="10">
        <v>9.57</v>
      </c>
      <c r="I3" s="9"/>
      <c r="J3" s="10"/>
      <c r="L3" s="10"/>
      <c r="M3" s="10"/>
      <c r="N3" s="10"/>
      <c r="O3" s="8"/>
      <c r="P3" s="10"/>
    </row>
    <row r="4" spans="1:26" x14ac:dyDescent="0.45">
      <c r="A4" s="9">
        <v>45884</v>
      </c>
      <c r="B4" t="s">
        <v>228</v>
      </c>
      <c r="C4">
        <v>2</v>
      </c>
      <c r="D4" s="10">
        <v>99.56</v>
      </c>
      <c r="E4">
        <v>85.75</v>
      </c>
      <c r="F4">
        <v>9.5672990000000002</v>
      </c>
      <c r="G4" s="10">
        <v>1905.04</v>
      </c>
      <c r="H4" s="10">
        <v>9.57</v>
      </c>
      <c r="I4" s="9">
        <v>45898</v>
      </c>
      <c r="J4" s="10">
        <v>90.78</v>
      </c>
      <c r="K4">
        <v>9.44</v>
      </c>
      <c r="L4" s="10">
        <v>1714.08</v>
      </c>
      <c r="M4" s="10">
        <v>9.44</v>
      </c>
      <c r="N4" s="10">
        <v>-209.97</v>
      </c>
      <c r="O4" s="8">
        <v>-0.10966720990000001</v>
      </c>
      <c r="P4" s="10"/>
    </row>
    <row r="5" spans="1:26" x14ac:dyDescent="0.45">
      <c r="A5" s="9">
        <v>45884</v>
      </c>
      <c r="B5" t="s">
        <v>199</v>
      </c>
      <c r="C5">
        <v>2</v>
      </c>
      <c r="D5" s="10">
        <v>64.894999999999996</v>
      </c>
      <c r="E5">
        <v>59</v>
      </c>
      <c r="F5">
        <v>9.5672990000000002</v>
      </c>
      <c r="G5" s="10">
        <v>1241.74</v>
      </c>
      <c r="H5" s="10">
        <v>9.57</v>
      </c>
      <c r="I5" s="9"/>
      <c r="J5" s="10"/>
      <c r="L5" s="10"/>
      <c r="M5" s="10"/>
      <c r="N5" s="10"/>
      <c r="O5" s="8"/>
      <c r="P5" s="10"/>
    </row>
    <row r="6" spans="1:26" x14ac:dyDescent="0.45">
      <c r="A6" s="9">
        <v>45884</v>
      </c>
      <c r="B6" t="s">
        <v>118</v>
      </c>
      <c r="C6">
        <v>2</v>
      </c>
      <c r="D6" s="10">
        <v>65.53</v>
      </c>
      <c r="E6">
        <v>59</v>
      </c>
      <c r="F6">
        <v>9.5672990000000002</v>
      </c>
      <c r="G6" s="10">
        <v>1253.8900000000001</v>
      </c>
      <c r="H6" s="10">
        <v>9.57</v>
      </c>
      <c r="I6" s="9"/>
      <c r="J6" s="10"/>
      <c r="L6" s="10"/>
      <c r="M6" s="10"/>
      <c r="N6" s="10"/>
      <c r="O6" s="8"/>
      <c r="P6" s="10"/>
    </row>
    <row r="7" spans="1:26" x14ac:dyDescent="0.45">
      <c r="A7" s="9">
        <v>45894</v>
      </c>
      <c r="B7" t="s">
        <v>726</v>
      </c>
      <c r="C7">
        <v>2</v>
      </c>
      <c r="D7" s="10">
        <v>48.38</v>
      </c>
      <c r="E7">
        <v>44.509599999999999</v>
      </c>
      <c r="F7">
        <v>9.6105459999999994</v>
      </c>
      <c r="G7" s="10">
        <v>929.92</v>
      </c>
      <c r="H7" s="10">
        <v>9.61</v>
      </c>
      <c r="I7" s="9"/>
      <c r="J7" s="10"/>
      <c r="L7" s="10"/>
      <c r="M7" s="10"/>
      <c r="N7" s="10"/>
      <c r="O7" s="8"/>
      <c r="P7" s="10"/>
    </row>
    <row r="8" spans="1:26" x14ac:dyDescent="0.45">
      <c r="A8" s="9">
        <v>45894</v>
      </c>
      <c r="B8" t="s">
        <v>1022</v>
      </c>
      <c r="C8">
        <v>3</v>
      </c>
      <c r="D8" s="10">
        <v>30.82</v>
      </c>
      <c r="E8">
        <v>28.354399999999998</v>
      </c>
      <c r="F8">
        <v>9.6105459999999994</v>
      </c>
      <c r="G8" s="10">
        <v>888.59</v>
      </c>
      <c r="H8" s="10">
        <v>9.61</v>
      </c>
      <c r="I8" s="9"/>
      <c r="J8" s="10"/>
      <c r="L8" s="10"/>
      <c r="M8" s="10"/>
      <c r="N8" s="10"/>
      <c r="O8" s="8"/>
      <c r="P8" s="10"/>
    </row>
    <row r="9" spans="1:26" x14ac:dyDescent="0.45">
      <c r="A9" s="9">
        <v>45894</v>
      </c>
      <c r="B9" t="s">
        <v>2369</v>
      </c>
      <c r="C9">
        <v>2</v>
      </c>
      <c r="D9" s="10">
        <v>38.659999999999997</v>
      </c>
      <c r="E9">
        <v>35.5672</v>
      </c>
      <c r="F9">
        <v>9.6105459999999994</v>
      </c>
      <c r="G9" s="10">
        <v>743.09</v>
      </c>
      <c r="H9" s="10">
        <v>9.61</v>
      </c>
      <c r="I9" s="9"/>
      <c r="J9" s="10"/>
      <c r="L9" s="10"/>
      <c r="M9" s="10"/>
      <c r="N9" s="10"/>
      <c r="O9" s="8"/>
      <c r="P9" s="10"/>
    </row>
    <row r="10" spans="1:26" x14ac:dyDescent="0.45">
      <c r="A10" s="9">
        <v>45894</v>
      </c>
      <c r="B10" t="s">
        <v>2508</v>
      </c>
      <c r="C10">
        <v>3</v>
      </c>
      <c r="D10" s="10">
        <v>30.65</v>
      </c>
      <c r="E10">
        <v>28.198</v>
      </c>
      <c r="F10">
        <v>9.6105459999999994</v>
      </c>
      <c r="G10" s="10">
        <v>883.69</v>
      </c>
      <c r="H10" s="10">
        <v>9.61</v>
      </c>
      <c r="I10" s="9" t="s">
        <v>2571</v>
      </c>
      <c r="J10" s="10">
        <v>28.23</v>
      </c>
      <c r="K10">
        <v>9.3834230000000005</v>
      </c>
      <c r="L10" s="10">
        <v>794.68</v>
      </c>
      <c r="M10" s="10">
        <v>9.3800000000000008</v>
      </c>
      <c r="N10" s="10">
        <v>-108</v>
      </c>
      <c r="O10" s="8">
        <v>-0.1209000735</v>
      </c>
      <c r="P10" s="10"/>
    </row>
    <row r="11" spans="1:26" x14ac:dyDescent="0.45">
      <c r="A11" s="9">
        <v>45894</v>
      </c>
      <c r="B11" t="s">
        <v>2094</v>
      </c>
      <c r="C11">
        <v>5</v>
      </c>
      <c r="D11" s="10">
        <v>20.684999999999999</v>
      </c>
      <c r="E11">
        <v>19.030200000000001</v>
      </c>
      <c r="F11">
        <v>9.6105459999999994</v>
      </c>
      <c r="G11" s="10">
        <v>994.02</v>
      </c>
      <c r="H11" s="10">
        <v>9.61</v>
      </c>
      <c r="I11" s="9"/>
      <c r="J11" s="10"/>
      <c r="L11" s="10"/>
      <c r="M11" s="10"/>
      <c r="N11" s="10"/>
      <c r="O11" s="8"/>
      <c r="P11" s="10"/>
    </row>
    <row r="12" spans="1:26" x14ac:dyDescent="0.45">
      <c r="A12" s="9">
        <v>45894</v>
      </c>
      <c r="B12" t="s">
        <v>1400</v>
      </c>
      <c r="C12">
        <v>2</v>
      </c>
      <c r="D12" s="10">
        <v>53.97</v>
      </c>
      <c r="E12">
        <v>49.6524</v>
      </c>
      <c r="F12">
        <v>9.6105459999999994</v>
      </c>
      <c r="G12" s="10">
        <v>1037.3599999999999</v>
      </c>
      <c r="H12" s="10">
        <v>9.61</v>
      </c>
      <c r="I12" s="9"/>
      <c r="J12" s="10"/>
      <c r="L12" s="10"/>
      <c r="M12" s="10"/>
      <c r="N12" s="10"/>
      <c r="O12" s="8"/>
      <c r="P12" s="10"/>
    </row>
    <row r="13" spans="1:26" x14ac:dyDescent="0.45">
      <c r="A13" s="9">
        <v>45902</v>
      </c>
      <c r="B13" t="s">
        <v>2529</v>
      </c>
      <c r="C13">
        <v>3</v>
      </c>
      <c r="D13" s="10">
        <v>47.49</v>
      </c>
      <c r="E13">
        <v>43.7</v>
      </c>
      <c r="F13">
        <v>9.4784369999999996</v>
      </c>
      <c r="G13" s="10">
        <v>1350.39</v>
      </c>
      <c r="H13" s="10">
        <v>9.48</v>
      </c>
      <c r="I13" s="9"/>
      <c r="J13" s="10"/>
      <c r="L13" s="10"/>
      <c r="M13" s="10"/>
      <c r="N13" s="10"/>
      <c r="O13" s="8"/>
      <c r="P13" s="10"/>
    </row>
    <row r="14" spans="1:26" x14ac:dyDescent="0.45">
      <c r="A14" s="9"/>
      <c r="B14" t="b">
        <v>0</v>
      </c>
      <c r="D14" s="10"/>
      <c r="G14" s="10"/>
      <c r="H14" s="10"/>
      <c r="I14" s="9"/>
      <c r="J14" s="10"/>
      <c r="L14" s="10"/>
      <c r="M14" s="10"/>
      <c r="N14" s="10"/>
      <c r="O14" s="8"/>
      <c r="P14" s="10"/>
    </row>
    <row r="15" spans="1:26" x14ac:dyDescent="0.45">
      <c r="A15" s="9"/>
      <c r="B15" t="b">
        <v>0</v>
      </c>
      <c r="D15" s="10"/>
      <c r="G15" s="10"/>
      <c r="H15" s="10"/>
      <c r="I15" s="9"/>
      <c r="J15" s="10"/>
      <c r="L15" s="10"/>
      <c r="M15" s="10"/>
      <c r="N15" s="10"/>
      <c r="O15" s="8"/>
      <c r="P15" s="10"/>
    </row>
    <row r="16" spans="1:26" x14ac:dyDescent="0.45">
      <c r="A16" s="9"/>
      <c r="B16" t="b">
        <v>0</v>
      </c>
      <c r="D16" s="10"/>
      <c r="G16" s="10"/>
      <c r="H16" s="10"/>
      <c r="I16" s="9"/>
      <c r="J16" s="10"/>
      <c r="L16" s="10"/>
      <c r="M16" s="10"/>
      <c r="N16" s="10"/>
      <c r="O16" s="8"/>
      <c r="P16" s="10"/>
    </row>
    <row r="17" spans="1:16" x14ac:dyDescent="0.45">
      <c r="A17" s="9"/>
      <c r="B17" t="b">
        <v>0</v>
      </c>
      <c r="D17" s="10"/>
      <c r="G17" s="10"/>
      <c r="H17" s="10"/>
      <c r="I17" s="9"/>
      <c r="J17" s="10"/>
      <c r="L17" s="10"/>
      <c r="M17" s="10"/>
      <c r="N17" s="10"/>
      <c r="O17" s="8"/>
      <c r="P17" s="10"/>
    </row>
    <row r="18" spans="1:16" x14ac:dyDescent="0.45">
      <c r="A18" s="9"/>
      <c r="B18" t="b">
        <v>0</v>
      </c>
      <c r="D18" s="10"/>
      <c r="G18" s="10"/>
      <c r="H18" s="10"/>
      <c r="I18" s="9"/>
      <c r="J18" s="10"/>
      <c r="L18" s="10"/>
      <c r="M18" s="10"/>
      <c r="N18" s="10"/>
      <c r="O18" s="8"/>
      <c r="P18" s="10"/>
    </row>
    <row r="19" spans="1:16" x14ac:dyDescent="0.45">
      <c r="A19" s="9"/>
      <c r="B19" t="b">
        <v>0</v>
      </c>
      <c r="D19" s="10"/>
      <c r="G19" s="10"/>
      <c r="H19" s="10"/>
      <c r="I19" s="9"/>
      <c r="J19" s="10"/>
      <c r="L19" s="10"/>
      <c r="M19" s="10"/>
      <c r="N19" s="10"/>
      <c r="O19" s="8"/>
      <c r="P19" s="10"/>
    </row>
    <row r="20" spans="1:16" x14ac:dyDescent="0.45">
      <c r="A20" s="9"/>
      <c r="B20" t="b">
        <v>0</v>
      </c>
      <c r="D20" s="10"/>
      <c r="G20" s="10"/>
      <c r="H20" s="10"/>
      <c r="I20" s="9"/>
      <c r="J20" s="10"/>
      <c r="L20" s="10"/>
      <c r="M20" s="10"/>
      <c r="N20" s="10"/>
      <c r="O20" s="8"/>
      <c r="P20" s="10"/>
    </row>
    <row r="21" spans="1:16" x14ac:dyDescent="0.45">
      <c r="A21" s="9"/>
      <c r="B21" t="b">
        <v>0</v>
      </c>
      <c r="D21" s="10"/>
      <c r="G21" s="10"/>
      <c r="H21" s="10"/>
      <c r="I21" s="9"/>
      <c r="J21" s="10"/>
      <c r="L21" s="10"/>
      <c r="M21" s="10"/>
      <c r="N21" s="10"/>
      <c r="O21" s="8"/>
      <c r="P21" s="10"/>
    </row>
    <row r="22" spans="1:16" x14ac:dyDescent="0.45">
      <c r="A22" s="9"/>
      <c r="B22" t="b">
        <v>0</v>
      </c>
      <c r="D22" s="10"/>
      <c r="G22" s="10"/>
      <c r="H22" s="10"/>
      <c r="I22" s="9"/>
      <c r="J22" s="10"/>
      <c r="L22" s="10"/>
      <c r="M22" s="10"/>
      <c r="N22" s="10"/>
      <c r="O22" s="8"/>
      <c r="P22" s="10"/>
    </row>
    <row r="23" spans="1:16" x14ac:dyDescent="0.45">
      <c r="A23" s="9"/>
      <c r="B23" t="b">
        <v>0</v>
      </c>
      <c r="D23" s="10"/>
      <c r="G23" s="10"/>
      <c r="H23" s="10"/>
      <c r="I23" s="9"/>
      <c r="J23" s="10"/>
      <c r="L23" s="10"/>
      <c r="M23" s="10"/>
      <c r="N23" s="10"/>
      <c r="O23" s="8"/>
      <c r="P23" s="10"/>
    </row>
    <row r="24" spans="1:16" x14ac:dyDescent="0.45">
      <c r="A24" s="9"/>
      <c r="B24" t="b">
        <v>0</v>
      </c>
      <c r="D24" s="10"/>
      <c r="G24" s="10"/>
      <c r="H24" s="10"/>
      <c r="I24" s="9"/>
      <c r="J24" s="10"/>
      <c r="L24" s="10"/>
      <c r="M24" s="10"/>
      <c r="N24" s="10"/>
      <c r="O24" s="8"/>
      <c r="P24" s="10"/>
    </row>
    <row r="25" spans="1:16" x14ac:dyDescent="0.45">
      <c r="A25" s="9"/>
      <c r="B25" t="b">
        <v>0</v>
      </c>
      <c r="D25" s="10"/>
      <c r="G25" s="10"/>
      <c r="H25" s="10"/>
      <c r="I25" s="9"/>
      <c r="J25" s="10"/>
      <c r="L25" s="10"/>
      <c r="M25" s="10"/>
      <c r="N25" s="10"/>
      <c r="O25" s="8"/>
      <c r="P25" s="10"/>
    </row>
    <row r="26" spans="1:16" x14ac:dyDescent="0.45">
      <c r="A26" s="9"/>
      <c r="B26" t="b">
        <v>0</v>
      </c>
      <c r="D26" s="10"/>
      <c r="G26" s="10"/>
      <c r="H26" s="10"/>
      <c r="I26" s="9"/>
      <c r="J26" s="10"/>
      <c r="L26" s="10"/>
      <c r="M26" s="10"/>
      <c r="N26" s="10"/>
      <c r="O26" s="8"/>
      <c r="P26" s="10"/>
    </row>
    <row r="27" spans="1:16" x14ac:dyDescent="0.45">
      <c r="A27" s="9"/>
      <c r="B27" t="b">
        <v>0</v>
      </c>
      <c r="D27" s="10"/>
      <c r="G27" s="10"/>
      <c r="H27" s="10"/>
      <c r="I27" s="9"/>
      <c r="J27" s="10"/>
      <c r="L27" s="10"/>
      <c r="M27" s="10"/>
      <c r="N27" s="10"/>
      <c r="O27" s="8"/>
      <c r="P27" s="10"/>
    </row>
    <row r="28" spans="1:16" x14ac:dyDescent="0.45">
      <c r="A28" s="9"/>
      <c r="B28" t="b">
        <v>0</v>
      </c>
      <c r="D28" s="10"/>
      <c r="G28" s="10"/>
      <c r="H28" s="10"/>
      <c r="I28" s="9"/>
      <c r="J28" s="10"/>
      <c r="L28" s="10"/>
      <c r="M28" s="10"/>
      <c r="N28" s="10"/>
      <c r="O28" s="8"/>
      <c r="P28" s="10"/>
    </row>
    <row r="29" spans="1:16" x14ac:dyDescent="0.45">
      <c r="A29" s="9"/>
      <c r="B29" t="b">
        <v>0</v>
      </c>
      <c r="D29" s="10"/>
      <c r="G29" s="10"/>
      <c r="H29" s="10"/>
      <c r="I29" s="9"/>
      <c r="J29" s="10"/>
      <c r="L29" s="10"/>
      <c r="M29" s="10"/>
      <c r="N29" s="10"/>
      <c r="O29" s="8"/>
      <c r="P29" s="10"/>
    </row>
    <row r="30" spans="1:16" x14ac:dyDescent="0.45">
      <c r="A30" s="9"/>
      <c r="B30" t="b">
        <v>0</v>
      </c>
      <c r="D30" s="10"/>
      <c r="G30" s="10"/>
      <c r="H30" s="10"/>
      <c r="I30" s="9"/>
      <c r="J30" s="10"/>
      <c r="L30" s="10"/>
      <c r="M30" s="10"/>
      <c r="N30" s="10"/>
      <c r="O30" s="8"/>
      <c r="P30" s="10"/>
    </row>
    <row r="31" spans="1:16" x14ac:dyDescent="0.45">
      <c r="A31" s="9"/>
      <c r="B31" t="b">
        <v>0</v>
      </c>
      <c r="D31" s="10"/>
      <c r="G31" s="10"/>
      <c r="H31" s="10"/>
      <c r="I31" s="9"/>
      <c r="J31" s="10"/>
      <c r="L31" s="10"/>
      <c r="M31" s="10"/>
      <c r="N31" s="10"/>
      <c r="O31" s="8"/>
      <c r="P31" s="10"/>
    </row>
    <row r="32" spans="1:16" x14ac:dyDescent="0.45">
      <c r="A32" s="9"/>
      <c r="B32" t="b">
        <v>0</v>
      </c>
      <c r="D32" s="10"/>
      <c r="G32" s="10"/>
      <c r="H32" s="10"/>
      <c r="I32" s="9"/>
      <c r="J32" s="10"/>
      <c r="L32" s="10"/>
      <c r="M32" s="10"/>
      <c r="N32" s="10"/>
      <c r="O32" s="8"/>
      <c r="P32" s="10"/>
    </row>
    <row r="33" spans="1:16" x14ac:dyDescent="0.45">
      <c r="A33" s="9"/>
      <c r="B33" t="b">
        <v>0</v>
      </c>
      <c r="D33" s="10"/>
      <c r="G33" s="10"/>
      <c r="H33" s="10"/>
      <c r="I33" s="9"/>
      <c r="J33" s="10"/>
      <c r="L33" s="10"/>
      <c r="M33" s="10"/>
      <c r="N33" s="10"/>
      <c r="O33" s="8"/>
      <c r="P33" s="10"/>
    </row>
    <row r="34" spans="1:16" x14ac:dyDescent="0.45">
      <c r="A34" s="9"/>
      <c r="B34" t="b">
        <v>0</v>
      </c>
      <c r="D34" s="10"/>
      <c r="G34" s="10"/>
      <c r="H34" s="10"/>
      <c r="I34" s="9"/>
      <c r="J34" s="10"/>
      <c r="L34" s="10"/>
      <c r="M34" s="10"/>
      <c r="N34" s="10"/>
      <c r="O34" s="8"/>
      <c r="P34" s="10"/>
    </row>
    <row r="35" spans="1:16" x14ac:dyDescent="0.45">
      <c r="A35" s="9"/>
      <c r="B35" t="b">
        <v>0</v>
      </c>
      <c r="D35" s="10"/>
      <c r="G35" s="10"/>
      <c r="H35" s="10"/>
      <c r="I35" s="9"/>
      <c r="J35" s="10"/>
      <c r="L35" s="10"/>
      <c r="M35" s="10"/>
      <c r="N35" s="10"/>
      <c r="O35" s="8"/>
      <c r="P35" s="10"/>
    </row>
    <row r="36" spans="1:16" x14ac:dyDescent="0.45">
      <c r="A36" s="9"/>
      <c r="B36" t="b">
        <v>0</v>
      </c>
      <c r="D36" s="10"/>
      <c r="G36" s="10"/>
      <c r="H36" s="10"/>
      <c r="I36" s="9"/>
      <c r="J36" s="10"/>
      <c r="L36" s="10"/>
      <c r="M36" s="10"/>
      <c r="N36" s="10"/>
      <c r="O36" s="8"/>
      <c r="P36" s="10"/>
    </row>
    <row r="37" spans="1:16" x14ac:dyDescent="0.45">
      <c r="A37" s="9"/>
      <c r="B37" t="b">
        <v>0</v>
      </c>
      <c r="D37" s="10"/>
      <c r="G37" s="10"/>
      <c r="H37" s="10"/>
      <c r="I37" s="9"/>
      <c r="J37" s="10"/>
      <c r="L37" s="10"/>
      <c r="M37" s="10"/>
      <c r="N37" s="10"/>
      <c r="O37" s="8"/>
      <c r="P37" s="10"/>
    </row>
    <row r="38" spans="1:16" x14ac:dyDescent="0.45">
      <c r="A38" s="9"/>
      <c r="B38" t="b">
        <v>0</v>
      </c>
      <c r="D38" s="10"/>
      <c r="G38" s="10"/>
      <c r="H38" s="10"/>
      <c r="I38" s="9"/>
      <c r="J38" s="10"/>
      <c r="L38" s="10"/>
      <c r="M38" s="10"/>
      <c r="N38" s="10"/>
      <c r="O38" s="8"/>
      <c r="P38" s="10"/>
    </row>
    <row r="39" spans="1:16" x14ac:dyDescent="0.45">
      <c r="A39" s="9"/>
      <c r="B39" t="b">
        <v>0</v>
      </c>
      <c r="D39" s="10"/>
      <c r="G39" s="10"/>
      <c r="H39" s="10"/>
      <c r="I39" s="9"/>
      <c r="J39" s="10"/>
      <c r="L39" s="10"/>
      <c r="M39" s="10"/>
      <c r="N39" s="10"/>
      <c r="O39" s="8"/>
      <c r="P39" s="10"/>
    </row>
    <row r="40" spans="1:16" x14ac:dyDescent="0.45">
      <c r="A40" s="9"/>
      <c r="B40" t="b">
        <v>0</v>
      </c>
      <c r="D40" s="10"/>
      <c r="G40" s="10"/>
      <c r="H40" s="10"/>
      <c r="I40" s="9"/>
      <c r="J40" s="10"/>
      <c r="L40" s="10"/>
      <c r="M40" s="10"/>
      <c r="N40" s="10"/>
      <c r="O40" s="8"/>
      <c r="P40" s="10"/>
    </row>
    <row r="41" spans="1:16" x14ac:dyDescent="0.45">
      <c r="A41" s="9"/>
      <c r="B41" t="b">
        <v>0</v>
      </c>
      <c r="D41" s="10"/>
      <c r="G41" s="10"/>
      <c r="H41" s="10"/>
      <c r="I41" s="9"/>
      <c r="J41" s="10"/>
      <c r="L41" s="10"/>
      <c r="M41" s="10"/>
      <c r="N41" s="10"/>
      <c r="O41" s="8"/>
      <c r="P41" s="10"/>
    </row>
    <row r="42" spans="1:16" x14ac:dyDescent="0.45">
      <c r="A42" s="9"/>
      <c r="B42" t="b">
        <v>0</v>
      </c>
      <c r="D42" s="10"/>
      <c r="G42" s="10"/>
      <c r="H42" s="10"/>
      <c r="I42" s="9"/>
      <c r="J42" s="10"/>
      <c r="L42" s="10"/>
      <c r="M42" s="10"/>
      <c r="N42" s="10"/>
      <c r="O42" s="8"/>
      <c r="P42" s="10"/>
    </row>
    <row r="43" spans="1:16" x14ac:dyDescent="0.45">
      <c r="A43" s="9"/>
      <c r="B43" t="b">
        <v>0</v>
      </c>
      <c r="D43" s="10"/>
      <c r="G43" s="10"/>
      <c r="H43" s="10"/>
      <c r="I43" s="9"/>
      <c r="J43" s="10"/>
      <c r="L43" s="10"/>
      <c r="M43" s="10"/>
      <c r="N43" s="10"/>
      <c r="O43" s="8"/>
      <c r="P43" s="10"/>
    </row>
    <row r="44" spans="1:16" x14ac:dyDescent="0.45">
      <c r="A44" s="9"/>
      <c r="B44" t="b">
        <v>0</v>
      </c>
      <c r="D44" s="10"/>
      <c r="G44" s="10"/>
      <c r="H44" s="10"/>
      <c r="I44" s="9"/>
      <c r="J44" s="10"/>
      <c r="L44" s="10"/>
      <c r="M44" s="10"/>
      <c r="N44" s="10"/>
      <c r="O44" s="8"/>
      <c r="P44" s="10"/>
    </row>
    <row r="45" spans="1:16" x14ac:dyDescent="0.45">
      <c r="A45" s="9"/>
      <c r="B45" t="b">
        <v>0</v>
      </c>
      <c r="D45" s="10"/>
      <c r="G45" s="10"/>
      <c r="H45" s="10"/>
      <c r="I45" s="9"/>
      <c r="J45" s="10"/>
      <c r="L45" s="10"/>
      <c r="M45" s="10"/>
      <c r="N45" s="10"/>
      <c r="O45" s="8"/>
      <c r="P45" s="10"/>
    </row>
    <row r="46" spans="1:16" x14ac:dyDescent="0.45">
      <c r="A46" s="9"/>
      <c r="B46" t="b">
        <v>0</v>
      </c>
      <c r="D46" s="10"/>
      <c r="G46" s="10"/>
      <c r="H46" s="10"/>
      <c r="I46" s="9"/>
      <c r="J46" s="10"/>
      <c r="L46" s="10"/>
      <c r="M46" s="10"/>
      <c r="N46" s="10"/>
      <c r="O46" s="8"/>
      <c r="P46" s="10"/>
    </row>
    <row r="47" spans="1:16" x14ac:dyDescent="0.45">
      <c r="A47" s="9"/>
      <c r="B47" t="b">
        <v>0</v>
      </c>
      <c r="D47" s="10"/>
      <c r="G47" s="10"/>
      <c r="H47" s="10"/>
      <c r="I47" s="9"/>
      <c r="J47" s="10"/>
      <c r="L47" s="10"/>
      <c r="M47" s="10"/>
      <c r="N47" s="10"/>
      <c r="O47" s="8"/>
      <c r="P47" s="10"/>
    </row>
    <row r="48" spans="1:16" x14ac:dyDescent="0.45">
      <c r="A48" s="9"/>
      <c r="B48" t="b">
        <v>0</v>
      </c>
      <c r="D48" s="10"/>
      <c r="G48" s="10"/>
      <c r="H48" s="10"/>
      <c r="I48" s="9"/>
      <c r="J48" s="10"/>
      <c r="L48" s="10"/>
      <c r="M48" s="10"/>
      <c r="N48" s="10"/>
      <c r="O48" s="8"/>
      <c r="P48" s="10"/>
    </row>
    <row r="49" spans="1:16" x14ac:dyDescent="0.45">
      <c r="A49" s="9"/>
      <c r="B49" t="b">
        <v>0</v>
      </c>
      <c r="D49" s="10"/>
      <c r="G49" s="10"/>
      <c r="H49" s="10"/>
      <c r="I49" s="9"/>
      <c r="J49" s="10"/>
      <c r="L49" s="10"/>
      <c r="M49" s="10"/>
      <c r="N49" s="10"/>
      <c r="O49" s="8"/>
      <c r="P49" s="10"/>
    </row>
    <row r="50" spans="1:16" x14ac:dyDescent="0.45">
      <c r="A50" s="9"/>
      <c r="B50" t="b">
        <v>0</v>
      </c>
      <c r="D50" s="10"/>
      <c r="G50" s="10"/>
      <c r="H50" s="10"/>
      <c r="I50" s="9"/>
      <c r="J50" s="10"/>
      <c r="L50" s="10"/>
      <c r="M50" s="10"/>
      <c r="N50" s="10"/>
      <c r="O50" s="8"/>
      <c r="P50" s="10"/>
    </row>
    <row r="51" spans="1:16" x14ac:dyDescent="0.45">
      <c r="A51" s="9"/>
      <c r="B51" t="b">
        <v>0</v>
      </c>
      <c r="D51" s="10"/>
      <c r="G51" s="10"/>
      <c r="H51" s="10"/>
      <c r="I51" s="9"/>
      <c r="J51" s="10"/>
      <c r="L51" s="10"/>
      <c r="M51" s="10"/>
      <c r="N51" s="10"/>
      <c r="O51" s="8"/>
      <c r="P51" s="10"/>
    </row>
    <row r="52" spans="1:16" x14ac:dyDescent="0.45">
      <c r="A52" s="9"/>
      <c r="B52" t="b">
        <v>0</v>
      </c>
      <c r="D52" s="10"/>
      <c r="G52" s="10"/>
      <c r="H52" s="10"/>
      <c r="I52" s="9"/>
      <c r="J52" s="10"/>
      <c r="L52" s="10"/>
      <c r="M52" s="10"/>
      <c r="N52" s="10"/>
      <c r="O52" s="8"/>
      <c r="P52" s="10"/>
    </row>
    <row r="53" spans="1:16" x14ac:dyDescent="0.45">
      <c r="A53" s="9"/>
      <c r="B53" t="b">
        <v>0</v>
      </c>
      <c r="D53" s="10"/>
      <c r="G53" s="10"/>
      <c r="H53" s="10"/>
      <c r="I53" s="9"/>
      <c r="J53" s="10"/>
      <c r="L53" s="10"/>
      <c r="M53" s="10"/>
      <c r="N53" s="10"/>
      <c r="O53" s="8"/>
      <c r="P53" s="10"/>
    </row>
    <row r="54" spans="1:16" x14ac:dyDescent="0.45">
      <c r="A54" s="9"/>
      <c r="B54" t="b">
        <v>0</v>
      </c>
      <c r="D54" s="10"/>
      <c r="G54" s="10"/>
      <c r="H54" s="10"/>
      <c r="I54" s="9"/>
      <c r="J54" s="10"/>
      <c r="L54" s="10"/>
      <c r="M54" s="10"/>
      <c r="N54" s="10"/>
      <c r="O54" s="8"/>
      <c r="P54" s="10"/>
    </row>
    <row r="55" spans="1:16" x14ac:dyDescent="0.45">
      <c r="A55" s="9"/>
      <c r="B55" t="b">
        <v>0</v>
      </c>
      <c r="D55" s="10"/>
      <c r="G55" s="10"/>
      <c r="H55" s="10"/>
      <c r="I55" s="9"/>
      <c r="J55" s="10"/>
      <c r="L55" s="10"/>
      <c r="M55" s="10"/>
      <c r="N55" s="10"/>
      <c r="O55" s="8"/>
      <c r="P55" s="10"/>
    </row>
    <row r="56" spans="1:16" x14ac:dyDescent="0.45">
      <c r="A56" s="9"/>
      <c r="B56" t="b">
        <v>0</v>
      </c>
      <c r="D56" s="10"/>
      <c r="G56" s="10"/>
      <c r="H56" s="10"/>
      <c r="I56" s="9"/>
      <c r="J56" s="10"/>
      <c r="L56" s="10"/>
      <c r="M56" s="10"/>
      <c r="N56" s="10"/>
      <c r="O56" s="8"/>
      <c r="P56" s="10"/>
    </row>
    <row r="57" spans="1:16" x14ac:dyDescent="0.45">
      <c r="A57" s="9"/>
      <c r="B57" t="b">
        <v>0</v>
      </c>
      <c r="D57" s="10"/>
      <c r="G57" s="10"/>
      <c r="H57" s="10"/>
      <c r="I57" s="9"/>
      <c r="J57" s="10"/>
      <c r="L57" s="10"/>
      <c r="M57" s="10"/>
      <c r="N57" s="10"/>
      <c r="O57" s="8"/>
      <c r="P57" s="10"/>
    </row>
    <row r="58" spans="1:16" x14ac:dyDescent="0.45">
      <c r="A58" s="9"/>
      <c r="B58" t="b">
        <v>0</v>
      </c>
      <c r="D58" s="10"/>
      <c r="G58" s="10"/>
      <c r="H58" s="10"/>
      <c r="I58" s="9"/>
      <c r="J58" s="10"/>
      <c r="L58" s="10"/>
      <c r="M58" s="10"/>
      <c r="N58" s="10"/>
      <c r="O58" s="8"/>
      <c r="P58" s="10"/>
    </row>
    <row r="59" spans="1:16" x14ac:dyDescent="0.45">
      <c r="A59" s="9"/>
      <c r="B59" t="b">
        <v>0</v>
      </c>
      <c r="D59" s="10"/>
      <c r="G59" s="10"/>
      <c r="H59" s="10"/>
      <c r="I59" s="9"/>
      <c r="J59" s="10"/>
      <c r="L59" s="10"/>
      <c r="M59" s="10"/>
      <c r="N59" s="10"/>
      <c r="O59" s="8"/>
      <c r="P59" s="10"/>
    </row>
    <row r="60" spans="1:16" x14ac:dyDescent="0.45">
      <c r="A60" s="9"/>
      <c r="B60" t="b">
        <v>0</v>
      </c>
      <c r="D60" s="10"/>
      <c r="G60" s="10"/>
      <c r="H60" s="10"/>
      <c r="I60" s="9"/>
      <c r="J60" s="10"/>
      <c r="L60" s="10"/>
      <c r="M60" s="10"/>
      <c r="N60" s="10"/>
      <c r="O60" s="8"/>
      <c r="P60" s="10"/>
    </row>
    <row r="61" spans="1:16" x14ac:dyDescent="0.45">
      <c r="A61" s="9"/>
      <c r="B61" t="b">
        <v>0</v>
      </c>
      <c r="D61" s="10"/>
      <c r="G61" s="10"/>
      <c r="H61" s="10"/>
      <c r="I61" s="9"/>
      <c r="J61" s="10"/>
      <c r="L61" s="10"/>
      <c r="M61" s="10"/>
      <c r="N61" s="10"/>
      <c r="O61" s="8"/>
      <c r="P61" s="10"/>
    </row>
    <row r="62" spans="1:16" x14ac:dyDescent="0.45">
      <c r="A62" s="9"/>
      <c r="B62" t="b">
        <v>0</v>
      </c>
      <c r="D62" s="10"/>
      <c r="G62" s="10"/>
      <c r="H62" s="10"/>
      <c r="I62" s="9"/>
      <c r="J62" s="10"/>
      <c r="L62" s="10"/>
      <c r="M62" s="10"/>
      <c r="N62" s="10"/>
      <c r="O62" s="8"/>
      <c r="P62" s="10"/>
    </row>
    <row r="63" spans="1:16" x14ac:dyDescent="0.45">
      <c r="A63" s="9"/>
      <c r="B63" t="b">
        <v>0</v>
      </c>
      <c r="D63" s="10"/>
      <c r="G63" s="10"/>
      <c r="H63" s="10"/>
      <c r="I63" s="9"/>
      <c r="J63" s="10"/>
      <c r="L63" s="10"/>
      <c r="M63" s="10"/>
      <c r="N63" s="10"/>
      <c r="O63" s="8"/>
      <c r="P63" s="10"/>
    </row>
    <row r="64" spans="1:16" x14ac:dyDescent="0.45">
      <c r="A64" s="9"/>
      <c r="B64" t="b">
        <v>0</v>
      </c>
      <c r="D64" s="10"/>
      <c r="G64" s="10"/>
      <c r="H64" s="10"/>
      <c r="I64" s="9"/>
      <c r="J64" s="10"/>
      <c r="L64" s="10"/>
      <c r="M64" s="10"/>
      <c r="N64" s="10"/>
      <c r="O64" s="8"/>
      <c r="P64" s="10"/>
    </row>
    <row r="65" spans="1:16" x14ac:dyDescent="0.45">
      <c r="A65" s="9"/>
      <c r="B65" t="b">
        <v>0</v>
      </c>
      <c r="D65" s="10"/>
      <c r="G65" s="10"/>
      <c r="H65" s="10"/>
      <c r="I65" s="9"/>
      <c r="J65" s="10"/>
      <c r="L65" s="10"/>
      <c r="M65" s="10"/>
      <c r="N65" s="10"/>
      <c r="O65" s="8"/>
      <c r="P65" s="10"/>
    </row>
    <row r="66" spans="1:16" x14ac:dyDescent="0.45">
      <c r="A66" s="9"/>
      <c r="B66" t="b">
        <v>0</v>
      </c>
      <c r="D66" s="10"/>
      <c r="G66" s="10"/>
      <c r="H66" s="10"/>
      <c r="I66" s="9"/>
      <c r="J66" s="10"/>
      <c r="L66" s="10"/>
      <c r="M66" s="10"/>
      <c r="N66" s="10"/>
      <c r="O66" s="8"/>
      <c r="P66" s="10"/>
    </row>
    <row r="67" spans="1:16" x14ac:dyDescent="0.45">
      <c r="A67" s="9"/>
      <c r="B67" t="b">
        <v>0</v>
      </c>
      <c r="D67" s="10"/>
      <c r="G67" s="10"/>
      <c r="H67" s="10"/>
      <c r="I67" s="9"/>
      <c r="J67" s="10"/>
      <c r="L67" s="10"/>
      <c r="M67" s="10"/>
      <c r="N67" s="10"/>
      <c r="O67" s="8"/>
      <c r="P67" s="10"/>
    </row>
    <row r="68" spans="1:16" x14ac:dyDescent="0.45">
      <c r="A68" s="9"/>
      <c r="B68" t="b">
        <v>0</v>
      </c>
      <c r="D68" s="10"/>
      <c r="G68" s="10"/>
      <c r="H68" s="10"/>
      <c r="I68" s="9"/>
      <c r="J68" s="10"/>
      <c r="L68" s="10"/>
      <c r="M68" s="10"/>
      <c r="N68" s="10"/>
      <c r="O68" s="8"/>
      <c r="P68" s="10"/>
    </row>
    <row r="69" spans="1:16" x14ac:dyDescent="0.45">
      <c r="A69" s="9"/>
      <c r="B69" t="b">
        <v>0</v>
      </c>
      <c r="D69" s="10"/>
      <c r="G69" s="10"/>
      <c r="H69" s="10"/>
      <c r="I69" s="9"/>
      <c r="J69" s="10"/>
      <c r="L69" s="10"/>
      <c r="M69" s="10"/>
      <c r="N69" s="10"/>
      <c r="O69" s="8"/>
      <c r="P69" s="10"/>
    </row>
    <row r="70" spans="1:16" x14ac:dyDescent="0.45">
      <c r="A70" s="9"/>
      <c r="B70" t="b">
        <v>0</v>
      </c>
      <c r="D70" s="10"/>
      <c r="G70" s="10"/>
      <c r="H70" s="10"/>
      <c r="I70" s="9"/>
      <c r="J70" s="10"/>
      <c r="L70" s="10"/>
      <c r="M70" s="10"/>
      <c r="N70" s="10"/>
      <c r="O70" s="8"/>
      <c r="P70" s="10"/>
    </row>
    <row r="71" spans="1:16" x14ac:dyDescent="0.45">
      <c r="A71" s="9"/>
      <c r="B71" t="b">
        <v>0</v>
      </c>
      <c r="D71" s="10"/>
      <c r="G71" s="10"/>
      <c r="H71" s="10"/>
      <c r="I71" s="9"/>
      <c r="J71" s="10"/>
      <c r="L71" s="10"/>
      <c r="M71" s="10"/>
      <c r="N71" s="10"/>
      <c r="O71" s="8"/>
      <c r="P71" s="10"/>
    </row>
    <row r="72" spans="1:16" x14ac:dyDescent="0.45">
      <c r="A72" s="9"/>
      <c r="B72" t="b">
        <v>0</v>
      </c>
      <c r="D72" s="10"/>
      <c r="G72" s="10"/>
      <c r="H72" s="10"/>
      <c r="I72" s="9"/>
      <c r="J72" s="10"/>
      <c r="L72" s="10"/>
      <c r="M72" s="10"/>
      <c r="N72" s="10"/>
      <c r="O72" s="8"/>
      <c r="P72" s="10"/>
    </row>
    <row r="73" spans="1:16" x14ac:dyDescent="0.45">
      <c r="A73" s="9"/>
      <c r="B73" t="b">
        <v>0</v>
      </c>
      <c r="D73" s="10"/>
      <c r="G73" s="10"/>
      <c r="H73" s="10"/>
      <c r="I73" s="9"/>
      <c r="J73" s="10"/>
      <c r="L73" s="10"/>
      <c r="M73" s="10"/>
      <c r="N73" s="10"/>
      <c r="O73" s="8"/>
      <c r="P73" s="10"/>
    </row>
    <row r="74" spans="1:16" x14ac:dyDescent="0.45">
      <c r="A74" s="9"/>
      <c r="B74" t="b">
        <v>0</v>
      </c>
      <c r="D74" s="10"/>
      <c r="G74" s="10"/>
      <c r="H74" s="10"/>
      <c r="I74" s="9"/>
      <c r="J74" s="10"/>
      <c r="L74" s="10"/>
      <c r="M74" s="10"/>
      <c r="N74" s="10"/>
      <c r="O74" s="8"/>
      <c r="P74" s="10"/>
    </row>
    <row r="75" spans="1:16" x14ac:dyDescent="0.45">
      <c r="A75" s="9"/>
      <c r="B75" t="b">
        <v>0</v>
      </c>
      <c r="D75" s="10"/>
      <c r="G75" s="10"/>
      <c r="H75" s="10"/>
      <c r="I75" s="9"/>
      <c r="J75" s="10"/>
      <c r="L75" s="10"/>
      <c r="M75" s="10"/>
      <c r="N75" s="10"/>
      <c r="O75" s="8"/>
      <c r="P75" s="10"/>
    </row>
    <row r="76" spans="1:16" x14ac:dyDescent="0.45">
      <c r="A76" s="9"/>
      <c r="B76" t="b">
        <v>0</v>
      </c>
      <c r="D76" s="10"/>
      <c r="G76" s="10"/>
      <c r="H76" s="10"/>
      <c r="I76" s="9"/>
      <c r="J76" s="10"/>
      <c r="L76" s="10"/>
      <c r="M76" s="10"/>
      <c r="N76" s="10"/>
      <c r="O76" s="8"/>
      <c r="P76" s="10"/>
    </row>
    <row r="77" spans="1:16" x14ac:dyDescent="0.45">
      <c r="A77" s="9"/>
      <c r="B77" t="b">
        <v>0</v>
      </c>
      <c r="D77" s="10"/>
      <c r="G77" s="10"/>
      <c r="H77" s="10"/>
      <c r="I77" s="9"/>
      <c r="J77" s="10"/>
      <c r="L77" s="10"/>
      <c r="M77" s="10"/>
      <c r="N77" s="10"/>
      <c r="O77" s="8"/>
      <c r="P77" s="10"/>
    </row>
    <row r="78" spans="1:16" x14ac:dyDescent="0.45">
      <c r="A78" s="9"/>
      <c r="B78" t="b">
        <v>0</v>
      </c>
      <c r="D78" s="10"/>
      <c r="G78" s="10"/>
      <c r="H78" s="10"/>
      <c r="I78" s="9"/>
      <c r="J78" s="10"/>
      <c r="L78" s="10"/>
      <c r="M78" s="10"/>
      <c r="N78" s="10"/>
      <c r="O78" s="8"/>
      <c r="P78" s="10"/>
    </row>
    <row r="79" spans="1:16" x14ac:dyDescent="0.45">
      <c r="A79" s="9"/>
      <c r="B79" t="b">
        <v>0</v>
      </c>
      <c r="D79" s="10"/>
      <c r="G79" s="10"/>
      <c r="H79" s="10"/>
      <c r="I79" s="9"/>
      <c r="J79" s="10"/>
      <c r="L79" s="10"/>
      <c r="M79" s="10"/>
      <c r="N79" s="10"/>
      <c r="O79" s="8"/>
      <c r="P79" s="10"/>
    </row>
    <row r="80" spans="1:16" x14ac:dyDescent="0.45">
      <c r="A80" s="9"/>
      <c r="B80" t="b">
        <v>0</v>
      </c>
      <c r="D80" s="10"/>
      <c r="G80" s="10"/>
      <c r="H80" s="10"/>
      <c r="I80" s="9"/>
      <c r="J80" s="10"/>
      <c r="L80" s="10"/>
      <c r="M80" s="10"/>
      <c r="N80" s="10"/>
      <c r="O80" s="8"/>
      <c r="P80" s="10"/>
    </row>
    <row r="81" spans="1:16" x14ac:dyDescent="0.45">
      <c r="A81" s="9"/>
      <c r="B81" t="b">
        <v>0</v>
      </c>
      <c r="D81" s="10"/>
      <c r="G81" s="10"/>
      <c r="H81" s="10"/>
      <c r="I81" s="9"/>
      <c r="J81" s="10"/>
      <c r="L81" s="10"/>
      <c r="M81" s="10"/>
      <c r="N81" s="10"/>
      <c r="O81" s="8"/>
      <c r="P81" s="10"/>
    </row>
    <row r="82" spans="1:16" x14ac:dyDescent="0.45">
      <c r="A82" s="9"/>
      <c r="B82" t="b">
        <v>0</v>
      </c>
      <c r="D82" s="10"/>
      <c r="G82" s="10"/>
      <c r="H82" s="10"/>
      <c r="I82" s="9"/>
      <c r="J82" s="10"/>
      <c r="L82" s="10"/>
      <c r="M82" s="10"/>
      <c r="N82" s="10"/>
      <c r="O82" s="8"/>
      <c r="P82" s="10"/>
    </row>
    <row r="83" spans="1:16" x14ac:dyDescent="0.45">
      <c r="A83" s="9"/>
      <c r="B83" t="b">
        <v>0</v>
      </c>
      <c r="D83" s="10"/>
      <c r="G83" s="10"/>
      <c r="H83" s="10"/>
      <c r="I83" s="9"/>
      <c r="J83" s="10"/>
      <c r="L83" s="10"/>
      <c r="M83" s="10"/>
      <c r="N83" s="10"/>
      <c r="O83" s="8"/>
      <c r="P83" s="10"/>
    </row>
    <row r="84" spans="1:16" x14ac:dyDescent="0.45">
      <c r="A84" s="9"/>
      <c r="B84" t="b">
        <v>0</v>
      </c>
      <c r="D84" s="10"/>
      <c r="G84" s="10"/>
      <c r="H84" s="10"/>
      <c r="I84" s="9"/>
      <c r="J84" s="10"/>
      <c r="L84" s="10"/>
      <c r="M84" s="10"/>
      <c r="N84" s="10"/>
      <c r="O84" s="8"/>
      <c r="P84" s="10"/>
    </row>
    <row r="85" spans="1:16" x14ac:dyDescent="0.45">
      <c r="A85" s="9"/>
      <c r="B85" t="b">
        <v>0</v>
      </c>
      <c r="D85" s="10"/>
      <c r="G85" s="10"/>
      <c r="H85" s="10"/>
      <c r="I85" s="9"/>
      <c r="J85" s="10"/>
      <c r="L85" s="10"/>
      <c r="M85" s="10"/>
      <c r="N85" s="10"/>
      <c r="O85" s="8"/>
      <c r="P85" s="10"/>
    </row>
    <row r="86" spans="1:16" x14ac:dyDescent="0.45">
      <c r="A86" s="9"/>
      <c r="B86" t="b">
        <v>0</v>
      </c>
      <c r="D86" s="10"/>
      <c r="G86" s="10"/>
      <c r="H86" s="10"/>
      <c r="I86" s="9"/>
      <c r="J86" s="10"/>
      <c r="L86" s="10"/>
      <c r="M86" s="10"/>
      <c r="N86" s="10"/>
      <c r="O86" s="8"/>
      <c r="P86" s="10"/>
    </row>
    <row r="87" spans="1:16" x14ac:dyDescent="0.45">
      <c r="A87" s="9"/>
      <c r="B87" t="b">
        <v>0</v>
      </c>
      <c r="D87" s="10"/>
      <c r="G87" s="10"/>
      <c r="H87" s="10"/>
      <c r="I87" s="9"/>
      <c r="J87" s="10"/>
      <c r="L87" s="10"/>
      <c r="M87" s="10"/>
      <c r="N87" s="10"/>
      <c r="O87" s="8"/>
      <c r="P87" s="10"/>
    </row>
    <row r="88" spans="1:16" x14ac:dyDescent="0.45">
      <c r="A88" s="9"/>
      <c r="B88" t="b">
        <v>0</v>
      </c>
      <c r="D88" s="10"/>
      <c r="G88" s="10"/>
      <c r="H88" s="10"/>
      <c r="I88" s="9"/>
      <c r="J88" s="10"/>
      <c r="L88" s="10"/>
      <c r="M88" s="10"/>
      <c r="N88" s="10"/>
      <c r="O88" s="8"/>
      <c r="P88" s="10"/>
    </row>
    <row r="89" spans="1:16" x14ac:dyDescent="0.45">
      <c r="A89" s="9"/>
      <c r="B89" t="b">
        <v>0</v>
      </c>
      <c r="D89" s="10"/>
      <c r="G89" s="10"/>
      <c r="H89" s="10"/>
      <c r="I89" s="9"/>
      <c r="J89" s="10"/>
      <c r="L89" s="10"/>
      <c r="M89" s="10"/>
      <c r="N89" s="10"/>
      <c r="O89" s="8"/>
      <c r="P89" s="10"/>
    </row>
    <row r="90" spans="1:16" x14ac:dyDescent="0.45">
      <c r="A90" s="9"/>
      <c r="B90" t="b">
        <v>0</v>
      </c>
      <c r="D90" s="10"/>
      <c r="G90" s="10"/>
      <c r="H90" s="10"/>
      <c r="I90" s="9"/>
      <c r="J90" s="10"/>
      <c r="L90" s="10"/>
      <c r="M90" s="10"/>
      <c r="N90" s="10"/>
      <c r="O90" s="8"/>
      <c r="P90" s="10"/>
    </row>
    <row r="91" spans="1:16" x14ac:dyDescent="0.45">
      <c r="A91" s="9"/>
      <c r="B91" t="b">
        <v>0</v>
      </c>
      <c r="D91" s="10"/>
      <c r="G91" s="10"/>
      <c r="H91" s="10"/>
      <c r="I91" s="9"/>
      <c r="J91" s="10"/>
      <c r="L91" s="10"/>
      <c r="M91" s="10"/>
      <c r="N91" s="10"/>
      <c r="O91" s="8"/>
      <c r="P91" s="10"/>
    </row>
    <row r="92" spans="1:16" x14ac:dyDescent="0.45">
      <c r="A92" s="9"/>
      <c r="B92" t="b">
        <v>0</v>
      </c>
      <c r="D92" s="10"/>
      <c r="G92" s="10"/>
      <c r="H92" s="10"/>
      <c r="I92" s="9"/>
      <c r="J92" s="10"/>
      <c r="L92" s="10"/>
      <c r="M92" s="10"/>
      <c r="N92" s="10"/>
      <c r="O92" s="8"/>
      <c r="P92" s="10"/>
    </row>
    <row r="93" spans="1:16" x14ac:dyDescent="0.45">
      <c r="A93" s="9"/>
      <c r="B93" t="b">
        <v>0</v>
      </c>
      <c r="D93" s="10"/>
      <c r="G93" s="10"/>
      <c r="H93" s="10"/>
      <c r="I93" s="9"/>
      <c r="J93" s="10"/>
      <c r="L93" s="10"/>
      <c r="M93" s="10"/>
      <c r="N93" s="10"/>
      <c r="O93" s="8"/>
      <c r="P93" s="10"/>
    </row>
    <row r="94" spans="1:16" x14ac:dyDescent="0.45">
      <c r="A94" s="9"/>
      <c r="B94" t="b">
        <v>0</v>
      </c>
      <c r="D94" s="10"/>
      <c r="G94" s="10"/>
      <c r="H94" s="10"/>
      <c r="I94" s="9"/>
      <c r="J94" s="10"/>
      <c r="L94" s="10"/>
      <c r="M94" s="10"/>
      <c r="N94" s="10"/>
      <c r="O94" s="8"/>
      <c r="P94" s="10"/>
    </row>
    <row r="95" spans="1:16" x14ac:dyDescent="0.45">
      <c r="A95" s="9"/>
      <c r="B95" t="b">
        <v>0</v>
      </c>
      <c r="D95" s="10"/>
      <c r="G95" s="10"/>
      <c r="H95" s="10"/>
      <c r="I95" s="9"/>
      <c r="J95" s="10"/>
      <c r="L95" s="10"/>
      <c r="M95" s="10"/>
      <c r="N95" s="10"/>
      <c r="O95" s="8"/>
      <c r="P95" s="10"/>
    </row>
    <row r="96" spans="1:16" x14ac:dyDescent="0.45">
      <c r="A96" s="9"/>
      <c r="B96" t="b">
        <v>0</v>
      </c>
      <c r="D96" s="10"/>
      <c r="G96" s="10"/>
      <c r="H96" s="10"/>
      <c r="I96" s="9"/>
      <c r="J96" s="10"/>
      <c r="L96" s="10"/>
      <c r="M96" s="10"/>
      <c r="N96" s="10"/>
      <c r="O96" s="8"/>
      <c r="P96" s="10"/>
    </row>
    <row r="97" spans="1:16" x14ac:dyDescent="0.45">
      <c r="A97" s="9"/>
      <c r="B97" t="b">
        <v>0</v>
      </c>
      <c r="D97" s="10"/>
      <c r="G97" s="10"/>
      <c r="H97" s="10"/>
      <c r="I97" s="9"/>
      <c r="J97" s="10"/>
      <c r="L97" s="10"/>
      <c r="M97" s="10"/>
      <c r="N97" s="10"/>
      <c r="O97" s="8"/>
      <c r="P97" s="10"/>
    </row>
    <row r="98" spans="1:16" x14ac:dyDescent="0.45">
      <c r="A98" s="9"/>
      <c r="B98" t="b">
        <v>0</v>
      </c>
      <c r="D98" s="10"/>
      <c r="G98" s="10"/>
      <c r="H98" s="10"/>
      <c r="I98" s="9"/>
      <c r="J98" s="10"/>
      <c r="L98" s="10"/>
      <c r="M98" s="10"/>
      <c r="N98" s="10"/>
      <c r="O98" s="8"/>
      <c r="P98" s="10"/>
    </row>
    <row r="99" spans="1:16" x14ac:dyDescent="0.45">
      <c r="A99" s="9"/>
      <c r="B99" t="b">
        <v>0</v>
      </c>
      <c r="D99" s="10"/>
      <c r="G99" s="10"/>
      <c r="H99" s="10"/>
      <c r="I99" s="9"/>
      <c r="J99" s="10"/>
      <c r="L99" s="10"/>
      <c r="M99" s="10"/>
      <c r="N99" s="10"/>
      <c r="O99" s="8"/>
      <c r="P99" s="10"/>
    </row>
    <row r="100" spans="1:16" x14ac:dyDescent="0.45">
      <c r="A100" s="9"/>
      <c r="B100" t="b">
        <v>0</v>
      </c>
      <c r="D100" s="10"/>
      <c r="G100" s="10"/>
      <c r="H100" s="10"/>
      <c r="I100" s="9"/>
      <c r="J100" s="10"/>
      <c r="L100" s="10"/>
      <c r="M100" s="10"/>
      <c r="N100" s="10"/>
      <c r="O100" s="8"/>
      <c r="P100" s="10"/>
    </row>
    <row r="101" spans="1:16" x14ac:dyDescent="0.45">
      <c r="A101" s="9"/>
      <c r="B101" t="b">
        <v>0</v>
      </c>
      <c r="D101" s="10"/>
      <c r="G101" s="10"/>
      <c r="H101" s="10"/>
      <c r="I101" s="9"/>
      <c r="J101" s="10"/>
      <c r="L101" s="10"/>
      <c r="M101" s="10"/>
      <c r="N101" s="10"/>
      <c r="O101" s="8"/>
      <c r="P101" s="10"/>
    </row>
    <row r="102" spans="1:16" x14ac:dyDescent="0.45">
      <c r="A102" s="9"/>
      <c r="B102" t="b">
        <v>0</v>
      </c>
      <c r="D102" s="10"/>
      <c r="G102" s="10"/>
      <c r="H102" s="10"/>
      <c r="I102" s="9"/>
      <c r="J102" s="10"/>
      <c r="L102" s="10"/>
      <c r="M102" s="10"/>
      <c r="N102" s="10"/>
      <c r="O102" s="8"/>
      <c r="P102" s="10"/>
    </row>
    <row r="103" spans="1:16" x14ac:dyDescent="0.45">
      <c r="A103" s="9"/>
      <c r="B103" t="b">
        <v>0</v>
      </c>
      <c r="D103" s="10"/>
      <c r="G103" s="10"/>
      <c r="H103" s="10"/>
      <c r="I103" s="9"/>
      <c r="J103" s="10"/>
      <c r="L103" s="10"/>
      <c r="M103" s="10"/>
      <c r="N103" s="10"/>
      <c r="O103" s="8"/>
      <c r="P103" s="10"/>
    </row>
    <row r="104" spans="1:16" x14ac:dyDescent="0.45">
      <c r="A104" s="9"/>
      <c r="B104" t="b">
        <v>0</v>
      </c>
      <c r="D104" s="10"/>
      <c r="G104" s="10"/>
      <c r="H104" s="10"/>
      <c r="I104" s="9"/>
      <c r="J104" s="10"/>
      <c r="L104" s="10"/>
      <c r="M104" s="10"/>
      <c r="N104" s="10"/>
      <c r="O104" s="8"/>
      <c r="P104" s="10"/>
    </row>
    <row r="105" spans="1:16" x14ac:dyDescent="0.45">
      <c r="A105" s="9"/>
      <c r="B105" t="b">
        <v>0</v>
      </c>
      <c r="D105" s="10"/>
      <c r="G105" s="10"/>
      <c r="H105" s="10"/>
      <c r="I105" s="9"/>
      <c r="J105" s="10"/>
      <c r="L105" s="10"/>
      <c r="M105" s="10"/>
      <c r="N105" s="10"/>
      <c r="O105" s="8"/>
      <c r="P105" s="10"/>
    </row>
    <row r="106" spans="1:16" x14ac:dyDescent="0.45">
      <c r="A106" s="9"/>
      <c r="B106" t="b">
        <v>0</v>
      </c>
      <c r="D106" s="10"/>
      <c r="G106" s="10"/>
      <c r="H106" s="10"/>
      <c r="I106" s="9"/>
      <c r="J106" s="10"/>
      <c r="L106" s="10"/>
      <c r="M106" s="10"/>
      <c r="N106" s="10"/>
      <c r="O106" s="8"/>
      <c r="P106" s="10"/>
    </row>
    <row r="107" spans="1:16" x14ac:dyDescent="0.45">
      <c r="A107" s="9"/>
      <c r="B107" t="b">
        <v>0</v>
      </c>
      <c r="D107" s="10"/>
      <c r="G107" s="10"/>
      <c r="H107" s="10"/>
      <c r="I107" s="9"/>
      <c r="J107" s="10"/>
      <c r="L107" s="10"/>
      <c r="M107" s="10"/>
      <c r="N107" s="10"/>
      <c r="O107" s="8"/>
      <c r="P107" s="10"/>
    </row>
    <row r="108" spans="1:16" x14ac:dyDescent="0.45">
      <c r="A108" s="9"/>
      <c r="B108" t="b">
        <v>0</v>
      </c>
      <c r="D108" s="10"/>
      <c r="G108" s="10"/>
      <c r="H108" s="10"/>
      <c r="I108" s="9"/>
      <c r="J108" s="10"/>
      <c r="L108" s="10"/>
      <c r="M108" s="10"/>
      <c r="N108" s="10"/>
      <c r="O108" s="8"/>
      <c r="P108" s="10"/>
    </row>
    <row r="109" spans="1:16" x14ac:dyDescent="0.45">
      <c r="A109" s="9"/>
      <c r="B109" t="b">
        <v>0</v>
      </c>
      <c r="D109" s="10"/>
      <c r="G109" s="10"/>
      <c r="H109" s="10"/>
      <c r="I109" s="9"/>
      <c r="J109" s="10"/>
      <c r="L109" s="10"/>
      <c r="M109" s="10"/>
      <c r="N109" s="10"/>
      <c r="O109" s="8"/>
      <c r="P109" s="10"/>
    </row>
    <row r="110" spans="1:16" x14ac:dyDescent="0.45">
      <c r="A110" s="9"/>
      <c r="B110" t="b">
        <v>0</v>
      </c>
      <c r="D110" s="10"/>
      <c r="G110" s="10"/>
      <c r="H110" s="10"/>
      <c r="I110" s="9"/>
      <c r="J110" s="10"/>
      <c r="L110" s="10"/>
      <c r="M110" s="10"/>
      <c r="N110" s="10"/>
      <c r="O110" s="8"/>
      <c r="P110" s="10"/>
    </row>
    <row r="111" spans="1:16" x14ac:dyDescent="0.45">
      <c r="A111" s="9"/>
      <c r="B111" t="b">
        <v>0</v>
      </c>
      <c r="D111" s="10"/>
      <c r="G111" s="10"/>
      <c r="H111" s="10"/>
      <c r="I111" s="9"/>
      <c r="J111" s="10"/>
      <c r="L111" s="10"/>
      <c r="M111" s="10"/>
      <c r="N111" s="10"/>
      <c r="O111" s="8"/>
      <c r="P111" s="10"/>
    </row>
    <row r="112" spans="1:16" x14ac:dyDescent="0.45">
      <c r="A112" s="9"/>
      <c r="B112" t="b">
        <v>0</v>
      </c>
      <c r="D112" s="10"/>
      <c r="G112" s="10"/>
      <c r="H112" s="10"/>
      <c r="I112" s="9"/>
      <c r="J112" s="10"/>
      <c r="L112" s="10"/>
      <c r="M112" s="10"/>
      <c r="N112" s="10"/>
      <c r="O112" s="8"/>
      <c r="P112" s="10"/>
    </row>
    <row r="113" spans="1:16" x14ac:dyDescent="0.45">
      <c r="A113" s="9"/>
      <c r="B113" t="b">
        <v>0</v>
      </c>
      <c r="D113" s="10"/>
      <c r="G113" s="10"/>
      <c r="H113" s="10"/>
      <c r="I113" s="9"/>
      <c r="J113" s="10"/>
      <c r="L113" s="10"/>
      <c r="M113" s="10"/>
      <c r="N113" s="10"/>
      <c r="O113" s="8"/>
      <c r="P113" s="10"/>
    </row>
    <row r="114" spans="1:16" x14ac:dyDescent="0.45">
      <c r="A114" s="9"/>
      <c r="B114" t="b">
        <v>0</v>
      </c>
      <c r="D114" s="10"/>
      <c r="G114" s="10"/>
      <c r="H114" s="10"/>
      <c r="I114" s="9"/>
      <c r="J114" s="10"/>
      <c r="L114" s="10"/>
      <c r="M114" s="10"/>
      <c r="N114" s="10"/>
      <c r="O114" s="8"/>
      <c r="P114" s="10"/>
    </row>
    <row r="115" spans="1:16" x14ac:dyDescent="0.45">
      <c r="A115" s="9"/>
      <c r="B115" t="b">
        <v>0</v>
      </c>
      <c r="D115" s="10"/>
      <c r="G115" s="10"/>
      <c r="H115" s="10"/>
      <c r="I115" s="9"/>
      <c r="J115" s="10"/>
      <c r="L115" s="10"/>
      <c r="M115" s="10"/>
      <c r="N115" s="10"/>
      <c r="O115" s="8"/>
      <c r="P115" s="10"/>
    </row>
    <row r="116" spans="1:16" x14ac:dyDescent="0.45">
      <c r="A116" s="9"/>
      <c r="B116" t="b">
        <v>0</v>
      </c>
      <c r="D116" s="10"/>
      <c r="G116" s="10"/>
      <c r="H116" s="10"/>
      <c r="I116" s="9"/>
      <c r="J116" s="10"/>
      <c r="L116" s="10"/>
      <c r="M116" s="10"/>
      <c r="N116" s="10"/>
      <c r="O116" s="8"/>
      <c r="P116" s="10"/>
    </row>
    <row r="117" spans="1:16" x14ac:dyDescent="0.45">
      <c r="A117" s="9"/>
      <c r="B117" t="b">
        <v>0</v>
      </c>
      <c r="D117" s="10"/>
      <c r="G117" s="10"/>
      <c r="H117" s="10"/>
      <c r="I117" s="9"/>
      <c r="J117" s="10"/>
      <c r="L117" s="10"/>
      <c r="M117" s="10"/>
      <c r="N117" s="10"/>
      <c r="O117" s="8"/>
      <c r="P117" s="10"/>
    </row>
    <row r="118" spans="1:16" x14ac:dyDescent="0.45">
      <c r="A118" s="9"/>
      <c r="B118" t="b">
        <v>0</v>
      </c>
      <c r="D118" s="10"/>
      <c r="G118" s="10"/>
      <c r="H118" s="10"/>
      <c r="I118" s="9"/>
      <c r="J118" s="10"/>
      <c r="L118" s="10"/>
      <c r="M118" s="10"/>
      <c r="N118" s="10"/>
      <c r="O118" s="8"/>
      <c r="P118" s="10"/>
    </row>
    <row r="119" spans="1:16" x14ac:dyDescent="0.45">
      <c r="A119" s="9"/>
      <c r="B119" t="b">
        <v>0</v>
      </c>
      <c r="D119" s="10"/>
      <c r="G119" s="10"/>
      <c r="H119" s="10"/>
      <c r="I119" s="9"/>
      <c r="J119" s="10"/>
      <c r="L119" s="10"/>
      <c r="M119" s="10"/>
      <c r="N119" s="10"/>
      <c r="O119" s="8"/>
      <c r="P119" s="10"/>
    </row>
    <row r="120" spans="1:16" x14ac:dyDescent="0.45">
      <c r="A120" s="9"/>
      <c r="B120" t="b">
        <v>0</v>
      </c>
      <c r="D120" s="10"/>
      <c r="G120" s="10"/>
      <c r="H120" s="10"/>
      <c r="I120" s="9"/>
      <c r="J120" s="10"/>
      <c r="L120" s="10"/>
      <c r="M120" s="10"/>
      <c r="N120" s="10"/>
      <c r="O120" s="8"/>
      <c r="P120" s="10"/>
    </row>
    <row r="121" spans="1:16" x14ac:dyDescent="0.45">
      <c r="A121" s="9"/>
      <c r="B121" t="b">
        <v>0</v>
      </c>
      <c r="D121" s="10"/>
      <c r="G121" s="10"/>
      <c r="H121" s="10"/>
      <c r="I121" s="9"/>
      <c r="J121" s="10"/>
      <c r="L121" s="10"/>
      <c r="M121" s="10"/>
      <c r="N121" s="10"/>
      <c r="O121" s="8"/>
      <c r="P121" s="10"/>
    </row>
    <row r="122" spans="1:16" x14ac:dyDescent="0.45">
      <c r="A122" s="9"/>
      <c r="B122" t="b">
        <v>0</v>
      </c>
      <c r="D122" s="10"/>
      <c r="G122" s="10"/>
      <c r="H122" s="10"/>
      <c r="I122" s="9"/>
      <c r="J122" s="10"/>
      <c r="L122" s="10"/>
      <c r="M122" s="10"/>
      <c r="N122" s="10"/>
      <c r="O122" s="8"/>
      <c r="P122" s="10"/>
    </row>
    <row r="123" spans="1:16" x14ac:dyDescent="0.45">
      <c r="A123" s="9"/>
      <c r="B123" t="b">
        <v>0</v>
      </c>
      <c r="D123" s="10"/>
      <c r="G123" s="10"/>
      <c r="H123" s="10"/>
      <c r="I123" s="9"/>
      <c r="J123" s="10"/>
      <c r="L123" s="10"/>
      <c r="M123" s="10"/>
      <c r="N123" s="10"/>
      <c r="O123" s="8"/>
      <c r="P123" s="10"/>
    </row>
    <row r="124" spans="1:16" x14ac:dyDescent="0.45">
      <c r="A124" s="9"/>
      <c r="B124" t="b">
        <v>0</v>
      </c>
      <c r="D124" s="10"/>
      <c r="G124" s="10"/>
      <c r="H124" s="10"/>
      <c r="I124" s="9"/>
      <c r="J124" s="10"/>
      <c r="L124" s="10"/>
      <c r="M124" s="10"/>
      <c r="N124" s="10"/>
      <c r="O124" s="8"/>
      <c r="P124" s="10"/>
    </row>
    <row r="125" spans="1:16" x14ac:dyDescent="0.45">
      <c r="A125" s="9"/>
      <c r="B125" t="b">
        <v>0</v>
      </c>
      <c r="D125" s="10"/>
      <c r="G125" s="10"/>
      <c r="H125" s="10"/>
      <c r="I125" s="9"/>
      <c r="J125" s="10"/>
      <c r="L125" s="10"/>
      <c r="M125" s="10"/>
      <c r="N125" s="10"/>
      <c r="O125" s="8"/>
      <c r="P125" s="10"/>
    </row>
    <row r="126" spans="1:16" x14ac:dyDescent="0.45">
      <c r="A126" s="9"/>
      <c r="B126" t="b">
        <v>0</v>
      </c>
      <c r="D126" s="10"/>
      <c r="G126" s="10"/>
      <c r="H126" s="10"/>
      <c r="I126" s="9"/>
      <c r="J126" s="10"/>
      <c r="L126" s="10"/>
      <c r="M126" s="10"/>
      <c r="N126" s="10"/>
      <c r="O126" s="8"/>
      <c r="P126" s="10"/>
    </row>
    <row r="127" spans="1:16" x14ac:dyDescent="0.45">
      <c r="A127" s="9"/>
      <c r="B127" t="b">
        <v>0</v>
      </c>
      <c r="D127" s="10"/>
      <c r="G127" s="10"/>
      <c r="H127" s="10"/>
      <c r="I127" s="9"/>
      <c r="J127" s="10"/>
      <c r="L127" s="10"/>
      <c r="M127" s="10"/>
      <c r="N127" s="10"/>
      <c r="O127" s="8"/>
      <c r="P127" s="10"/>
    </row>
    <row r="128" spans="1:16" x14ac:dyDescent="0.45">
      <c r="A128" s="9"/>
      <c r="B128" t="b">
        <v>0</v>
      </c>
      <c r="D128" s="10"/>
      <c r="G128" s="10"/>
      <c r="H128" s="10"/>
      <c r="I128" s="9"/>
      <c r="J128" s="10"/>
      <c r="L128" s="10"/>
      <c r="M128" s="10"/>
      <c r="N128" s="10"/>
      <c r="O128" s="8"/>
      <c r="P128" s="10"/>
    </row>
    <row r="129" spans="1:16" x14ac:dyDescent="0.45">
      <c r="A129" s="9"/>
      <c r="B129" t="b">
        <v>0</v>
      </c>
      <c r="D129" s="10"/>
      <c r="G129" s="10"/>
      <c r="H129" s="10"/>
      <c r="I129" s="9"/>
      <c r="J129" s="10"/>
      <c r="L129" s="10"/>
      <c r="M129" s="10"/>
      <c r="N129" s="10"/>
      <c r="O129" s="8"/>
      <c r="P129" s="10"/>
    </row>
    <row r="130" spans="1:16" x14ac:dyDescent="0.45">
      <c r="A130" s="9"/>
      <c r="B130" t="b">
        <v>0</v>
      </c>
      <c r="D130" s="10"/>
      <c r="G130" s="10"/>
      <c r="H130" s="10"/>
      <c r="I130" s="9"/>
      <c r="J130" s="10"/>
      <c r="L130" s="10"/>
      <c r="M130" s="10"/>
      <c r="N130" s="10"/>
      <c r="O130" s="8"/>
      <c r="P130" s="10"/>
    </row>
    <row r="131" spans="1:16" x14ac:dyDescent="0.45">
      <c r="A131" s="9"/>
      <c r="B131" t="b">
        <v>0</v>
      </c>
      <c r="D131" s="10"/>
      <c r="G131" s="10"/>
      <c r="H131" s="10"/>
      <c r="I131" s="9"/>
      <c r="J131" s="10"/>
      <c r="L131" s="10"/>
      <c r="M131" s="10"/>
      <c r="N131" s="10"/>
      <c r="O131" s="8"/>
      <c r="P131" s="10"/>
    </row>
    <row r="132" spans="1:16" x14ac:dyDescent="0.45">
      <c r="A132" s="9"/>
      <c r="B132" t="b">
        <v>0</v>
      </c>
      <c r="D132" s="10"/>
      <c r="G132" s="10"/>
      <c r="H132" s="10"/>
      <c r="I132" s="9"/>
      <c r="J132" s="10"/>
      <c r="L132" s="10"/>
      <c r="M132" s="10"/>
      <c r="N132" s="10"/>
      <c r="O132" s="8"/>
      <c r="P132" s="10"/>
    </row>
    <row r="133" spans="1:16" x14ac:dyDescent="0.45">
      <c r="A133" s="9"/>
      <c r="B133" t="b">
        <v>0</v>
      </c>
      <c r="D133" s="10"/>
      <c r="G133" s="10"/>
      <c r="H133" s="10"/>
      <c r="I133" s="9"/>
      <c r="J133" s="10"/>
      <c r="L133" s="10"/>
      <c r="M133" s="10"/>
      <c r="N133" s="10"/>
      <c r="O133" s="8"/>
      <c r="P133" s="10"/>
    </row>
    <row r="134" spans="1:16" x14ac:dyDescent="0.45">
      <c r="A134" s="9"/>
      <c r="B134" t="b">
        <v>0</v>
      </c>
      <c r="D134" s="10"/>
      <c r="G134" s="10"/>
      <c r="H134" s="10"/>
      <c r="I134" s="9"/>
      <c r="J134" s="10"/>
      <c r="L134" s="10"/>
      <c r="M134" s="10"/>
      <c r="N134" s="10"/>
      <c r="O134" s="8"/>
      <c r="P134" s="10"/>
    </row>
    <row r="135" spans="1:16" x14ac:dyDescent="0.45">
      <c r="A135" s="9"/>
      <c r="B135" t="b">
        <v>0</v>
      </c>
      <c r="D135" s="10"/>
      <c r="G135" s="10"/>
      <c r="H135" s="10"/>
      <c r="I135" s="9"/>
      <c r="J135" s="10"/>
      <c r="L135" s="10"/>
      <c r="M135" s="10"/>
      <c r="N135" s="10"/>
      <c r="O135" s="8"/>
      <c r="P135" s="10"/>
    </row>
    <row r="136" spans="1:16" x14ac:dyDescent="0.45">
      <c r="A136" s="9"/>
      <c r="B136" t="b">
        <v>0</v>
      </c>
      <c r="D136" s="10"/>
      <c r="G136" s="10"/>
      <c r="H136" s="10"/>
      <c r="I136" s="9"/>
      <c r="J136" s="10"/>
      <c r="L136" s="10"/>
      <c r="M136" s="10"/>
      <c r="N136" s="10"/>
      <c r="O136" s="8"/>
      <c r="P136" s="10"/>
    </row>
    <row r="137" spans="1:16" x14ac:dyDescent="0.45">
      <c r="A137" s="9"/>
      <c r="B137" t="b">
        <v>0</v>
      </c>
      <c r="D137" s="10"/>
      <c r="G137" s="10"/>
      <c r="H137" s="10"/>
      <c r="I137" s="9"/>
      <c r="J137" s="10"/>
      <c r="L137" s="10"/>
      <c r="M137" s="10"/>
      <c r="N137" s="10"/>
      <c r="O137" s="8"/>
      <c r="P137" s="10"/>
    </row>
    <row r="138" spans="1:16" x14ac:dyDescent="0.45">
      <c r="A138" s="9"/>
      <c r="B138" t="b">
        <v>0</v>
      </c>
      <c r="D138" s="10"/>
      <c r="G138" s="10"/>
      <c r="H138" s="10"/>
      <c r="I138" s="9"/>
      <c r="J138" s="10"/>
      <c r="L138" s="10"/>
      <c r="M138" s="10"/>
      <c r="N138" s="10"/>
      <c r="O138" s="8"/>
      <c r="P138" s="10"/>
    </row>
    <row r="139" spans="1:16" x14ac:dyDescent="0.45">
      <c r="A139" s="9"/>
      <c r="B139" t="b">
        <v>0</v>
      </c>
      <c r="D139" s="10"/>
      <c r="G139" s="10"/>
      <c r="H139" s="10"/>
      <c r="I139" s="9"/>
      <c r="J139" s="10"/>
      <c r="L139" s="10"/>
      <c r="M139" s="10"/>
      <c r="N139" s="10"/>
      <c r="O139" s="8"/>
      <c r="P139" s="10"/>
    </row>
    <row r="140" spans="1:16" x14ac:dyDescent="0.45">
      <c r="A140" s="9"/>
      <c r="B140" t="b">
        <v>0</v>
      </c>
      <c r="D140" s="10"/>
      <c r="G140" s="10"/>
      <c r="H140" s="10"/>
      <c r="I140" s="9"/>
      <c r="J140" s="10"/>
      <c r="L140" s="10"/>
      <c r="M140" s="10"/>
      <c r="N140" s="10"/>
      <c r="O140" s="8"/>
      <c r="P140" s="10"/>
    </row>
    <row r="141" spans="1:16" x14ac:dyDescent="0.45">
      <c r="A141" s="9"/>
      <c r="B141" t="b">
        <v>0</v>
      </c>
      <c r="D141" s="10"/>
      <c r="G141" s="10"/>
      <c r="H141" s="10"/>
      <c r="I141" s="9"/>
      <c r="J141" s="10"/>
      <c r="L141" s="10"/>
      <c r="M141" s="10"/>
      <c r="N141" s="10"/>
      <c r="O141" s="8"/>
      <c r="P141" s="10"/>
    </row>
    <row r="142" spans="1:16" x14ac:dyDescent="0.45">
      <c r="A142" s="9"/>
      <c r="B142" t="b">
        <v>0</v>
      </c>
      <c r="D142" s="10"/>
      <c r="G142" s="10"/>
      <c r="H142" s="10"/>
      <c r="I142" s="9"/>
      <c r="J142" s="10"/>
      <c r="L142" s="10"/>
      <c r="M142" s="10"/>
      <c r="N142" s="10"/>
      <c r="O142" s="8"/>
      <c r="P142" s="10"/>
    </row>
    <row r="143" spans="1:16" x14ac:dyDescent="0.45">
      <c r="A143" s="9"/>
      <c r="B143" t="b">
        <v>0</v>
      </c>
      <c r="D143" s="10"/>
      <c r="G143" s="10"/>
      <c r="H143" s="10"/>
      <c r="I143" s="9"/>
      <c r="J143" s="10"/>
      <c r="L143" s="10"/>
      <c r="M143" s="10"/>
      <c r="N143" s="10"/>
      <c r="O143" s="8"/>
      <c r="P143" s="10"/>
    </row>
    <row r="144" spans="1:16" x14ac:dyDescent="0.45">
      <c r="A144" s="9"/>
      <c r="B144" t="b">
        <v>0</v>
      </c>
      <c r="D144" s="10"/>
      <c r="G144" s="10"/>
      <c r="H144" s="10"/>
      <c r="I144" s="9"/>
      <c r="J144" s="10"/>
      <c r="L144" s="10"/>
      <c r="M144" s="10"/>
      <c r="N144" s="10"/>
      <c r="O144" s="8"/>
      <c r="P144" s="10"/>
    </row>
    <row r="145" spans="1:16" x14ac:dyDescent="0.45">
      <c r="A145" s="9"/>
      <c r="B145" t="b">
        <v>0</v>
      </c>
      <c r="D145" s="10"/>
      <c r="G145" s="10"/>
      <c r="H145" s="10"/>
      <c r="I145" s="9"/>
      <c r="J145" s="10"/>
      <c r="L145" s="10"/>
      <c r="M145" s="10"/>
      <c r="N145" s="10"/>
      <c r="O145" s="8"/>
      <c r="P145" s="10"/>
    </row>
    <row r="146" spans="1:16" x14ac:dyDescent="0.45">
      <c r="A146" s="9"/>
      <c r="B146" t="b">
        <v>0</v>
      </c>
      <c r="D146" s="10"/>
      <c r="G146" s="10"/>
      <c r="H146" s="10"/>
      <c r="I146" s="9"/>
      <c r="J146" s="10"/>
      <c r="L146" s="10"/>
      <c r="M146" s="10"/>
      <c r="N146" s="10"/>
      <c r="O146" s="8"/>
      <c r="P146" s="10"/>
    </row>
    <row r="147" spans="1:16" x14ac:dyDescent="0.45">
      <c r="A147" s="9"/>
      <c r="B147" t="b">
        <v>0</v>
      </c>
      <c r="D147" s="10"/>
      <c r="G147" s="10"/>
      <c r="H147" s="10"/>
      <c r="I147" s="9"/>
      <c r="J147" s="10"/>
      <c r="L147" s="10"/>
      <c r="M147" s="10"/>
      <c r="N147" s="10"/>
      <c r="O147" s="8"/>
      <c r="P147" s="10"/>
    </row>
    <row r="148" spans="1:16" x14ac:dyDescent="0.45">
      <c r="A148" s="9"/>
      <c r="B148" t="b">
        <v>0</v>
      </c>
      <c r="D148" s="10"/>
      <c r="G148" s="10"/>
      <c r="H148" s="10"/>
      <c r="I148" s="9"/>
      <c r="J148" s="10"/>
      <c r="L148" s="10"/>
      <c r="M148" s="10"/>
      <c r="N148" s="10"/>
      <c r="O148" s="8"/>
      <c r="P148" s="10"/>
    </row>
    <row r="149" spans="1:16" x14ac:dyDescent="0.45">
      <c r="A149" s="9"/>
      <c r="B149" t="b">
        <v>0</v>
      </c>
      <c r="D149" s="10"/>
      <c r="G149" s="10"/>
      <c r="H149" s="10"/>
      <c r="I149" s="9"/>
      <c r="J149" s="10"/>
      <c r="L149" s="10"/>
      <c r="M149" s="10"/>
      <c r="N149" s="10"/>
      <c r="O149" s="8"/>
      <c r="P149" s="10"/>
    </row>
    <row r="150" spans="1:16" x14ac:dyDescent="0.45">
      <c r="A150" s="9"/>
      <c r="B150" t="b">
        <v>0</v>
      </c>
      <c r="D150" s="10"/>
      <c r="G150" s="10"/>
      <c r="H150" s="10"/>
      <c r="I150" s="9"/>
      <c r="J150" s="10"/>
      <c r="L150" s="10"/>
      <c r="M150" s="10"/>
      <c r="N150" s="10"/>
      <c r="O150" s="8"/>
      <c r="P150" s="10"/>
    </row>
    <row r="151" spans="1:16" x14ac:dyDescent="0.45">
      <c r="A151" s="9"/>
      <c r="B151" t="b">
        <v>0</v>
      </c>
      <c r="D151" s="10"/>
      <c r="G151" s="10"/>
      <c r="H151" s="10"/>
      <c r="I151" s="9"/>
      <c r="J151" s="10"/>
      <c r="L151" s="10"/>
      <c r="M151" s="10"/>
      <c r="N151" s="10"/>
      <c r="O151" s="8"/>
      <c r="P151" s="10"/>
    </row>
    <row r="152" spans="1:16" x14ac:dyDescent="0.45">
      <c r="A152" s="9"/>
      <c r="B152" t="b">
        <v>0</v>
      </c>
      <c r="D152" s="10"/>
      <c r="G152" s="10"/>
      <c r="H152" s="10"/>
      <c r="I152" s="9"/>
      <c r="J152" s="10"/>
      <c r="L152" s="10"/>
      <c r="M152" s="10"/>
      <c r="N152" s="10"/>
      <c r="O152" s="8"/>
      <c r="P152" s="10"/>
    </row>
    <row r="153" spans="1:16" x14ac:dyDescent="0.45">
      <c r="A153" s="9"/>
      <c r="B153" t="b">
        <v>0</v>
      </c>
      <c r="D153" s="10"/>
      <c r="G153" s="10"/>
      <c r="H153" s="10"/>
      <c r="I153" s="9"/>
      <c r="J153" s="10"/>
      <c r="L153" s="10"/>
      <c r="M153" s="10"/>
      <c r="N153" s="10"/>
      <c r="O153" s="8"/>
      <c r="P153" s="10"/>
    </row>
    <row r="154" spans="1:16" x14ac:dyDescent="0.45">
      <c r="A154" s="9"/>
      <c r="B154" t="b">
        <v>0</v>
      </c>
      <c r="D154" s="10"/>
      <c r="G154" s="10"/>
      <c r="H154" s="10"/>
      <c r="I154" s="9"/>
      <c r="J154" s="10"/>
      <c r="L154" s="10"/>
      <c r="M154" s="10"/>
      <c r="N154" s="10"/>
      <c r="O154" s="8"/>
      <c r="P154" s="10"/>
    </row>
    <row r="155" spans="1:16" x14ac:dyDescent="0.45">
      <c r="A155" s="9"/>
      <c r="B155" t="b">
        <v>0</v>
      </c>
      <c r="D155" s="10"/>
      <c r="G155" s="10"/>
      <c r="H155" s="10"/>
      <c r="I155" s="9"/>
      <c r="J155" s="10"/>
      <c r="L155" s="10"/>
      <c r="M155" s="10"/>
      <c r="N155" s="10"/>
      <c r="O155" s="8"/>
      <c r="P155" s="10"/>
    </row>
    <row r="156" spans="1:16" x14ac:dyDescent="0.45">
      <c r="A156" s="9"/>
      <c r="B156" t="b">
        <v>0</v>
      </c>
      <c r="D156" s="10"/>
      <c r="G156" s="10"/>
      <c r="H156" s="10"/>
      <c r="I156" s="9"/>
      <c r="J156" s="10"/>
      <c r="L156" s="10"/>
      <c r="M156" s="10"/>
      <c r="N156" s="10"/>
      <c r="O156" s="8"/>
      <c r="P156" s="10"/>
    </row>
    <row r="157" spans="1:16" x14ac:dyDescent="0.45">
      <c r="A157" s="9"/>
      <c r="B157" t="b">
        <v>0</v>
      </c>
      <c r="D157" s="10"/>
      <c r="G157" s="10"/>
      <c r="H157" s="10"/>
      <c r="I157" s="9"/>
      <c r="J157" s="10"/>
      <c r="L157" s="10"/>
      <c r="M157" s="10"/>
      <c r="N157" s="10"/>
      <c r="O157" s="8"/>
      <c r="P157" s="10"/>
    </row>
    <row r="158" spans="1:16" x14ac:dyDescent="0.45">
      <c r="A158" s="9"/>
      <c r="B158" t="b">
        <v>0</v>
      </c>
      <c r="D158" s="10"/>
      <c r="G158" s="10"/>
      <c r="H158" s="10"/>
      <c r="I158" s="9"/>
      <c r="J158" s="10"/>
      <c r="L158" s="10"/>
      <c r="M158" s="10"/>
      <c r="N158" s="10"/>
      <c r="O158" s="8"/>
      <c r="P158" s="10"/>
    </row>
    <row r="159" spans="1:16" x14ac:dyDescent="0.45">
      <c r="A159" s="9"/>
      <c r="B159" t="b">
        <v>0</v>
      </c>
      <c r="D159" s="10"/>
      <c r="G159" s="10"/>
      <c r="H159" s="10"/>
      <c r="I159" s="9"/>
      <c r="J159" s="10"/>
      <c r="L159" s="10"/>
      <c r="M159" s="10"/>
      <c r="N159" s="10"/>
      <c r="O159" s="8"/>
      <c r="P159" s="10"/>
    </row>
    <row r="160" spans="1:16" x14ac:dyDescent="0.45">
      <c r="A160" s="9"/>
      <c r="B160" t="b">
        <v>0</v>
      </c>
      <c r="D160" s="10"/>
      <c r="G160" s="10"/>
      <c r="H160" s="10"/>
      <c r="I160" s="9"/>
      <c r="J160" s="10"/>
      <c r="L160" s="10"/>
      <c r="M160" s="10"/>
      <c r="N160" s="10"/>
      <c r="O160" s="8"/>
      <c r="P160" s="10"/>
    </row>
    <row r="161" spans="1:16" x14ac:dyDescent="0.45">
      <c r="A161" s="9"/>
      <c r="B161" t="b">
        <v>0</v>
      </c>
      <c r="D161" s="10"/>
      <c r="G161" s="10"/>
      <c r="H161" s="10"/>
      <c r="I161" s="9"/>
      <c r="J161" s="10"/>
      <c r="L161" s="10"/>
      <c r="M161" s="10"/>
      <c r="N161" s="10"/>
      <c r="O161" s="8"/>
      <c r="P161" s="10"/>
    </row>
    <row r="162" spans="1:16" x14ac:dyDescent="0.45">
      <c r="A162" s="9"/>
      <c r="B162" t="b">
        <v>0</v>
      </c>
      <c r="D162" s="10"/>
      <c r="G162" s="10"/>
      <c r="H162" s="10"/>
      <c r="I162" s="9"/>
      <c r="J162" s="10"/>
      <c r="L162" s="10"/>
      <c r="M162" s="10"/>
      <c r="N162" s="10"/>
      <c r="O162" s="8"/>
      <c r="P162" s="10"/>
    </row>
    <row r="163" spans="1:16" x14ac:dyDescent="0.45">
      <c r="A163" s="9"/>
      <c r="B163" t="b">
        <v>0</v>
      </c>
      <c r="D163" s="10"/>
      <c r="G163" s="10"/>
      <c r="H163" s="10"/>
      <c r="I163" s="9"/>
      <c r="J163" s="10"/>
      <c r="L163" s="10"/>
      <c r="M163" s="10"/>
      <c r="N163" s="10"/>
      <c r="O163" s="8"/>
      <c r="P163" s="10"/>
    </row>
    <row r="164" spans="1:16" x14ac:dyDescent="0.45">
      <c r="A164" s="9"/>
      <c r="B164" t="b">
        <v>0</v>
      </c>
      <c r="D164" s="10"/>
      <c r="G164" s="10"/>
      <c r="H164" s="10"/>
      <c r="I164" s="9"/>
      <c r="J164" s="10"/>
      <c r="L164" s="10"/>
      <c r="M164" s="10"/>
      <c r="N164" s="10"/>
      <c r="O164" s="8"/>
      <c r="P164" s="10"/>
    </row>
    <row r="165" spans="1:16" x14ac:dyDescent="0.45">
      <c r="A165" s="9"/>
      <c r="B165" t="b">
        <v>0</v>
      </c>
      <c r="D165" s="10"/>
      <c r="G165" s="10"/>
      <c r="H165" s="10"/>
      <c r="I165" s="9"/>
      <c r="J165" s="10"/>
      <c r="L165" s="10"/>
      <c r="M165" s="10"/>
      <c r="N165" s="10"/>
      <c r="O165" s="8"/>
      <c r="P165" s="10"/>
    </row>
    <row r="166" spans="1:16" x14ac:dyDescent="0.45">
      <c r="A166" s="9"/>
      <c r="B166" t="b">
        <v>0</v>
      </c>
      <c r="D166" s="10"/>
      <c r="G166" s="10"/>
      <c r="H166" s="10"/>
      <c r="I166" s="9"/>
      <c r="J166" s="10"/>
      <c r="L166" s="10"/>
      <c r="M166" s="10"/>
      <c r="N166" s="10"/>
      <c r="O166" s="8"/>
      <c r="P166" s="10"/>
    </row>
    <row r="167" spans="1:16" x14ac:dyDescent="0.45">
      <c r="A167" s="9"/>
      <c r="B167" t="b">
        <v>0</v>
      </c>
      <c r="D167" s="10"/>
      <c r="G167" s="10"/>
      <c r="H167" s="10"/>
      <c r="I167" s="9"/>
      <c r="J167" s="10"/>
      <c r="L167" s="10"/>
      <c r="M167" s="10"/>
      <c r="N167" s="10"/>
      <c r="O167" s="8"/>
      <c r="P167" s="10"/>
    </row>
    <row r="168" spans="1:16" x14ac:dyDescent="0.45">
      <c r="A168" s="9"/>
      <c r="B168" t="b">
        <v>0</v>
      </c>
      <c r="D168" s="10"/>
      <c r="G168" s="10"/>
      <c r="H168" s="10"/>
      <c r="I168" s="9"/>
      <c r="J168" s="10"/>
      <c r="L168" s="10"/>
      <c r="M168" s="10"/>
      <c r="N168" s="10"/>
      <c r="O168" s="8"/>
      <c r="P168" s="10"/>
    </row>
    <row r="169" spans="1:16" x14ac:dyDescent="0.45">
      <c r="A169" s="9"/>
      <c r="B169" t="b">
        <v>0</v>
      </c>
      <c r="D169" s="10"/>
      <c r="G169" s="10"/>
      <c r="H169" s="10"/>
      <c r="I169" s="9"/>
      <c r="J169" s="10"/>
      <c r="L169" s="10"/>
      <c r="M169" s="10"/>
      <c r="N169" s="10"/>
      <c r="O169" s="8"/>
      <c r="P169" s="10"/>
    </row>
    <row r="170" spans="1:16" x14ac:dyDescent="0.45">
      <c r="A170" s="9"/>
      <c r="B170" t="b">
        <v>0</v>
      </c>
      <c r="D170" s="10"/>
      <c r="G170" s="10"/>
      <c r="H170" s="10"/>
      <c r="I170" s="9"/>
      <c r="J170" s="10"/>
      <c r="L170" s="10"/>
      <c r="M170" s="10"/>
      <c r="N170" s="10"/>
      <c r="O170" s="8"/>
      <c r="P170" s="10"/>
    </row>
    <row r="171" spans="1:16" x14ac:dyDescent="0.45">
      <c r="A171" s="9"/>
      <c r="B171" t="b">
        <v>0</v>
      </c>
      <c r="D171" s="10"/>
      <c r="G171" s="10"/>
      <c r="H171" s="10"/>
      <c r="I171" s="9"/>
      <c r="J171" s="10"/>
      <c r="L171" s="10"/>
      <c r="M171" s="10"/>
      <c r="N171" s="10"/>
      <c r="O171" s="8"/>
      <c r="P171" s="10"/>
    </row>
    <row r="172" spans="1:16" x14ac:dyDescent="0.45">
      <c r="A172" s="9"/>
      <c r="B172" t="b">
        <v>0</v>
      </c>
      <c r="D172" s="10"/>
      <c r="G172" s="10"/>
      <c r="H172" s="10"/>
      <c r="I172" s="9"/>
      <c r="J172" s="10"/>
      <c r="L172" s="10"/>
      <c r="M172" s="10"/>
      <c r="N172" s="10"/>
      <c r="O172" s="8"/>
      <c r="P172" s="10"/>
    </row>
    <row r="173" spans="1:16" x14ac:dyDescent="0.45">
      <c r="A173" s="9"/>
      <c r="B173" t="b">
        <v>0</v>
      </c>
      <c r="D173" s="10"/>
      <c r="G173" s="10"/>
      <c r="H173" s="10"/>
      <c r="I173" s="9"/>
      <c r="J173" s="10"/>
      <c r="L173" s="10"/>
      <c r="M173" s="10"/>
      <c r="N173" s="10"/>
      <c r="O173" s="8"/>
      <c r="P173" s="10"/>
    </row>
    <row r="174" spans="1:16" x14ac:dyDescent="0.45">
      <c r="A174" s="9"/>
      <c r="B174" t="b">
        <v>0</v>
      </c>
      <c r="D174" s="10"/>
      <c r="G174" s="10"/>
      <c r="H174" s="10"/>
      <c r="I174" s="9"/>
      <c r="J174" s="10"/>
      <c r="L174" s="10"/>
      <c r="M174" s="10"/>
      <c r="N174" s="10"/>
      <c r="O174" s="8"/>
      <c r="P174" s="10"/>
    </row>
    <row r="175" spans="1:16" x14ac:dyDescent="0.45">
      <c r="A175" s="9"/>
      <c r="B175" t="b">
        <v>0</v>
      </c>
      <c r="D175" s="10"/>
      <c r="G175" s="10"/>
      <c r="H175" s="10"/>
      <c r="I175" s="9"/>
      <c r="J175" s="10"/>
      <c r="L175" s="10"/>
      <c r="M175" s="10"/>
      <c r="N175" s="10"/>
      <c r="O175" s="8"/>
      <c r="P175" s="10"/>
    </row>
    <row r="176" spans="1:16" x14ac:dyDescent="0.45">
      <c r="A176" s="9"/>
      <c r="B176" t="b">
        <v>0</v>
      </c>
      <c r="D176" s="10"/>
      <c r="G176" s="10"/>
      <c r="H176" s="10"/>
      <c r="I176" s="9"/>
      <c r="J176" s="10"/>
      <c r="L176" s="10"/>
      <c r="M176" s="10"/>
      <c r="N176" s="10"/>
      <c r="O176" s="8"/>
      <c r="P176" s="10"/>
    </row>
    <row r="177" spans="1:16" x14ac:dyDescent="0.45">
      <c r="A177" s="9"/>
      <c r="B177" t="b">
        <v>0</v>
      </c>
      <c r="D177" s="10"/>
      <c r="G177" s="10"/>
      <c r="H177" s="10"/>
      <c r="I177" s="9"/>
      <c r="J177" s="10"/>
      <c r="L177" s="10"/>
      <c r="M177" s="10"/>
      <c r="N177" s="10"/>
      <c r="O177" s="8"/>
      <c r="P177" s="10"/>
    </row>
    <row r="178" spans="1:16" x14ac:dyDescent="0.45">
      <c r="A178" s="9"/>
      <c r="B178" t="b">
        <v>0</v>
      </c>
      <c r="D178" s="10"/>
      <c r="G178" s="10"/>
      <c r="H178" s="10"/>
      <c r="I178" s="9"/>
      <c r="J178" s="10"/>
      <c r="L178" s="10"/>
      <c r="M178" s="10"/>
      <c r="N178" s="10"/>
      <c r="O178" s="8"/>
      <c r="P178" s="10"/>
    </row>
    <row r="179" spans="1:16" x14ac:dyDescent="0.45">
      <c r="A179" s="9"/>
      <c r="B179" t="b">
        <v>0</v>
      </c>
      <c r="D179" s="10"/>
      <c r="G179" s="10"/>
      <c r="H179" s="10"/>
      <c r="I179" s="9"/>
      <c r="J179" s="10"/>
      <c r="L179" s="10"/>
      <c r="M179" s="10"/>
      <c r="N179" s="10"/>
      <c r="O179" s="8"/>
      <c r="P179" s="10"/>
    </row>
    <row r="180" spans="1:16" x14ac:dyDescent="0.45">
      <c r="A180" s="9"/>
      <c r="B180" t="b">
        <v>0</v>
      </c>
      <c r="D180" s="10"/>
      <c r="G180" s="10"/>
      <c r="H180" s="10"/>
      <c r="I180" s="9"/>
      <c r="J180" s="10"/>
      <c r="L180" s="10"/>
      <c r="M180" s="10"/>
      <c r="N180" s="10"/>
      <c r="O180" s="8"/>
      <c r="P180" s="10"/>
    </row>
    <row r="181" spans="1:16" x14ac:dyDescent="0.45">
      <c r="A181" s="9"/>
      <c r="B181" t="b">
        <v>0</v>
      </c>
      <c r="D181" s="10"/>
      <c r="G181" s="10"/>
      <c r="H181" s="10"/>
      <c r="I181" s="9"/>
      <c r="J181" s="10"/>
      <c r="L181" s="10"/>
      <c r="M181" s="10"/>
      <c r="N181" s="10"/>
      <c r="O181" s="8"/>
      <c r="P181" s="10"/>
    </row>
    <row r="182" spans="1:16" x14ac:dyDescent="0.45">
      <c r="A182" s="9"/>
      <c r="B182" t="b">
        <v>0</v>
      </c>
      <c r="D182" s="10"/>
      <c r="G182" s="10"/>
      <c r="H182" s="10"/>
      <c r="I182" s="9"/>
      <c r="J182" s="10"/>
      <c r="L182" s="10"/>
      <c r="M182" s="10"/>
      <c r="N182" s="10"/>
      <c r="O182" s="8"/>
      <c r="P182" s="10"/>
    </row>
    <row r="183" spans="1:16" x14ac:dyDescent="0.45">
      <c r="A183" s="9"/>
      <c r="B183" t="b">
        <v>0</v>
      </c>
      <c r="D183" s="10"/>
      <c r="G183" s="10"/>
      <c r="H183" s="10"/>
      <c r="I183" s="9"/>
      <c r="J183" s="10"/>
      <c r="L183" s="10"/>
      <c r="M183" s="10"/>
      <c r="N183" s="10"/>
      <c r="O183" s="8"/>
      <c r="P183" s="10"/>
    </row>
    <row r="184" spans="1:16" x14ac:dyDescent="0.45">
      <c r="A184" s="9"/>
      <c r="B184" t="b">
        <v>0</v>
      </c>
      <c r="D184" s="10"/>
      <c r="G184" s="10"/>
      <c r="H184" s="10"/>
      <c r="I184" s="9"/>
      <c r="J184" s="10"/>
      <c r="L184" s="10"/>
      <c r="M184" s="10"/>
      <c r="N184" s="10"/>
      <c r="O184" s="8"/>
      <c r="P184" s="10"/>
    </row>
    <row r="185" spans="1:16" x14ac:dyDescent="0.45">
      <c r="A185" s="9"/>
      <c r="B185" t="b">
        <v>0</v>
      </c>
      <c r="D185" s="10"/>
      <c r="G185" s="10"/>
      <c r="H185" s="10"/>
      <c r="I185" s="9"/>
      <c r="J185" s="10"/>
      <c r="L185" s="10"/>
      <c r="M185" s="10"/>
      <c r="N185" s="10"/>
      <c r="O185" s="8"/>
      <c r="P185" s="10"/>
    </row>
    <row r="186" spans="1:16" x14ac:dyDescent="0.45">
      <c r="A186" s="9"/>
      <c r="B186" t="b">
        <v>0</v>
      </c>
      <c r="D186" s="10"/>
      <c r="G186" s="10"/>
      <c r="H186" s="10"/>
      <c r="I186" s="9"/>
      <c r="J186" s="10"/>
      <c r="L186" s="10"/>
      <c r="M186" s="10"/>
      <c r="N186" s="10"/>
      <c r="O186" s="8"/>
      <c r="P186" s="10"/>
    </row>
    <row r="187" spans="1:16" x14ac:dyDescent="0.45">
      <c r="A187" s="9"/>
      <c r="B187" t="b">
        <v>0</v>
      </c>
      <c r="D187" s="10"/>
      <c r="G187" s="10"/>
      <c r="H187" s="10"/>
      <c r="I187" s="9"/>
      <c r="J187" s="10"/>
      <c r="L187" s="10"/>
      <c r="M187" s="10"/>
      <c r="N187" s="10"/>
      <c r="O187" s="8"/>
      <c r="P187" s="10"/>
    </row>
    <row r="188" spans="1:16" x14ac:dyDescent="0.45">
      <c r="A188" s="9"/>
      <c r="B188" t="b">
        <v>0</v>
      </c>
      <c r="D188" s="10"/>
      <c r="G188" s="10"/>
      <c r="H188" s="10"/>
      <c r="I188" s="9"/>
      <c r="J188" s="10"/>
      <c r="L188" s="10"/>
      <c r="M188" s="10"/>
      <c r="N188" s="10"/>
      <c r="O188" s="8"/>
      <c r="P188" s="10"/>
    </row>
    <row r="189" spans="1:16" x14ac:dyDescent="0.45">
      <c r="A189" s="9"/>
      <c r="B189" t="b">
        <v>0</v>
      </c>
      <c r="D189" s="10"/>
      <c r="G189" s="10"/>
      <c r="H189" s="10"/>
      <c r="I189" s="9"/>
      <c r="J189" s="10"/>
      <c r="L189" s="10"/>
      <c r="M189" s="10"/>
      <c r="N189" s="10"/>
      <c r="O189" s="8"/>
      <c r="P189" s="10"/>
    </row>
    <row r="190" spans="1:16" x14ac:dyDescent="0.45">
      <c r="A190" s="9"/>
      <c r="B190" t="b">
        <v>0</v>
      </c>
      <c r="D190" s="10"/>
      <c r="G190" s="10"/>
      <c r="H190" s="10"/>
      <c r="I190" s="9"/>
      <c r="J190" s="10"/>
      <c r="L190" s="10"/>
      <c r="M190" s="10"/>
      <c r="N190" s="10"/>
      <c r="O190" s="8"/>
      <c r="P190" s="10"/>
    </row>
    <row r="191" spans="1:16" x14ac:dyDescent="0.45">
      <c r="A191" s="9"/>
      <c r="B191" t="b">
        <v>0</v>
      </c>
      <c r="D191" s="10"/>
      <c r="G191" s="10"/>
      <c r="H191" s="10"/>
      <c r="I191" s="9"/>
      <c r="J191" s="10"/>
      <c r="L191" s="10"/>
      <c r="M191" s="10"/>
      <c r="N191" s="10"/>
      <c r="O191" s="8"/>
      <c r="P191" s="10"/>
    </row>
    <row r="192" spans="1:16" x14ac:dyDescent="0.45">
      <c r="A192" s="9"/>
      <c r="B192" t="b">
        <v>0</v>
      </c>
      <c r="D192" s="10"/>
      <c r="G192" s="10"/>
      <c r="H192" s="10"/>
      <c r="I192" s="9"/>
      <c r="J192" s="10"/>
      <c r="L192" s="10"/>
      <c r="M192" s="10"/>
      <c r="N192" s="10"/>
      <c r="O192" s="8"/>
      <c r="P192" s="10"/>
    </row>
    <row r="193" spans="1:16" x14ac:dyDescent="0.45">
      <c r="A193" s="9"/>
      <c r="B193" t="b">
        <v>0</v>
      </c>
      <c r="D193" s="10"/>
      <c r="G193" s="10"/>
      <c r="H193" s="10"/>
      <c r="I193" s="9"/>
      <c r="J193" s="10"/>
      <c r="L193" s="10"/>
      <c r="M193" s="10"/>
      <c r="N193" s="10"/>
      <c r="O193" s="8"/>
      <c r="P193" s="10"/>
    </row>
    <row r="194" spans="1:16" x14ac:dyDescent="0.45">
      <c r="A194" s="9"/>
      <c r="B194" t="b">
        <v>0</v>
      </c>
      <c r="D194" s="10"/>
      <c r="G194" s="10"/>
      <c r="H194" s="10"/>
      <c r="I194" s="9"/>
      <c r="J194" s="10"/>
      <c r="L194" s="10"/>
      <c r="M194" s="10"/>
      <c r="N194" s="10"/>
      <c r="O194" s="8"/>
      <c r="P194" s="10"/>
    </row>
    <row r="195" spans="1:16" x14ac:dyDescent="0.45">
      <c r="A195" s="9"/>
      <c r="B195" t="b">
        <v>0</v>
      </c>
      <c r="D195" s="10"/>
      <c r="G195" s="10"/>
      <c r="H195" s="10"/>
      <c r="I195" s="9"/>
      <c r="J195" s="10"/>
      <c r="L195" s="10"/>
      <c r="M195" s="10"/>
      <c r="N195" s="10"/>
      <c r="O195" s="8"/>
      <c r="P195" s="10"/>
    </row>
    <row r="196" spans="1:16" x14ac:dyDescent="0.45">
      <c r="A196" s="9"/>
      <c r="B196" t="b">
        <v>0</v>
      </c>
      <c r="D196" s="10"/>
      <c r="G196" s="10"/>
      <c r="H196" s="10"/>
      <c r="I196" s="9"/>
      <c r="J196" s="10"/>
      <c r="L196" s="10"/>
      <c r="M196" s="10"/>
      <c r="N196" s="10"/>
      <c r="O196" s="8"/>
      <c r="P196" s="10"/>
    </row>
    <row r="197" spans="1:16" x14ac:dyDescent="0.45">
      <c r="A197" s="9"/>
      <c r="B197" t="b">
        <v>0</v>
      </c>
      <c r="D197" s="10"/>
      <c r="G197" s="10"/>
      <c r="H197" s="10"/>
      <c r="I197" s="9"/>
      <c r="J197" s="10"/>
      <c r="L197" s="10"/>
      <c r="M197" s="10"/>
      <c r="N197" s="10"/>
      <c r="O197" s="8"/>
      <c r="P197" s="10"/>
    </row>
    <row r="198" spans="1:16" x14ac:dyDescent="0.45">
      <c r="A198" s="9"/>
      <c r="B198" t="b">
        <v>0</v>
      </c>
      <c r="D198" s="10"/>
      <c r="G198" s="10"/>
      <c r="H198" s="10"/>
      <c r="I198" s="9"/>
      <c r="J198" s="10"/>
      <c r="L198" s="10"/>
      <c r="M198" s="10"/>
      <c r="N198" s="10"/>
      <c r="O198" s="8"/>
      <c r="P198" s="10"/>
    </row>
    <row r="199" spans="1:16" x14ac:dyDescent="0.45">
      <c r="A199" s="9"/>
      <c r="B199" t="b">
        <v>0</v>
      </c>
      <c r="D199" s="10"/>
      <c r="G199" s="10"/>
      <c r="H199" s="10"/>
      <c r="I199" s="9"/>
      <c r="J199" s="10"/>
      <c r="L199" s="10"/>
      <c r="M199" s="10"/>
      <c r="N199" s="10"/>
      <c r="O199" s="8"/>
      <c r="P199" s="10"/>
    </row>
    <row r="200" spans="1:16" x14ac:dyDescent="0.45">
      <c r="A200" s="9"/>
      <c r="B200" t="b">
        <v>0</v>
      </c>
      <c r="D200" s="10"/>
      <c r="G200" s="10"/>
      <c r="H200" s="10"/>
      <c r="I200" s="9"/>
      <c r="J200" s="10"/>
      <c r="L200" s="10"/>
      <c r="M200" s="10"/>
      <c r="N200" s="10"/>
      <c r="O200" s="8"/>
      <c r="P200" s="10"/>
    </row>
    <row r="201" spans="1:16" x14ac:dyDescent="0.45">
      <c r="A201" s="9"/>
      <c r="B201" t="b">
        <v>0</v>
      </c>
      <c r="D201" s="10"/>
      <c r="G201" s="10"/>
      <c r="H201" s="10"/>
      <c r="I201" s="9"/>
      <c r="J201" s="10"/>
      <c r="L201" s="10"/>
      <c r="M201" s="10"/>
      <c r="N201" s="10"/>
      <c r="O201" s="8"/>
      <c r="P201" s="10"/>
    </row>
    <row r="202" spans="1:16" x14ac:dyDescent="0.45">
      <c r="A202" s="9"/>
      <c r="B202" t="b">
        <v>0</v>
      </c>
      <c r="D202" s="10"/>
      <c r="G202" s="10"/>
      <c r="H202" s="10"/>
      <c r="I202" s="9"/>
      <c r="J202" s="10"/>
      <c r="L202" s="10"/>
      <c r="M202" s="10"/>
      <c r="N202" s="10"/>
      <c r="O202" s="8"/>
      <c r="P202" s="10"/>
    </row>
    <row r="203" spans="1:16" x14ac:dyDescent="0.45">
      <c r="A203" s="9"/>
      <c r="B203" t="b">
        <v>0</v>
      </c>
      <c r="D203" s="10"/>
      <c r="G203" s="10"/>
      <c r="H203" s="10"/>
      <c r="I203" s="9"/>
      <c r="J203" s="10"/>
      <c r="L203" s="10"/>
      <c r="M203" s="10"/>
      <c r="N203" s="10"/>
      <c r="O203" s="8"/>
      <c r="P203" s="10"/>
    </row>
    <row r="204" spans="1:16" x14ac:dyDescent="0.45">
      <c r="A204" s="9"/>
      <c r="B204" t="b">
        <v>0</v>
      </c>
      <c r="D204" s="10"/>
      <c r="G204" s="10"/>
      <c r="H204" s="10"/>
      <c r="I204" s="9"/>
      <c r="J204" s="10"/>
      <c r="L204" s="10"/>
      <c r="M204" s="10"/>
      <c r="N204" s="10"/>
      <c r="O204" s="8"/>
      <c r="P204" s="10"/>
    </row>
    <row r="205" spans="1:16" x14ac:dyDescent="0.45">
      <c r="A205" s="9"/>
      <c r="B205" t="b">
        <v>0</v>
      </c>
      <c r="D205" s="10"/>
      <c r="G205" s="10"/>
      <c r="H205" s="10"/>
      <c r="I205" s="9"/>
      <c r="J205" s="10"/>
      <c r="L205" s="10"/>
      <c r="M205" s="10"/>
      <c r="N205" s="10"/>
      <c r="O205" s="8"/>
      <c r="P205" s="10"/>
    </row>
    <row r="206" spans="1:16" x14ac:dyDescent="0.45">
      <c r="A206" s="9"/>
      <c r="B206" t="b">
        <v>0</v>
      </c>
      <c r="D206" s="10"/>
      <c r="G206" s="10"/>
      <c r="H206" s="10"/>
      <c r="I206" s="9"/>
      <c r="J206" s="10"/>
      <c r="L206" s="10"/>
      <c r="M206" s="10"/>
      <c r="N206" s="10"/>
      <c r="O206" s="8"/>
      <c r="P206" s="10"/>
    </row>
    <row r="207" spans="1:16" x14ac:dyDescent="0.45">
      <c r="A207" s="9"/>
      <c r="B207" t="b">
        <v>0</v>
      </c>
      <c r="D207" s="10"/>
      <c r="G207" s="10"/>
      <c r="H207" s="10"/>
      <c r="I207" s="9"/>
      <c r="J207" s="10"/>
      <c r="L207" s="10"/>
      <c r="M207" s="10"/>
      <c r="N207" s="10"/>
      <c r="O207" s="8"/>
      <c r="P207" s="10"/>
    </row>
    <row r="208" spans="1:16" x14ac:dyDescent="0.45">
      <c r="A208" s="9"/>
      <c r="B208" t="b">
        <v>0</v>
      </c>
      <c r="D208" s="10"/>
      <c r="G208" s="10"/>
      <c r="H208" s="10"/>
      <c r="I208" s="9"/>
      <c r="J208" s="10"/>
      <c r="L208" s="10"/>
      <c r="M208" s="10"/>
      <c r="N208" s="10"/>
      <c r="O208" s="8"/>
      <c r="P208" s="10"/>
    </row>
    <row r="209" spans="1:16" x14ac:dyDescent="0.45">
      <c r="A209" s="9"/>
      <c r="B209" t="b">
        <v>0</v>
      </c>
      <c r="D209" s="10"/>
      <c r="G209" s="10"/>
      <c r="H209" s="10"/>
      <c r="I209" s="9"/>
      <c r="J209" s="10"/>
      <c r="L209" s="10"/>
      <c r="M209" s="10"/>
      <c r="N209" s="10"/>
      <c r="O209" s="8"/>
      <c r="P209" s="10"/>
    </row>
    <row r="210" spans="1:16" x14ac:dyDescent="0.45">
      <c r="A210" s="9"/>
      <c r="B210" t="b">
        <v>0</v>
      </c>
      <c r="D210" s="10"/>
      <c r="G210" s="10"/>
      <c r="H210" s="10"/>
      <c r="I210" s="9"/>
      <c r="J210" s="10"/>
      <c r="L210" s="10"/>
      <c r="M210" s="10"/>
      <c r="N210" s="10"/>
      <c r="O210" s="8"/>
      <c r="P210" s="10"/>
    </row>
    <row r="211" spans="1:16" x14ac:dyDescent="0.45">
      <c r="A211" s="9"/>
      <c r="B211" t="b">
        <v>0</v>
      </c>
      <c r="D211" s="10"/>
      <c r="G211" s="10"/>
      <c r="H211" s="10"/>
      <c r="I211" s="9"/>
      <c r="J211" s="10"/>
      <c r="L211" s="10"/>
      <c r="M211" s="10"/>
      <c r="N211" s="10"/>
      <c r="O211" s="8"/>
      <c r="P211" s="10"/>
    </row>
    <row r="212" spans="1:16" x14ac:dyDescent="0.45">
      <c r="A212" s="9"/>
      <c r="B212" t="b">
        <v>0</v>
      </c>
      <c r="D212" s="10"/>
      <c r="G212" s="10"/>
      <c r="H212" s="10"/>
      <c r="I212" s="9"/>
      <c r="J212" s="10"/>
      <c r="L212" s="10"/>
      <c r="M212" s="10"/>
      <c r="N212" s="10"/>
      <c r="O212" s="8"/>
      <c r="P212" s="10"/>
    </row>
    <row r="213" spans="1:16" x14ac:dyDescent="0.45">
      <c r="A213" s="9"/>
      <c r="B213" t="b">
        <v>0</v>
      </c>
      <c r="D213" s="10"/>
      <c r="G213" s="10"/>
      <c r="H213" s="10"/>
      <c r="I213" s="9"/>
      <c r="J213" s="10"/>
      <c r="L213" s="10"/>
      <c r="M213" s="10"/>
      <c r="N213" s="10"/>
      <c r="O213" s="8"/>
      <c r="P213" s="10"/>
    </row>
    <row r="214" spans="1:16" x14ac:dyDescent="0.45">
      <c r="A214" s="9"/>
      <c r="B214" t="b">
        <v>0</v>
      </c>
      <c r="D214" s="10"/>
      <c r="G214" s="10"/>
      <c r="H214" s="10"/>
      <c r="I214" s="9"/>
      <c r="J214" s="10"/>
      <c r="L214" s="10"/>
      <c r="M214" s="10"/>
      <c r="N214" s="10"/>
      <c r="O214" s="8"/>
      <c r="P214" s="10"/>
    </row>
    <row r="215" spans="1:16" x14ac:dyDescent="0.45">
      <c r="A215" s="9"/>
      <c r="B215" t="b">
        <v>0</v>
      </c>
      <c r="D215" s="10"/>
      <c r="G215" s="10"/>
      <c r="H215" s="10"/>
      <c r="I215" s="9"/>
      <c r="J215" s="10"/>
      <c r="L215" s="10"/>
      <c r="M215" s="10"/>
      <c r="N215" s="10"/>
      <c r="O215" s="8"/>
      <c r="P215" s="10"/>
    </row>
    <row r="216" spans="1:16" x14ac:dyDescent="0.45">
      <c r="A216" s="9"/>
      <c r="B216" t="b">
        <v>0</v>
      </c>
      <c r="D216" s="10"/>
      <c r="G216" s="10"/>
      <c r="H216" s="10"/>
      <c r="I216" s="9"/>
      <c r="J216" s="10"/>
      <c r="L216" s="10"/>
      <c r="M216" s="10"/>
      <c r="N216" s="10"/>
      <c r="O216" s="8"/>
      <c r="P216" s="10"/>
    </row>
    <row r="217" spans="1:16" x14ac:dyDescent="0.45">
      <c r="A217" s="9"/>
      <c r="B217" t="b">
        <v>0</v>
      </c>
      <c r="D217" s="10"/>
      <c r="G217" s="10"/>
      <c r="H217" s="10"/>
      <c r="I217" s="9"/>
      <c r="J217" s="10"/>
      <c r="L217" s="10"/>
      <c r="M217" s="10"/>
      <c r="N217" s="10"/>
      <c r="O217" s="8"/>
      <c r="P217" s="10"/>
    </row>
    <row r="218" spans="1:16" x14ac:dyDescent="0.45">
      <c r="A218" s="9"/>
      <c r="B218" t="b">
        <v>0</v>
      </c>
      <c r="D218" s="10"/>
      <c r="G218" s="10"/>
      <c r="H218" s="10"/>
      <c r="I218" s="9"/>
      <c r="J218" s="10"/>
      <c r="L218" s="10"/>
      <c r="M218" s="10"/>
      <c r="N218" s="10"/>
      <c r="O218" s="8"/>
      <c r="P218" s="10"/>
    </row>
    <row r="219" spans="1:16" x14ac:dyDescent="0.45">
      <c r="A219" s="9"/>
      <c r="B219" t="b">
        <v>0</v>
      </c>
      <c r="D219" s="10"/>
      <c r="G219" s="10"/>
      <c r="H219" s="10"/>
      <c r="I219" s="9"/>
      <c r="J219" s="10"/>
      <c r="L219" s="10"/>
      <c r="M219" s="10"/>
      <c r="N219" s="10"/>
      <c r="O219" s="8"/>
      <c r="P219" s="10"/>
    </row>
    <row r="220" spans="1:16" x14ac:dyDescent="0.45">
      <c r="A220" s="9"/>
      <c r="B220" t="b">
        <v>0</v>
      </c>
      <c r="D220" s="10"/>
      <c r="G220" s="10"/>
      <c r="H220" s="10"/>
      <c r="I220" s="9"/>
      <c r="J220" s="10"/>
      <c r="L220" s="10"/>
      <c r="M220" s="10"/>
      <c r="N220" s="10"/>
      <c r="O220" s="8"/>
      <c r="P220" s="10"/>
    </row>
    <row r="221" spans="1:16" x14ac:dyDescent="0.45">
      <c r="A221" s="9"/>
      <c r="B221" t="b">
        <v>0</v>
      </c>
      <c r="D221" s="10"/>
      <c r="G221" s="10"/>
      <c r="H221" s="10"/>
      <c r="I221" s="9"/>
      <c r="J221" s="10"/>
      <c r="L221" s="10"/>
      <c r="M221" s="10"/>
      <c r="N221" s="10"/>
      <c r="O221" s="8"/>
      <c r="P221" s="10"/>
    </row>
    <row r="222" spans="1:16" x14ac:dyDescent="0.45">
      <c r="A222" s="9"/>
      <c r="B222" t="b">
        <v>0</v>
      </c>
      <c r="D222" s="10"/>
      <c r="G222" s="10"/>
      <c r="H222" s="10"/>
      <c r="I222" s="9"/>
      <c r="J222" s="10"/>
      <c r="L222" s="10"/>
      <c r="M222" s="10"/>
      <c r="N222" s="10"/>
      <c r="O222" s="8"/>
      <c r="P222" s="10"/>
    </row>
    <row r="223" spans="1:16" x14ac:dyDescent="0.45">
      <c r="A223" s="9"/>
      <c r="B223" t="b">
        <v>0</v>
      </c>
      <c r="D223" s="10"/>
      <c r="G223" s="10"/>
      <c r="H223" s="10"/>
      <c r="I223" s="9"/>
      <c r="J223" s="10"/>
      <c r="L223" s="10"/>
      <c r="M223" s="10"/>
      <c r="N223" s="10"/>
      <c r="O223" s="8"/>
      <c r="P223" s="10"/>
    </row>
    <row r="224" spans="1:16" x14ac:dyDescent="0.45">
      <c r="A224" s="9"/>
      <c r="B224" t="b">
        <v>0</v>
      </c>
      <c r="D224" s="10"/>
      <c r="G224" s="10"/>
      <c r="H224" s="10"/>
      <c r="I224" s="9"/>
      <c r="J224" s="10"/>
      <c r="L224" s="10"/>
      <c r="M224" s="10"/>
      <c r="N224" s="10"/>
      <c r="O224" s="8"/>
      <c r="P224" s="10"/>
    </row>
    <row r="225" spans="1:16" x14ac:dyDescent="0.45">
      <c r="A225" s="9"/>
      <c r="B225" t="b">
        <v>0</v>
      </c>
      <c r="D225" s="10"/>
      <c r="G225" s="10"/>
      <c r="H225" s="10"/>
      <c r="I225" s="9"/>
      <c r="J225" s="10"/>
      <c r="L225" s="10"/>
      <c r="M225" s="10"/>
      <c r="N225" s="10"/>
      <c r="O225" s="8"/>
      <c r="P225" s="10"/>
    </row>
    <row r="226" spans="1:16" x14ac:dyDescent="0.45">
      <c r="A226" s="9"/>
      <c r="B226" t="b">
        <v>0</v>
      </c>
      <c r="D226" s="10"/>
      <c r="G226" s="10"/>
      <c r="H226" s="10"/>
      <c r="I226" s="9"/>
      <c r="J226" s="10"/>
      <c r="L226" s="10"/>
      <c r="M226" s="10"/>
      <c r="N226" s="10"/>
      <c r="O226" s="8"/>
      <c r="P226" s="10"/>
    </row>
    <row r="227" spans="1:16" x14ac:dyDescent="0.45">
      <c r="A227" s="9"/>
      <c r="B227" t="b">
        <v>0</v>
      </c>
      <c r="D227" s="10"/>
      <c r="G227" s="10"/>
      <c r="H227" s="10"/>
      <c r="I227" s="9"/>
      <c r="J227" s="10"/>
      <c r="L227" s="10"/>
      <c r="M227" s="10"/>
      <c r="N227" s="10"/>
      <c r="O227" s="8"/>
      <c r="P227" s="10"/>
    </row>
    <row r="228" spans="1:16" x14ac:dyDescent="0.45">
      <c r="A228" s="9"/>
      <c r="B228" t="b">
        <v>0</v>
      </c>
      <c r="D228" s="10"/>
      <c r="G228" s="10"/>
      <c r="H228" s="10"/>
      <c r="I228" s="9"/>
      <c r="J228" s="10"/>
      <c r="L228" s="10"/>
      <c r="M228" s="10"/>
      <c r="N228" s="10"/>
      <c r="O228" s="8"/>
      <c r="P228" s="10"/>
    </row>
    <row r="229" spans="1:16" x14ac:dyDescent="0.45">
      <c r="A229" s="9"/>
      <c r="B229" t="b">
        <v>0</v>
      </c>
      <c r="D229" s="10"/>
      <c r="G229" s="10"/>
      <c r="H229" s="10"/>
      <c r="I229" s="9"/>
      <c r="J229" s="10"/>
      <c r="L229" s="10"/>
      <c r="M229" s="10"/>
      <c r="N229" s="10"/>
      <c r="O229" s="8"/>
      <c r="P229" s="10"/>
    </row>
    <row r="230" spans="1:16" x14ac:dyDescent="0.45">
      <c r="A230" s="9"/>
      <c r="B230" t="b">
        <v>0</v>
      </c>
      <c r="D230" s="10"/>
      <c r="G230" s="10"/>
      <c r="H230" s="10"/>
      <c r="I230" s="9"/>
      <c r="J230" s="10"/>
      <c r="L230" s="10"/>
      <c r="M230" s="10"/>
      <c r="N230" s="10"/>
      <c r="O230" s="8"/>
      <c r="P230" s="10"/>
    </row>
    <row r="231" spans="1:16" x14ac:dyDescent="0.45">
      <c r="A231" s="9"/>
      <c r="B231" t="b">
        <v>0</v>
      </c>
      <c r="D231" s="10"/>
      <c r="G231" s="10"/>
      <c r="H231" s="10"/>
      <c r="I231" s="9"/>
      <c r="J231" s="10"/>
      <c r="L231" s="10"/>
      <c r="M231" s="10"/>
      <c r="N231" s="10"/>
      <c r="O231" s="8"/>
      <c r="P231" s="10"/>
    </row>
    <row r="232" spans="1:16" x14ac:dyDescent="0.45">
      <c r="A232" s="9"/>
      <c r="B232" t="b">
        <v>0</v>
      </c>
      <c r="D232" s="10"/>
      <c r="G232" s="10"/>
      <c r="H232" s="10"/>
      <c r="I232" s="9"/>
      <c r="J232" s="10"/>
      <c r="L232" s="10"/>
      <c r="M232" s="10"/>
      <c r="N232" s="10"/>
      <c r="O232" s="8"/>
      <c r="P232" s="10"/>
    </row>
    <row r="233" spans="1:16" x14ac:dyDescent="0.45">
      <c r="A233" s="9"/>
      <c r="B233" t="b">
        <v>0</v>
      </c>
      <c r="D233" s="10"/>
      <c r="G233" s="10"/>
      <c r="H233" s="10"/>
      <c r="I233" s="9"/>
      <c r="J233" s="10"/>
      <c r="L233" s="10"/>
      <c r="M233" s="10"/>
      <c r="N233" s="10"/>
      <c r="O233" s="8"/>
      <c r="P233" s="10"/>
    </row>
    <row r="234" spans="1:16" x14ac:dyDescent="0.45">
      <c r="A234" s="9"/>
      <c r="B234" t="b">
        <v>0</v>
      </c>
      <c r="D234" s="10"/>
      <c r="G234" s="10"/>
      <c r="H234" s="10"/>
      <c r="I234" s="9"/>
      <c r="J234" s="10"/>
      <c r="L234" s="10"/>
      <c r="M234" s="10"/>
      <c r="N234" s="10"/>
      <c r="O234" s="8"/>
      <c r="P234" s="10"/>
    </row>
    <row r="235" spans="1:16" x14ac:dyDescent="0.45">
      <c r="A235" s="9"/>
      <c r="B235" t="b">
        <v>0</v>
      </c>
      <c r="D235" s="10"/>
      <c r="G235" s="10"/>
      <c r="H235" s="10"/>
      <c r="I235" s="9"/>
      <c r="J235" s="10"/>
      <c r="L235" s="10"/>
      <c r="M235" s="10"/>
      <c r="N235" s="10"/>
      <c r="O235" s="8"/>
      <c r="P235" s="10"/>
    </row>
    <row r="236" spans="1:16" x14ac:dyDescent="0.45">
      <c r="A236" s="9"/>
      <c r="B236" t="b">
        <v>0</v>
      </c>
      <c r="D236" s="10"/>
      <c r="G236" s="10"/>
      <c r="H236" s="10"/>
      <c r="I236" s="9"/>
      <c r="J236" s="10"/>
      <c r="L236" s="10"/>
      <c r="M236" s="10"/>
      <c r="N236" s="10"/>
      <c r="O236" s="8"/>
      <c r="P236" s="10"/>
    </row>
    <row r="237" spans="1:16" x14ac:dyDescent="0.45">
      <c r="A237" s="9"/>
      <c r="B237" t="b">
        <v>0</v>
      </c>
      <c r="D237" s="10"/>
      <c r="G237" s="10"/>
      <c r="H237" s="10"/>
      <c r="I237" s="9"/>
      <c r="J237" s="10"/>
      <c r="L237" s="10"/>
      <c r="M237" s="10"/>
      <c r="N237" s="10"/>
      <c r="O237" s="8"/>
      <c r="P237" s="10"/>
    </row>
    <row r="238" spans="1:16" x14ac:dyDescent="0.45">
      <c r="A238" s="9"/>
      <c r="B238" t="b">
        <v>0</v>
      </c>
      <c r="D238" s="10"/>
      <c r="G238" s="10"/>
      <c r="H238" s="10"/>
      <c r="I238" s="9"/>
      <c r="J238" s="10"/>
      <c r="L238" s="10"/>
      <c r="M238" s="10"/>
      <c r="N238" s="10"/>
      <c r="O238" s="8"/>
      <c r="P238" s="10"/>
    </row>
    <row r="239" spans="1:16" x14ac:dyDescent="0.45">
      <c r="A239" s="9"/>
      <c r="B239" t="b">
        <v>0</v>
      </c>
      <c r="D239" s="10"/>
      <c r="G239" s="10"/>
      <c r="H239" s="10"/>
      <c r="I239" s="9"/>
      <c r="J239" s="10"/>
      <c r="L239" s="10"/>
      <c r="M239" s="10"/>
      <c r="N239" s="10"/>
      <c r="O239" s="8"/>
      <c r="P239" s="10"/>
    </row>
    <row r="240" spans="1:16" x14ac:dyDescent="0.45">
      <c r="A240" s="9"/>
      <c r="B240" t="b">
        <v>0</v>
      </c>
      <c r="D240" s="10"/>
      <c r="G240" s="10"/>
      <c r="H240" s="10"/>
      <c r="I240" s="9"/>
      <c r="J240" s="10"/>
      <c r="L240" s="10"/>
      <c r="M240" s="10"/>
      <c r="N240" s="10"/>
      <c r="O240" s="8"/>
      <c r="P240" s="10"/>
    </row>
    <row r="241" spans="1:16" x14ac:dyDescent="0.45">
      <c r="A241" s="9"/>
      <c r="B241" t="b">
        <v>0</v>
      </c>
      <c r="D241" s="10"/>
      <c r="G241" s="10"/>
      <c r="H241" s="10"/>
      <c r="I241" s="9"/>
      <c r="J241" s="10"/>
      <c r="L241" s="10"/>
      <c r="M241" s="10"/>
      <c r="N241" s="10"/>
      <c r="O241" s="8"/>
      <c r="P241" s="10"/>
    </row>
    <row r="242" spans="1:16" x14ac:dyDescent="0.45">
      <c r="A242" s="9"/>
      <c r="B242" t="b">
        <v>0</v>
      </c>
      <c r="D242" s="10"/>
      <c r="G242" s="10"/>
      <c r="H242" s="10"/>
      <c r="I242" s="9"/>
      <c r="J242" s="10"/>
      <c r="L242" s="10"/>
      <c r="M242" s="10"/>
      <c r="N242" s="10"/>
      <c r="O242" s="8"/>
      <c r="P242" s="10"/>
    </row>
    <row r="243" spans="1:16" x14ac:dyDescent="0.45">
      <c r="A243" s="9"/>
      <c r="B243" t="b">
        <v>0</v>
      </c>
      <c r="D243" s="10"/>
      <c r="G243" s="10"/>
      <c r="H243" s="10"/>
      <c r="I243" s="9"/>
      <c r="J243" s="10"/>
      <c r="L243" s="10"/>
      <c r="M243" s="10"/>
      <c r="N243" s="10"/>
      <c r="O243" s="8"/>
      <c r="P243" s="10"/>
    </row>
    <row r="244" spans="1:16" x14ac:dyDescent="0.45">
      <c r="A244" s="9"/>
      <c r="B244" t="b">
        <v>0</v>
      </c>
      <c r="D244" s="10"/>
      <c r="G244" s="10"/>
      <c r="H244" s="10"/>
      <c r="I244" s="9"/>
      <c r="J244" s="10"/>
      <c r="L244" s="10"/>
      <c r="M244" s="10"/>
      <c r="N244" s="10"/>
      <c r="O244" s="8"/>
      <c r="P244" s="10"/>
    </row>
    <row r="245" spans="1:16" x14ac:dyDescent="0.45">
      <c r="A245" s="9"/>
      <c r="B245" t="b">
        <v>0</v>
      </c>
      <c r="D245" s="10"/>
      <c r="G245" s="10"/>
      <c r="H245" s="10"/>
      <c r="I245" s="9"/>
      <c r="J245" s="10"/>
      <c r="L245" s="10"/>
      <c r="M245" s="10"/>
      <c r="N245" s="10"/>
      <c r="O245" s="8"/>
      <c r="P245" s="10"/>
    </row>
    <row r="246" spans="1:16" x14ac:dyDescent="0.45">
      <c r="A246" s="9"/>
      <c r="B246" t="b">
        <v>0</v>
      </c>
      <c r="D246" s="10"/>
      <c r="G246" s="10"/>
      <c r="H246" s="10"/>
      <c r="I246" s="9"/>
      <c r="J246" s="10"/>
      <c r="L246" s="10"/>
      <c r="M246" s="10"/>
      <c r="N246" s="10"/>
      <c r="O246" s="8"/>
      <c r="P246" s="10"/>
    </row>
    <row r="247" spans="1:16" x14ac:dyDescent="0.45">
      <c r="A247" s="9"/>
      <c r="B247" t="b">
        <v>0</v>
      </c>
      <c r="D247" s="10"/>
      <c r="G247" s="10"/>
      <c r="H247" s="10"/>
      <c r="I247" s="9"/>
      <c r="J247" s="10"/>
      <c r="L247" s="10"/>
      <c r="M247" s="10"/>
      <c r="N247" s="10"/>
      <c r="O247" s="8"/>
      <c r="P247" s="10"/>
    </row>
    <row r="248" spans="1:16" x14ac:dyDescent="0.45">
      <c r="A248" s="9"/>
      <c r="B248" t="b">
        <v>0</v>
      </c>
      <c r="D248" s="10"/>
      <c r="G248" s="10"/>
      <c r="H248" s="10"/>
      <c r="I248" s="9"/>
      <c r="J248" s="10"/>
      <c r="L248" s="10"/>
      <c r="M248" s="10"/>
      <c r="N248" s="10"/>
      <c r="O248" s="8"/>
      <c r="P248" s="10"/>
    </row>
    <row r="249" spans="1:16" x14ac:dyDescent="0.45">
      <c r="A249" s="9"/>
      <c r="B249" t="b">
        <v>0</v>
      </c>
      <c r="D249" s="10"/>
      <c r="G249" s="10"/>
      <c r="H249" s="10"/>
      <c r="I249" s="9"/>
      <c r="J249" s="10"/>
      <c r="L249" s="10"/>
      <c r="M249" s="10"/>
      <c r="N249" s="10"/>
      <c r="O249" s="8"/>
      <c r="P249" s="10"/>
    </row>
    <row r="250" spans="1:16" x14ac:dyDescent="0.45">
      <c r="A250" s="9"/>
      <c r="B250" t="b">
        <v>0</v>
      </c>
      <c r="D250" s="10"/>
      <c r="G250" s="10"/>
      <c r="H250" s="10"/>
      <c r="I250" s="9"/>
      <c r="J250" s="10"/>
      <c r="L250" s="10"/>
      <c r="M250" s="10"/>
      <c r="N250" s="10"/>
      <c r="O250" s="8"/>
      <c r="P250" s="10"/>
    </row>
    <row r="251" spans="1:16" x14ac:dyDescent="0.45">
      <c r="A251" s="9"/>
      <c r="B251" t="b">
        <v>0</v>
      </c>
      <c r="D251" s="10"/>
      <c r="G251" s="10"/>
      <c r="H251" s="10"/>
      <c r="I251" s="9"/>
      <c r="J251" s="10"/>
      <c r="L251" s="10"/>
      <c r="M251" s="10"/>
      <c r="N251" s="10"/>
      <c r="O251" s="8"/>
      <c r="P251" s="10"/>
    </row>
    <row r="252" spans="1:16" x14ac:dyDescent="0.45">
      <c r="A252" s="9"/>
      <c r="B252" t="b">
        <v>0</v>
      </c>
      <c r="D252" s="10"/>
      <c r="G252" s="10"/>
      <c r="H252" s="10"/>
      <c r="I252" s="9"/>
      <c r="J252" s="10"/>
      <c r="L252" s="10"/>
      <c r="M252" s="10"/>
      <c r="N252" s="10"/>
      <c r="O252" s="8"/>
      <c r="P252" s="10"/>
    </row>
    <row r="253" spans="1:16" x14ac:dyDescent="0.45">
      <c r="A253" s="9"/>
      <c r="B253" t="b">
        <v>0</v>
      </c>
      <c r="D253" s="10"/>
      <c r="G253" s="10"/>
      <c r="H253" s="10"/>
      <c r="I253" s="9"/>
      <c r="J253" s="10"/>
      <c r="L253" s="10"/>
      <c r="M253" s="10"/>
      <c r="N253" s="10"/>
      <c r="O253" s="8"/>
      <c r="P253" s="10"/>
    </row>
    <row r="254" spans="1:16" x14ac:dyDescent="0.45">
      <c r="A254" s="9"/>
      <c r="B254" t="b">
        <v>0</v>
      </c>
      <c r="D254" s="10"/>
      <c r="G254" s="10"/>
      <c r="H254" s="10"/>
      <c r="I254" s="9"/>
      <c r="J254" s="10"/>
      <c r="L254" s="10"/>
      <c r="M254" s="10"/>
      <c r="N254" s="10"/>
      <c r="O254" s="8"/>
      <c r="P254" s="10"/>
    </row>
    <row r="255" spans="1:16" x14ac:dyDescent="0.45">
      <c r="A255" s="9"/>
      <c r="B255" t="b">
        <v>0</v>
      </c>
      <c r="D255" s="10"/>
      <c r="G255" s="10"/>
      <c r="H255" s="10"/>
      <c r="I255" s="9"/>
      <c r="J255" s="10"/>
      <c r="L255" s="10"/>
      <c r="M255" s="10"/>
      <c r="N255" s="10"/>
      <c r="O255" s="8"/>
      <c r="P255" s="10"/>
    </row>
    <row r="256" spans="1:16" x14ac:dyDescent="0.45">
      <c r="A256" s="9"/>
      <c r="B256" t="b">
        <v>0</v>
      </c>
      <c r="D256" s="10"/>
      <c r="G256" s="10"/>
      <c r="H256" s="10"/>
      <c r="I256" s="9"/>
      <c r="J256" s="10"/>
      <c r="L256" s="10"/>
      <c r="M256" s="10"/>
      <c r="N256" s="10"/>
      <c r="O256" s="8"/>
      <c r="P256" s="10"/>
    </row>
    <row r="257" spans="1:16" x14ac:dyDescent="0.45">
      <c r="A257" s="9"/>
      <c r="B257" t="b">
        <v>0</v>
      </c>
      <c r="D257" s="10"/>
      <c r="G257" s="10"/>
      <c r="H257" s="10"/>
      <c r="I257" s="9"/>
      <c r="J257" s="10"/>
      <c r="L257" s="10"/>
      <c r="M257" s="10"/>
      <c r="N257" s="10"/>
      <c r="O257" s="8"/>
      <c r="P257" s="10"/>
    </row>
    <row r="258" spans="1:16" x14ac:dyDescent="0.45">
      <c r="A258" s="9"/>
      <c r="B258" t="b">
        <v>0</v>
      </c>
      <c r="D258" s="10"/>
      <c r="G258" s="10"/>
      <c r="H258" s="10"/>
      <c r="I258" s="9"/>
      <c r="J258" s="10"/>
      <c r="L258" s="10"/>
      <c r="M258" s="10"/>
      <c r="N258" s="10"/>
      <c r="O258" s="8"/>
      <c r="P258" s="10"/>
    </row>
    <row r="259" spans="1:16" x14ac:dyDescent="0.45">
      <c r="A259" s="9"/>
      <c r="B259" t="b">
        <v>0</v>
      </c>
      <c r="D259" s="10"/>
      <c r="G259" s="10"/>
      <c r="H259" s="10"/>
      <c r="I259" s="9"/>
      <c r="J259" s="10"/>
      <c r="L259" s="10"/>
      <c r="M259" s="10"/>
      <c r="N259" s="10"/>
      <c r="O259" s="8"/>
      <c r="P259" s="10"/>
    </row>
    <row r="260" spans="1:16" x14ac:dyDescent="0.45">
      <c r="A260" s="9"/>
      <c r="B260" t="b">
        <v>0</v>
      </c>
      <c r="D260" s="10"/>
      <c r="G260" s="10"/>
      <c r="H260" s="10"/>
      <c r="I260" s="9"/>
      <c r="J260" s="10"/>
      <c r="L260" s="10"/>
      <c r="M260" s="10"/>
      <c r="N260" s="10"/>
      <c r="O260" s="8"/>
      <c r="P260" s="10"/>
    </row>
    <row r="261" spans="1:16" x14ac:dyDescent="0.45">
      <c r="A261" s="9"/>
      <c r="B261" t="b">
        <v>0</v>
      </c>
      <c r="D261" s="10"/>
      <c r="G261" s="10"/>
      <c r="H261" s="10"/>
      <c r="I261" s="9"/>
      <c r="J261" s="10"/>
      <c r="L261" s="10"/>
      <c r="M261" s="10"/>
      <c r="N261" s="10"/>
      <c r="O261" s="8"/>
      <c r="P261" s="10"/>
    </row>
    <row r="262" spans="1:16" x14ac:dyDescent="0.45">
      <c r="A262" s="9"/>
      <c r="B262" t="b">
        <v>0</v>
      </c>
      <c r="D262" s="10"/>
      <c r="G262" s="10"/>
      <c r="H262" s="10"/>
      <c r="I262" s="9"/>
      <c r="J262" s="10"/>
      <c r="L262" s="10"/>
      <c r="M262" s="10"/>
      <c r="N262" s="10"/>
      <c r="O262" s="8"/>
      <c r="P262" s="10"/>
    </row>
    <row r="263" spans="1:16" x14ac:dyDescent="0.45">
      <c r="A263" s="9"/>
      <c r="B263" t="b">
        <v>0</v>
      </c>
      <c r="D263" s="10"/>
      <c r="G263" s="10"/>
      <c r="H263" s="10"/>
      <c r="I263" s="9"/>
      <c r="J263" s="10"/>
      <c r="L263" s="10"/>
      <c r="M263" s="10"/>
      <c r="N263" s="10"/>
      <c r="O263" s="8"/>
      <c r="P263" s="10"/>
    </row>
    <row r="264" spans="1:16" x14ac:dyDescent="0.45">
      <c r="A264" s="9"/>
      <c r="B264" t="b">
        <v>0</v>
      </c>
      <c r="D264" s="10"/>
      <c r="G264" s="10"/>
      <c r="H264" s="10"/>
      <c r="I264" s="9"/>
      <c r="J264" s="10"/>
      <c r="L264" s="10"/>
      <c r="M264" s="10"/>
      <c r="N264" s="10"/>
      <c r="O264" s="8"/>
      <c r="P264" s="10"/>
    </row>
    <row r="265" spans="1:16" x14ac:dyDescent="0.45">
      <c r="A265" s="9"/>
      <c r="B265" t="b">
        <v>0</v>
      </c>
      <c r="D265" s="10"/>
      <c r="G265" s="10"/>
      <c r="H265" s="10"/>
      <c r="I265" s="9"/>
      <c r="J265" s="10"/>
      <c r="L265" s="10"/>
      <c r="M265" s="10"/>
      <c r="N265" s="10"/>
      <c r="O265" s="8"/>
      <c r="P265" s="10"/>
    </row>
    <row r="266" spans="1:16" x14ac:dyDescent="0.45">
      <c r="A266" s="9"/>
      <c r="B266" t="b">
        <v>0</v>
      </c>
      <c r="D266" s="10"/>
      <c r="G266" s="10"/>
      <c r="H266" s="10"/>
      <c r="I266" s="9"/>
      <c r="J266" s="10"/>
      <c r="L266" s="10"/>
      <c r="M266" s="10"/>
      <c r="N266" s="10"/>
      <c r="O266" s="8"/>
      <c r="P266" s="10"/>
    </row>
    <row r="267" spans="1:16" x14ac:dyDescent="0.45">
      <c r="A267" s="9"/>
      <c r="B267" t="b">
        <v>0</v>
      </c>
      <c r="D267" s="10"/>
      <c r="G267" s="10"/>
      <c r="H267" s="10"/>
      <c r="I267" s="9"/>
      <c r="J267" s="10"/>
      <c r="L267" s="10"/>
      <c r="M267" s="10"/>
      <c r="N267" s="10"/>
      <c r="O267" s="8"/>
      <c r="P267" s="10"/>
    </row>
    <row r="268" spans="1:16" x14ac:dyDescent="0.45">
      <c r="A268" s="9"/>
      <c r="B268" t="b">
        <v>0</v>
      </c>
      <c r="D268" s="10"/>
      <c r="G268" s="10"/>
      <c r="H268" s="10"/>
      <c r="I268" s="9"/>
      <c r="J268" s="10"/>
      <c r="L268" s="10"/>
      <c r="M268" s="10"/>
      <c r="N268" s="10"/>
      <c r="O268" s="8"/>
      <c r="P268" s="10"/>
    </row>
    <row r="269" spans="1:16" x14ac:dyDescent="0.45">
      <c r="A269" s="9"/>
      <c r="B269" t="b">
        <v>0</v>
      </c>
      <c r="D269" s="10"/>
      <c r="G269" s="10"/>
      <c r="H269" s="10"/>
      <c r="I269" s="9"/>
      <c r="J269" s="10"/>
      <c r="L269" s="10"/>
      <c r="M269" s="10"/>
      <c r="N269" s="10"/>
      <c r="O269" s="8"/>
      <c r="P269" s="10"/>
    </row>
    <row r="270" spans="1:16" x14ac:dyDescent="0.45">
      <c r="A270" s="9"/>
      <c r="B270" t="b">
        <v>0</v>
      </c>
      <c r="D270" s="10"/>
      <c r="G270" s="10"/>
      <c r="H270" s="10"/>
      <c r="I270" s="9"/>
      <c r="J270" s="10"/>
      <c r="L270" s="10"/>
      <c r="M270" s="10"/>
      <c r="N270" s="10"/>
      <c r="O270" s="8"/>
      <c r="P270" s="10"/>
    </row>
    <row r="271" spans="1:16" x14ac:dyDescent="0.45">
      <c r="A271" s="9"/>
      <c r="B271" t="b">
        <v>0</v>
      </c>
      <c r="D271" s="10"/>
      <c r="G271" s="10"/>
      <c r="H271" s="10"/>
      <c r="I271" s="9"/>
      <c r="J271" s="10"/>
      <c r="L271" s="10"/>
      <c r="M271" s="10"/>
      <c r="N271" s="10"/>
      <c r="O271" s="8"/>
      <c r="P271" s="10"/>
    </row>
    <row r="272" spans="1:16" x14ac:dyDescent="0.45">
      <c r="A272" s="9"/>
      <c r="B272" t="b">
        <v>0</v>
      </c>
      <c r="D272" s="10"/>
      <c r="G272" s="10"/>
      <c r="H272" s="10"/>
      <c r="I272" s="9"/>
      <c r="J272" s="10"/>
      <c r="L272" s="10"/>
      <c r="M272" s="10"/>
      <c r="N272" s="10"/>
      <c r="O272" s="8"/>
      <c r="P272" s="10"/>
    </row>
    <row r="273" spans="1:16" x14ac:dyDescent="0.45">
      <c r="A273" s="9"/>
      <c r="B273" t="b">
        <v>0</v>
      </c>
      <c r="D273" s="10"/>
      <c r="G273" s="10"/>
      <c r="H273" s="10"/>
      <c r="I273" s="9"/>
      <c r="J273" s="10"/>
      <c r="L273" s="10"/>
      <c r="M273" s="10"/>
      <c r="N273" s="10"/>
      <c r="O273" s="8"/>
      <c r="P273" s="10"/>
    </row>
    <row r="274" spans="1:16" x14ac:dyDescent="0.45">
      <c r="A274" s="9"/>
      <c r="B274" t="b">
        <v>0</v>
      </c>
      <c r="D274" s="10"/>
      <c r="G274" s="10"/>
      <c r="H274" s="10"/>
      <c r="I274" s="9"/>
      <c r="J274" s="10"/>
      <c r="L274" s="10"/>
      <c r="M274" s="10"/>
      <c r="N274" s="10"/>
      <c r="O274" s="8"/>
      <c r="P274" s="10"/>
    </row>
    <row r="275" spans="1:16" x14ac:dyDescent="0.45">
      <c r="A275" s="9"/>
      <c r="B275" t="b">
        <v>0</v>
      </c>
      <c r="D275" s="10"/>
      <c r="G275" s="10"/>
      <c r="H275" s="10"/>
      <c r="I275" s="9"/>
      <c r="J275" s="10"/>
      <c r="L275" s="10"/>
      <c r="M275" s="10"/>
      <c r="N275" s="10"/>
      <c r="O275" s="8"/>
      <c r="P275" s="10"/>
    </row>
    <row r="276" spans="1:16" x14ac:dyDescent="0.45">
      <c r="A276" s="9"/>
      <c r="B276" t="b">
        <v>0</v>
      </c>
      <c r="D276" s="10"/>
      <c r="G276" s="10"/>
      <c r="H276" s="10"/>
      <c r="I276" s="9"/>
      <c r="J276" s="10"/>
      <c r="L276" s="10"/>
      <c r="M276" s="10"/>
      <c r="N276" s="10"/>
      <c r="O276" s="8"/>
      <c r="P276" s="10"/>
    </row>
    <row r="277" spans="1:16" x14ac:dyDescent="0.45">
      <c r="A277" s="9"/>
      <c r="B277" t="b">
        <v>0</v>
      </c>
      <c r="D277" s="10"/>
      <c r="G277" s="10"/>
      <c r="H277" s="10"/>
      <c r="I277" s="9"/>
      <c r="J277" s="10"/>
      <c r="L277" s="10"/>
      <c r="M277" s="10"/>
      <c r="N277" s="10"/>
      <c r="O277" s="8"/>
      <c r="P277" s="10"/>
    </row>
    <row r="278" spans="1:16" x14ac:dyDescent="0.45">
      <c r="A278" s="9"/>
      <c r="B278" t="b">
        <v>0</v>
      </c>
      <c r="D278" s="10"/>
      <c r="G278" s="10"/>
      <c r="H278" s="10"/>
      <c r="I278" s="9"/>
      <c r="J278" s="10"/>
      <c r="L278" s="10"/>
      <c r="M278" s="10"/>
      <c r="N278" s="10"/>
      <c r="O278" s="8"/>
      <c r="P278" s="10"/>
    </row>
    <row r="279" spans="1:16" x14ac:dyDescent="0.45">
      <c r="A279" s="9"/>
      <c r="B279" t="b">
        <v>0</v>
      </c>
      <c r="D279" s="10"/>
      <c r="G279" s="10"/>
      <c r="H279" s="10"/>
      <c r="I279" s="9"/>
      <c r="J279" s="10"/>
      <c r="L279" s="10"/>
      <c r="M279" s="10"/>
      <c r="N279" s="10"/>
      <c r="O279" s="8"/>
      <c r="P279" s="10"/>
    </row>
    <row r="280" spans="1:16" x14ac:dyDescent="0.45">
      <c r="A280" s="9"/>
      <c r="B280" t="b">
        <v>0</v>
      </c>
      <c r="D280" s="10"/>
      <c r="G280" s="10"/>
      <c r="H280" s="10"/>
      <c r="I280" s="9"/>
      <c r="J280" s="10"/>
      <c r="L280" s="10"/>
      <c r="M280" s="10"/>
      <c r="N280" s="10"/>
      <c r="O280" s="8"/>
      <c r="P280" s="10"/>
    </row>
    <row r="281" spans="1:16" x14ac:dyDescent="0.45">
      <c r="A281" s="9"/>
      <c r="B281" t="b">
        <v>0</v>
      </c>
      <c r="D281" s="10"/>
      <c r="G281" s="10"/>
      <c r="H281" s="10"/>
      <c r="I281" s="9"/>
      <c r="J281" s="10"/>
      <c r="L281" s="10"/>
      <c r="M281" s="10"/>
      <c r="N281" s="10"/>
      <c r="O281" s="8"/>
      <c r="P281" s="10"/>
    </row>
    <row r="282" spans="1:16" x14ac:dyDescent="0.45">
      <c r="A282" s="9"/>
      <c r="B282" t="b">
        <v>0</v>
      </c>
      <c r="D282" s="10"/>
      <c r="G282" s="10"/>
      <c r="H282" s="10"/>
      <c r="I282" s="9"/>
      <c r="J282" s="10"/>
      <c r="L282" s="10"/>
      <c r="M282" s="10"/>
      <c r="N282" s="10"/>
      <c r="O282" s="8"/>
      <c r="P282" s="10"/>
    </row>
    <row r="283" spans="1:16" x14ac:dyDescent="0.45">
      <c r="A283" s="9"/>
      <c r="B283" t="b">
        <v>0</v>
      </c>
      <c r="D283" s="10"/>
      <c r="G283" s="10"/>
      <c r="H283" s="10"/>
      <c r="I283" s="9"/>
      <c r="J283" s="10"/>
      <c r="L283" s="10"/>
      <c r="M283" s="10"/>
      <c r="N283" s="10"/>
      <c r="O283" s="8"/>
      <c r="P283" s="10"/>
    </row>
    <row r="284" spans="1:16" x14ac:dyDescent="0.45">
      <c r="A284" s="9"/>
      <c r="B284" t="b">
        <v>0</v>
      </c>
      <c r="D284" s="10"/>
      <c r="G284" s="10"/>
      <c r="H284" s="10"/>
      <c r="I284" s="9"/>
      <c r="J284" s="10"/>
      <c r="L284" s="10"/>
      <c r="M284" s="10"/>
      <c r="N284" s="10"/>
      <c r="O284" s="8"/>
      <c r="P284" s="10"/>
    </row>
    <row r="285" spans="1:16" x14ac:dyDescent="0.45">
      <c r="A285" s="9"/>
      <c r="B285" t="b">
        <v>0</v>
      </c>
      <c r="D285" s="10"/>
      <c r="G285" s="10"/>
      <c r="H285" s="10"/>
      <c r="I285" s="9"/>
      <c r="J285" s="10"/>
      <c r="L285" s="10"/>
      <c r="M285" s="10"/>
      <c r="N285" s="10"/>
      <c r="O285" s="8"/>
      <c r="P285" s="10"/>
    </row>
    <row r="286" spans="1:16" x14ac:dyDescent="0.45">
      <c r="A286" s="9"/>
      <c r="B286" t="b">
        <v>0</v>
      </c>
      <c r="D286" s="10"/>
      <c r="G286" s="10"/>
      <c r="H286" s="10"/>
      <c r="I286" s="9"/>
      <c r="J286" s="10"/>
      <c r="L286" s="10"/>
      <c r="M286" s="10"/>
      <c r="N286" s="10"/>
      <c r="O286" s="8"/>
      <c r="P286" s="10"/>
    </row>
    <row r="287" spans="1:16" x14ac:dyDescent="0.45">
      <c r="A287" s="9"/>
      <c r="B287" t="b">
        <v>0</v>
      </c>
      <c r="D287" s="10"/>
      <c r="G287" s="10"/>
      <c r="H287" s="10"/>
      <c r="I287" s="9"/>
      <c r="J287" s="10"/>
      <c r="L287" s="10"/>
      <c r="M287" s="10"/>
      <c r="N287" s="10"/>
      <c r="O287" s="8"/>
      <c r="P287" s="10"/>
    </row>
    <row r="288" spans="1:16" x14ac:dyDescent="0.45">
      <c r="A288" s="9"/>
      <c r="B288" t="b">
        <v>0</v>
      </c>
      <c r="D288" s="10"/>
      <c r="G288" s="10"/>
      <c r="H288" s="10"/>
      <c r="I288" s="9"/>
      <c r="J288" s="10"/>
      <c r="L288" s="10"/>
      <c r="M288" s="10"/>
      <c r="N288" s="10"/>
      <c r="O288" s="8"/>
      <c r="P288" s="10"/>
    </row>
    <row r="289" spans="1:16" x14ac:dyDescent="0.45">
      <c r="A289" s="9"/>
      <c r="B289" t="b">
        <v>0</v>
      </c>
      <c r="D289" s="10"/>
      <c r="G289" s="10"/>
      <c r="H289" s="10"/>
      <c r="I289" s="9"/>
      <c r="J289" s="10"/>
      <c r="L289" s="10"/>
      <c r="M289" s="10"/>
      <c r="N289" s="10"/>
      <c r="O289" s="8"/>
      <c r="P289" s="10"/>
    </row>
    <row r="290" spans="1:16" x14ac:dyDescent="0.45">
      <c r="A290" s="9"/>
      <c r="B290" t="b">
        <v>0</v>
      </c>
      <c r="D290" s="10"/>
      <c r="G290" s="10"/>
      <c r="H290" s="10"/>
      <c r="I290" s="9"/>
      <c r="J290" s="10"/>
      <c r="L290" s="10"/>
      <c r="M290" s="10"/>
      <c r="N290" s="10"/>
      <c r="O290" s="8"/>
      <c r="P290" s="10"/>
    </row>
    <row r="291" spans="1:16" x14ac:dyDescent="0.45">
      <c r="A291" s="9"/>
      <c r="B291" t="b">
        <v>0</v>
      </c>
      <c r="D291" s="10"/>
      <c r="G291" s="10"/>
      <c r="H291" s="10"/>
      <c r="I291" s="9"/>
      <c r="J291" s="10"/>
      <c r="L291" s="10"/>
      <c r="M291" s="10"/>
      <c r="N291" s="10"/>
      <c r="O291" s="8"/>
      <c r="P291" s="10"/>
    </row>
    <row r="292" spans="1:16" x14ac:dyDescent="0.45">
      <c r="A292" s="9"/>
      <c r="B292" t="b">
        <v>0</v>
      </c>
      <c r="D292" s="10"/>
      <c r="G292" s="10"/>
      <c r="H292" s="10"/>
      <c r="I292" s="9"/>
      <c r="J292" s="10"/>
      <c r="L292" s="10"/>
      <c r="M292" s="10"/>
      <c r="N292" s="10"/>
      <c r="O292" s="8"/>
      <c r="P292" s="10"/>
    </row>
    <row r="293" spans="1:16" x14ac:dyDescent="0.45">
      <c r="A293" s="9"/>
      <c r="B293" t="b">
        <v>0</v>
      </c>
      <c r="D293" s="10"/>
      <c r="G293" s="10"/>
      <c r="H293" s="10"/>
      <c r="I293" s="9"/>
      <c r="J293" s="10"/>
      <c r="L293" s="10"/>
      <c r="M293" s="10"/>
      <c r="N293" s="10"/>
      <c r="O293" s="8"/>
      <c r="P293" s="10"/>
    </row>
    <row r="294" spans="1:16" x14ac:dyDescent="0.45">
      <c r="A294" s="9"/>
      <c r="B294" t="b">
        <v>0</v>
      </c>
      <c r="D294" s="10"/>
      <c r="G294" s="10"/>
      <c r="H294" s="10"/>
      <c r="I294" s="9"/>
      <c r="J294" s="10"/>
      <c r="L294" s="10"/>
      <c r="M294" s="10"/>
      <c r="N294" s="10"/>
      <c r="O294" s="8"/>
      <c r="P294" s="10"/>
    </row>
    <row r="295" spans="1:16" x14ac:dyDescent="0.45">
      <c r="A295" s="9"/>
      <c r="B295" t="b">
        <v>0</v>
      </c>
      <c r="D295" s="10"/>
      <c r="G295" s="10"/>
      <c r="H295" s="10"/>
      <c r="I295" s="9"/>
      <c r="J295" s="10"/>
      <c r="L295" s="10"/>
      <c r="M295" s="10"/>
      <c r="N295" s="10"/>
      <c r="O295" s="8"/>
      <c r="P295" s="10"/>
    </row>
    <row r="296" spans="1:16" x14ac:dyDescent="0.45">
      <c r="A296" s="9"/>
      <c r="B296" t="b">
        <v>0</v>
      </c>
      <c r="D296" s="10"/>
      <c r="G296" s="10"/>
      <c r="H296" s="10"/>
      <c r="I296" s="9"/>
      <c r="J296" s="10"/>
      <c r="L296" s="10"/>
      <c r="M296" s="10"/>
      <c r="N296" s="10"/>
      <c r="O296" s="8"/>
      <c r="P296" s="10"/>
    </row>
    <row r="297" spans="1:16" x14ac:dyDescent="0.45">
      <c r="A297" s="9"/>
      <c r="B297" t="b">
        <v>0</v>
      </c>
      <c r="D297" s="10"/>
      <c r="G297" s="10"/>
      <c r="H297" s="10"/>
      <c r="I297" s="9"/>
      <c r="J297" s="10"/>
      <c r="L297" s="10"/>
      <c r="M297" s="10"/>
      <c r="N297" s="10"/>
      <c r="O297" s="8"/>
      <c r="P297" s="10"/>
    </row>
    <row r="298" spans="1:16" x14ac:dyDescent="0.45">
      <c r="A298" s="9"/>
      <c r="B298" t="b">
        <v>0</v>
      </c>
      <c r="D298" s="10"/>
      <c r="G298" s="10"/>
      <c r="H298" s="10"/>
      <c r="I298" s="9"/>
      <c r="J298" s="10"/>
      <c r="L298" s="10"/>
      <c r="M298" s="10"/>
      <c r="N298" s="10"/>
      <c r="O298" s="8"/>
      <c r="P298" s="10"/>
    </row>
    <row r="299" spans="1:16" x14ac:dyDescent="0.45">
      <c r="A299" s="9"/>
      <c r="B299" t="b">
        <v>0</v>
      </c>
      <c r="D299" s="10"/>
      <c r="G299" s="10"/>
      <c r="H299" s="10"/>
      <c r="I299" s="9"/>
      <c r="J299" s="10"/>
      <c r="L299" s="10"/>
      <c r="M299" s="10"/>
      <c r="N299" s="10"/>
      <c r="O299" s="8"/>
      <c r="P299" s="10"/>
    </row>
    <row r="300" spans="1:16" x14ac:dyDescent="0.45">
      <c r="A300" s="9"/>
      <c r="B300" t="b">
        <v>0</v>
      </c>
      <c r="D300" s="10"/>
      <c r="G300" s="10"/>
      <c r="H300" s="10"/>
      <c r="I300" s="9"/>
      <c r="J300" s="10"/>
      <c r="L300" s="10"/>
      <c r="M300" s="10"/>
      <c r="N300" s="10"/>
      <c r="O300" s="8"/>
      <c r="P300" s="10"/>
    </row>
    <row r="301" spans="1:16" x14ac:dyDescent="0.45">
      <c r="A301" s="9"/>
      <c r="B301" t="b">
        <v>0</v>
      </c>
      <c r="D301" s="10"/>
      <c r="G301" s="10"/>
      <c r="H301" s="10"/>
      <c r="I301" s="9"/>
      <c r="J301" s="10"/>
      <c r="L301" s="10"/>
      <c r="M301" s="10"/>
      <c r="N301" s="10"/>
      <c r="O301" s="8"/>
      <c r="P301" s="10"/>
    </row>
    <row r="302" spans="1:16" x14ac:dyDescent="0.45">
      <c r="A302" s="9"/>
      <c r="B302" t="b">
        <v>0</v>
      </c>
      <c r="D302" s="10"/>
      <c r="G302" s="10"/>
      <c r="H302" s="10"/>
      <c r="I302" s="9"/>
      <c r="J302" s="10"/>
      <c r="L302" s="10"/>
      <c r="M302" s="10"/>
      <c r="N302" s="10"/>
      <c r="O302" s="8"/>
      <c r="P302" s="10"/>
    </row>
    <row r="303" spans="1:16" x14ac:dyDescent="0.45">
      <c r="A303" s="9"/>
      <c r="B303" t="b">
        <v>0</v>
      </c>
      <c r="D303" s="10"/>
      <c r="G303" s="10"/>
      <c r="H303" s="10"/>
      <c r="I303" s="9"/>
      <c r="J303" s="10"/>
      <c r="L303" s="10"/>
      <c r="M303" s="10"/>
      <c r="N303" s="10"/>
      <c r="O303" s="8"/>
      <c r="P303" s="10"/>
    </row>
    <row r="304" spans="1:16" x14ac:dyDescent="0.45">
      <c r="A304" s="9"/>
      <c r="B304" t="b">
        <v>0</v>
      </c>
      <c r="D304" s="10"/>
      <c r="G304" s="10"/>
      <c r="H304" s="10"/>
      <c r="I304" s="9"/>
      <c r="J304" s="10"/>
      <c r="L304" s="10"/>
      <c r="M304" s="10"/>
      <c r="N304" s="10"/>
      <c r="O304" s="8"/>
      <c r="P304" s="10"/>
    </row>
    <row r="305" spans="1:16" x14ac:dyDescent="0.45">
      <c r="A305" s="9"/>
      <c r="B305" t="b">
        <v>0</v>
      </c>
      <c r="D305" s="10"/>
      <c r="G305" s="10"/>
      <c r="H305" s="10"/>
      <c r="I305" s="9"/>
      <c r="J305" s="10"/>
      <c r="L305" s="10"/>
      <c r="M305" s="10"/>
      <c r="N305" s="10"/>
      <c r="O305" s="8"/>
      <c r="P305" s="10"/>
    </row>
    <row r="306" spans="1:16" x14ac:dyDescent="0.45">
      <c r="A306" s="9"/>
      <c r="B306" t="b">
        <v>0</v>
      </c>
      <c r="D306" s="10"/>
      <c r="G306" s="10"/>
      <c r="H306" s="10"/>
      <c r="I306" s="9"/>
      <c r="J306" s="10"/>
      <c r="L306" s="10"/>
      <c r="M306" s="10"/>
      <c r="N306" s="10"/>
      <c r="O306" s="8"/>
      <c r="P306" s="10"/>
    </row>
    <row r="307" spans="1:16" x14ac:dyDescent="0.45">
      <c r="A307" s="9"/>
      <c r="B307" t="b">
        <v>0</v>
      </c>
      <c r="D307" s="10"/>
      <c r="G307" s="10"/>
      <c r="H307" s="10"/>
      <c r="I307" s="9"/>
      <c r="J307" s="10"/>
      <c r="L307" s="10"/>
      <c r="M307" s="10"/>
      <c r="N307" s="10"/>
      <c r="O307" s="8"/>
      <c r="P307" s="10"/>
    </row>
    <row r="308" spans="1:16" x14ac:dyDescent="0.45">
      <c r="A308" s="9"/>
      <c r="B308" t="b">
        <v>0</v>
      </c>
      <c r="D308" s="10"/>
      <c r="G308" s="10"/>
      <c r="H308" s="10"/>
      <c r="I308" s="9"/>
      <c r="J308" s="10"/>
      <c r="L308" s="10"/>
      <c r="M308" s="10"/>
      <c r="N308" s="10"/>
      <c r="O308" s="8"/>
      <c r="P308" s="10"/>
    </row>
    <row r="309" spans="1:16" x14ac:dyDescent="0.45">
      <c r="A309" s="9"/>
      <c r="B309" t="b">
        <v>0</v>
      </c>
      <c r="D309" s="10"/>
      <c r="G309" s="10"/>
      <c r="H309" s="10"/>
      <c r="I309" s="9"/>
      <c r="J309" s="10"/>
      <c r="L309" s="10"/>
      <c r="M309" s="10"/>
      <c r="N309" s="10"/>
      <c r="O309" s="8"/>
      <c r="P309" s="10"/>
    </row>
    <row r="310" spans="1:16" x14ac:dyDescent="0.45">
      <c r="A310" s="9"/>
      <c r="B310" t="b">
        <v>0</v>
      </c>
      <c r="D310" s="10"/>
      <c r="G310" s="10"/>
      <c r="H310" s="10"/>
      <c r="I310" s="9"/>
      <c r="J310" s="10"/>
      <c r="L310" s="10"/>
      <c r="M310" s="10"/>
      <c r="N310" s="10"/>
      <c r="O310" s="8"/>
      <c r="P310" s="10"/>
    </row>
    <row r="311" spans="1:16" x14ac:dyDescent="0.45">
      <c r="A311" s="9"/>
      <c r="B311" t="b">
        <v>0</v>
      </c>
      <c r="D311" s="10"/>
      <c r="G311" s="10"/>
      <c r="H311" s="10"/>
      <c r="I311" s="9"/>
      <c r="J311" s="10"/>
      <c r="L311" s="10"/>
      <c r="M311" s="10"/>
      <c r="N311" s="10"/>
      <c r="O311" s="8"/>
      <c r="P311" s="10"/>
    </row>
    <row r="312" spans="1:16" x14ac:dyDescent="0.45">
      <c r="A312" s="9"/>
      <c r="B312" t="b">
        <v>0</v>
      </c>
      <c r="D312" s="10"/>
      <c r="G312" s="10"/>
      <c r="H312" s="10"/>
      <c r="I312" s="9"/>
      <c r="J312" s="10"/>
      <c r="L312" s="10"/>
      <c r="M312" s="10"/>
      <c r="N312" s="10"/>
      <c r="O312" s="8"/>
      <c r="P312" s="10"/>
    </row>
    <row r="313" spans="1:16" x14ac:dyDescent="0.45">
      <c r="A313" s="9"/>
      <c r="B313" t="b">
        <v>0</v>
      </c>
      <c r="D313" s="10"/>
      <c r="G313" s="10"/>
      <c r="H313" s="10"/>
      <c r="I313" s="9"/>
      <c r="J313" s="10"/>
      <c r="L313" s="10"/>
      <c r="M313" s="10"/>
      <c r="N313" s="10"/>
      <c r="O313" s="8"/>
      <c r="P313" s="10"/>
    </row>
    <row r="314" spans="1:16" x14ac:dyDescent="0.45">
      <c r="A314" s="9"/>
      <c r="B314" t="b">
        <v>0</v>
      </c>
      <c r="D314" s="10"/>
      <c r="G314" s="10"/>
      <c r="H314" s="10"/>
      <c r="I314" s="9"/>
      <c r="J314" s="10"/>
      <c r="L314" s="10"/>
      <c r="M314" s="10"/>
      <c r="N314" s="10"/>
      <c r="O314" s="8"/>
      <c r="P314" s="10"/>
    </row>
    <row r="315" spans="1:16" x14ac:dyDescent="0.45">
      <c r="A315" s="9"/>
      <c r="B315" t="b">
        <v>0</v>
      </c>
      <c r="D315" s="10"/>
      <c r="G315" s="10"/>
      <c r="H315" s="10"/>
      <c r="I315" s="9"/>
      <c r="J315" s="10"/>
      <c r="L315" s="10"/>
      <c r="M315" s="10"/>
      <c r="N315" s="10"/>
      <c r="O315" s="8"/>
      <c r="P315" s="10"/>
    </row>
    <row r="316" spans="1:16" x14ac:dyDescent="0.45">
      <c r="A316" s="9"/>
      <c r="B316" t="b">
        <v>0</v>
      </c>
      <c r="D316" s="10"/>
      <c r="G316" s="10"/>
      <c r="H316" s="10"/>
      <c r="I316" s="9"/>
      <c r="J316" s="10"/>
      <c r="L316" s="10"/>
      <c r="M316" s="10"/>
      <c r="N316" s="10"/>
      <c r="O316" s="8"/>
      <c r="P316" s="10"/>
    </row>
    <row r="317" spans="1:16" x14ac:dyDescent="0.45">
      <c r="A317" s="9"/>
      <c r="B317" t="b">
        <v>0</v>
      </c>
      <c r="D317" s="10"/>
      <c r="G317" s="10"/>
      <c r="H317" s="10"/>
      <c r="I317" s="9"/>
      <c r="J317" s="10"/>
      <c r="L317" s="10"/>
      <c r="M317" s="10"/>
      <c r="N317" s="10"/>
      <c r="O317" s="8"/>
      <c r="P317" s="10"/>
    </row>
    <row r="318" spans="1:16" x14ac:dyDescent="0.45">
      <c r="A318" s="9"/>
      <c r="B318" t="b">
        <v>0</v>
      </c>
      <c r="D318" s="10"/>
      <c r="G318" s="10"/>
      <c r="H318" s="10"/>
      <c r="I318" s="9"/>
      <c r="J318" s="10"/>
      <c r="L318" s="10"/>
      <c r="M318" s="10"/>
      <c r="N318" s="10"/>
      <c r="O318" s="8"/>
      <c r="P318" s="10"/>
    </row>
    <row r="319" spans="1:16" x14ac:dyDescent="0.45">
      <c r="A319" s="9"/>
      <c r="B319" t="b">
        <v>0</v>
      </c>
      <c r="D319" s="10"/>
      <c r="G319" s="10"/>
      <c r="H319" s="10"/>
      <c r="I319" s="9"/>
      <c r="J319" s="10"/>
      <c r="L319" s="10"/>
      <c r="M319" s="10"/>
      <c r="N319" s="10"/>
      <c r="O319" s="8"/>
      <c r="P319" s="10"/>
    </row>
    <row r="320" spans="1:16" x14ac:dyDescent="0.45">
      <c r="A320" s="9"/>
      <c r="B320" t="b">
        <v>0</v>
      </c>
      <c r="D320" s="10"/>
      <c r="G320" s="10"/>
      <c r="H320" s="10"/>
      <c r="I320" s="9"/>
      <c r="J320" s="10"/>
      <c r="L320" s="10"/>
      <c r="M320" s="10"/>
      <c r="N320" s="10"/>
      <c r="O320" s="8"/>
      <c r="P320" s="10"/>
    </row>
    <row r="321" spans="1:16" x14ac:dyDescent="0.45">
      <c r="A321" s="9"/>
      <c r="B321" t="b">
        <v>0</v>
      </c>
      <c r="D321" s="10"/>
      <c r="G321" s="10"/>
      <c r="H321" s="10"/>
      <c r="I321" s="9"/>
      <c r="J321" s="10"/>
      <c r="L321" s="10"/>
      <c r="M321" s="10"/>
      <c r="N321" s="10"/>
      <c r="O321" s="8"/>
      <c r="P321" s="10"/>
    </row>
    <row r="322" spans="1:16" x14ac:dyDescent="0.45">
      <c r="A322" s="9"/>
      <c r="B322" t="b">
        <v>0</v>
      </c>
      <c r="D322" s="10"/>
      <c r="G322" s="10"/>
      <c r="H322" s="10"/>
      <c r="I322" s="9"/>
      <c r="J322" s="10"/>
      <c r="L322" s="10"/>
      <c r="M322" s="10"/>
      <c r="N322" s="10"/>
      <c r="O322" s="8"/>
      <c r="P322" s="10"/>
    </row>
    <row r="323" spans="1:16" x14ac:dyDescent="0.45">
      <c r="A323" s="9"/>
      <c r="B323" t="b">
        <v>0</v>
      </c>
      <c r="D323" s="10"/>
      <c r="G323" s="10"/>
      <c r="H323" s="10"/>
      <c r="I323" s="9"/>
      <c r="J323" s="10"/>
      <c r="L323" s="10"/>
      <c r="M323" s="10"/>
      <c r="N323" s="10"/>
      <c r="O323" s="8"/>
      <c r="P323" s="10"/>
    </row>
    <row r="324" spans="1:16" x14ac:dyDescent="0.45">
      <c r="A324" s="9"/>
      <c r="B324" t="b">
        <v>0</v>
      </c>
      <c r="D324" s="10"/>
      <c r="G324" s="10"/>
      <c r="H324" s="10"/>
      <c r="I324" s="9"/>
      <c r="J324" s="10"/>
      <c r="L324" s="10"/>
      <c r="M324" s="10"/>
      <c r="N324" s="10"/>
      <c r="O324" s="8"/>
      <c r="P324" s="10"/>
    </row>
    <row r="325" spans="1:16" x14ac:dyDescent="0.45">
      <c r="A325" s="9"/>
      <c r="B325" t="b">
        <v>0</v>
      </c>
      <c r="D325" s="10"/>
      <c r="G325" s="10"/>
      <c r="H325" s="10"/>
      <c r="I325" s="9"/>
      <c r="J325" s="10"/>
      <c r="L325" s="10"/>
      <c r="M325" s="10"/>
      <c r="N325" s="10"/>
      <c r="O325" s="8"/>
      <c r="P325" s="10"/>
    </row>
    <row r="326" spans="1:16" x14ac:dyDescent="0.45">
      <c r="A326" s="9"/>
      <c r="B326" t="b">
        <v>0</v>
      </c>
      <c r="D326" s="10"/>
      <c r="G326" s="10"/>
      <c r="H326" s="10"/>
      <c r="I326" s="9"/>
      <c r="J326" s="10"/>
      <c r="L326" s="10"/>
      <c r="M326" s="10"/>
      <c r="N326" s="10"/>
      <c r="O326" s="8"/>
      <c r="P326" s="10"/>
    </row>
    <row r="327" spans="1:16" x14ac:dyDescent="0.45">
      <c r="A327" s="9"/>
      <c r="B327" t="b">
        <v>0</v>
      </c>
      <c r="D327" s="10"/>
      <c r="G327" s="10"/>
      <c r="H327" s="10"/>
      <c r="I327" s="9"/>
      <c r="J327" s="10"/>
      <c r="L327" s="10"/>
      <c r="M327" s="10"/>
      <c r="N327" s="10"/>
      <c r="O327" s="8"/>
      <c r="P327" s="10"/>
    </row>
    <row r="328" spans="1:16" x14ac:dyDescent="0.45">
      <c r="A328" s="9"/>
      <c r="B328" t="b">
        <v>0</v>
      </c>
      <c r="D328" s="10"/>
      <c r="G328" s="10"/>
      <c r="H328" s="10"/>
      <c r="I328" s="9"/>
      <c r="J328" s="10"/>
      <c r="L328" s="10"/>
      <c r="M328" s="10"/>
      <c r="N328" s="10"/>
      <c r="O328" s="8"/>
      <c r="P328" s="10"/>
    </row>
    <row r="329" spans="1:16" x14ac:dyDescent="0.45">
      <c r="A329" s="9"/>
      <c r="B329" t="b">
        <v>0</v>
      </c>
      <c r="D329" s="10"/>
      <c r="G329" s="10"/>
      <c r="H329" s="10"/>
      <c r="I329" s="9"/>
      <c r="J329" s="10"/>
      <c r="L329" s="10"/>
      <c r="M329" s="10"/>
      <c r="N329" s="10"/>
      <c r="O329" s="8"/>
      <c r="P329" s="10"/>
    </row>
    <row r="330" spans="1:16" x14ac:dyDescent="0.45">
      <c r="A330" s="9"/>
      <c r="B330" t="b">
        <v>0</v>
      </c>
      <c r="D330" s="10"/>
      <c r="G330" s="10"/>
      <c r="H330" s="10"/>
      <c r="I330" s="9"/>
      <c r="J330" s="10"/>
      <c r="L330" s="10"/>
      <c r="M330" s="10"/>
      <c r="N330" s="10"/>
      <c r="O330" s="8"/>
      <c r="P330" s="10"/>
    </row>
    <row r="331" spans="1:16" x14ac:dyDescent="0.45">
      <c r="A331" s="9"/>
      <c r="B331" t="b">
        <v>0</v>
      </c>
      <c r="D331" s="10"/>
      <c r="G331" s="10"/>
      <c r="H331" s="10"/>
      <c r="I331" s="9"/>
      <c r="J331" s="10"/>
      <c r="L331" s="10"/>
      <c r="M331" s="10"/>
      <c r="N331" s="10"/>
      <c r="O331" s="8"/>
      <c r="P331" s="10"/>
    </row>
    <row r="332" spans="1:16" x14ac:dyDescent="0.45">
      <c r="A332" s="9"/>
      <c r="B332" t="b">
        <v>0</v>
      </c>
      <c r="D332" s="10"/>
      <c r="G332" s="10"/>
      <c r="H332" s="10"/>
      <c r="I332" s="9"/>
      <c r="J332" s="10"/>
      <c r="L332" s="10"/>
      <c r="M332" s="10"/>
      <c r="N332" s="10"/>
      <c r="O332" s="8"/>
      <c r="P332" s="10"/>
    </row>
    <row r="333" spans="1:16" x14ac:dyDescent="0.45">
      <c r="A333" s="9"/>
      <c r="B333" t="b">
        <v>0</v>
      </c>
      <c r="D333" s="10"/>
      <c r="G333" s="10"/>
      <c r="H333" s="10"/>
      <c r="I333" s="9"/>
      <c r="J333" s="10"/>
      <c r="L333" s="10"/>
      <c r="M333" s="10"/>
      <c r="N333" s="10"/>
      <c r="O333" s="8"/>
      <c r="P333" s="10"/>
    </row>
    <row r="334" spans="1:16" x14ac:dyDescent="0.45">
      <c r="A334" s="9"/>
      <c r="B334" t="b">
        <v>0</v>
      </c>
      <c r="D334" s="10"/>
      <c r="G334" s="10"/>
      <c r="H334" s="10"/>
      <c r="I334" s="9"/>
      <c r="J334" s="10"/>
      <c r="L334" s="10"/>
      <c r="M334" s="10"/>
      <c r="N334" s="10"/>
      <c r="O334" s="8"/>
      <c r="P334" s="10"/>
    </row>
    <row r="335" spans="1:16" x14ac:dyDescent="0.45">
      <c r="A335" s="9"/>
      <c r="B335" t="b">
        <v>0</v>
      </c>
      <c r="D335" s="10"/>
      <c r="G335" s="10"/>
      <c r="H335" s="10"/>
      <c r="I335" s="9"/>
      <c r="J335" s="10"/>
      <c r="L335" s="10"/>
      <c r="M335" s="10"/>
      <c r="N335" s="10"/>
      <c r="O335" s="8"/>
      <c r="P335" s="10"/>
    </row>
    <row r="336" spans="1:16" x14ac:dyDescent="0.45">
      <c r="A336" s="9"/>
      <c r="B336" t="b">
        <v>0</v>
      </c>
      <c r="D336" s="10"/>
      <c r="G336" s="10"/>
      <c r="H336" s="10"/>
      <c r="I336" s="9"/>
      <c r="J336" s="10"/>
      <c r="L336" s="10"/>
      <c r="M336" s="10"/>
      <c r="N336" s="10"/>
      <c r="O336" s="8"/>
      <c r="P336" s="10"/>
    </row>
    <row r="337" spans="1:16" x14ac:dyDescent="0.45">
      <c r="A337" s="9"/>
      <c r="B337" t="b">
        <v>0</v>
      </c>
      <c r="D337" s="10"/>
      <c r="G337" s="10"/>
      <c r="H337" s="10"/>
      <c r="I337" s="9"/>
      <c r="J337" s="10"/>
      <c r="L337" s="10"/>
      <c r="M337" s="10"/>
      <c r="N337" s="10"/>
      <c r="O337" s="8"/>
      <c r="P337" s="10"/>
    </row>
    <row r="338" spans="1:16" x14ac:dyDescent="0.45">
      <c r="A338" s="9"/>
      <c r="B338" t="b">
        <v>0</v>
      </c>
      <c r="D338" s="10"/>
      <c r="G338" s="10"/>
      <c r="H338" s="10"/>
      <c r="I338" s="9"/>
      <c r="J338" s="10"/>
      <c r="L338" s="10"/>
      <c r="M338" s="10"/>
      <c r="N338" s="10"/>
      <c r="O338" s="8"/>
      <c r="P338" s="10"/>
    </row>
    <row r="339" spans="1:16" x14ac:dyDescent="0.45">
      <c r="A339" s="9"/>
      <c r="B339" t="b">
        <v>0</v>
      </c>
      <c r="D339" s="10"/>
      <c r="G339" s="10"/>
      <c r="H339" s="10"/>
      <c r="I339" s="9"/>
      <c r="J339" s="10"/>
      <c r="L339" s="10"/>
      <c r="M339" s="10"/>
      <c r="N339" s="10"/>
      <c r="O339" s="8"/>
      <c r="P339" s="10"/>
    </row>
    <row r="340" spans="1:16" x14ac:dyDescent="0.45">
      <c r="A340" s="9"/>
      <c r="B340" t="b">
        <v>0</v>
      </c>
      <c r="D340" s="10"/>
      <c r="G340" s="10"/>
      <c r="H340" s="10"/>
      <c r="I340" s="9"/>
      <c r="J340" s="10"/>
      <c r="L340" s="10"/>
      <c r="M340" s="10"/>
      <c r="N340" s="10"/>
      <c r="O340" s="8"/>
      <c r="P340" s="10"/>
    </row>
    <row r="341" spans="1:16" x14ac:dyDescent="0.45">
      <c r="A341" s="9"/>
      <c r="B341" t="b">
        <v>0</v>
      </c>
      <c r="D341" s="10"/>
      <c r="G341" s="10"/>
      <c r="H341" s="10"/>
      <c r="I341" s="9"/>
      <c r="J341" s="10"/>
      <c r="L341" s="10"/>
      <c r="M341" s="10"/>
      <c r="N341" s="10"/>
      <c r="O341" s="8"/>
      <c r="P341" s="10"/>
    </row>
    <row r="342" spans="1:16" x14ac:dyDescent="0.45">
      <c r="A342" s="9"/>
      <c r="B342" t="b">
        <v>0</v>
      </c>
      <c r="D342" s="10"/>
      <c r="G342" s="10"/>
      <c r="H342" s="10"/>
      <c r="I342" s="9"/>
      <c r="J342" s="10"/>
      <c r="L342" s="10"/>
      <c r="M342" s="10"/>
      <c r="N342" s="10"/>
      <c r="O342" s="8"/>
      <c r="P342" s="10"/>
    </row>
    <row r="343" spans="1:16" x14ac:dyDescent="0.45">
      <c r="A343" s="9"/>
      <c r="B343" t="b">
        <v>0</v>
      </c>
      <c r="D343" s="10"/>
      <c r="G343" s="10"/>
      <c r="H343" s="10"/>
      <c r="I343" s="9"/>
      <c r="J343" s="10"/>
      <c r="L343" s="10"/>
      <c r="M343" s="10"/>
      <c r="N343" s="10"/>
      <c r="O343" s="8"/>
      <c r="P343" s="10"/>
    </row>
    <row r="344" spans="1:16" x14ac:dyDescent="0.45">
      <c r="A344" s="9"/>
      <c r="B344" t="b">
        <v>0</v>
      </c>
      <c r="D344" s="10"/>
      <c r="G344" s="10"/>
      <c r="H344" s="10"/>
      <c r="I344" s="9"/>
      <c r="J344" s="10"/>
      <c r="L344" s="10"/>
      <c r="M344" s="10"/>
      <c r="N344" s="10"/>
      <c r="O344" s="8"/>
      <c r="P344" s="10"/>
    </row>
    <row r="345" spans="1:16" x14ac:dyDescent="0.45">
      <c r="A345" s="9"/>
      <c r="B345" t="b">
        <v>0</v>
      </c>
      <c r="D345" s="10"/>
      <c r="G345" s="10"/>
      <c r="H345" s="10"/>
      <c r="I345" s="9"/>
      <c r="J345" s="10"/>
      <c r="L345" s="10"/>
      <c r="M345" s="10"/>
      <c r="N345" s="10"/>
      <c r="O345" s="8"/>
      <c r="P345" s="10"/>
    </row>
    <row r="346" spans="1:16" x14ac:dyDescent="0.45">
      <c r="A346" s="9"/>
      <c r="B346" t="b">
        <v>0</v>
      </c>
      <c r="D346" s="10"/>
      <c r="G346" s="10"/>
      <c r="H346" s="10"/>
      <c r="I346" s="9"/>
      <c r="J346" s="10"/>
      <c r="L346" s="10"/>
      <c r="M346" s="10"/>
      <c r="N346" s="10"/>
      <c r="O346" s="8"/>
      <c r="P346" s="10"/>
    </row>
    <row r="347" spans="1:16" x14ac:dyDescent="0.45">
      <c r="A347" s="9"/>
      <c r="B347" t="b">
        <v>0</v>
      </c>
      <c r="D347" s="10"/>
      <c r="G347" s="10"/>
      <c r="H347" s="10"/>
      <c r="I347" s="9"/>
      <c r="J347" s="10"/>
      <c r="L347" s="10"/>
      <c r="M347" s="10"/>
      <c r="N347" s="10"/>
      <c r="O347" s="8"/>
      <c r="P347" s="10"/>
    </row>
    <row r="348" spans="1:16" x14ac:dyDescent="0.45">
      <c r="A348" s="9"/>
      <c r="B348" t="b">
        <v>0</v>
      </c>
      <c r="D348" s="10"/>
      <c r="G348" s="10"/>
      <c r="H348" s="10"/>
      <c r="I348" s="9"/>
      <c r="J348" s="10"/>
      <c r="L348" s="10"/>
      <c r="M348" s="10"/>
      <c r="N348" s="10"/>
      <c r="O348" s="8"/>
      <c r="P348" s="10"/>
    </row>
    <row r="349" spans="1:16" x14ac:dyDescent="0.45">
      <c r="A349" s="9"/>
      <c r="B349" t="b">
        <v>0</v>
      </c>
      <c r="D349" s="10"/>
      <c r="G349" s="10"/>
      <c r="H349" s="10"/>
      <c r="I349" s="9"/>
      <c r="J349" s="10"/>
      <c r="L349" s="10"/>
      <c r="M349" s="10"/>
      <c r="N349" s="10"/>
      <c r="O349" s="8"/>
      <c r="P349" s="10"/>
    </row>
    <row r="350" spans="1:16" x14ac:dyDescent="0.45">
      <c r="A350" s="9"/>
      <c r="B350" t="b">
        <v>0</v>
      </c>
      <c r="D350" s="10"/>
      <c r="G350" s="10"/>
      <c r="H350" s="10"/>
      <c r="I350" s="9"/>
      <c r="J350" s="10"/>
      <c r="L350" s="10"/>
      <c r="M350" s="10"/>
      <c r="N350" s="10"/>
      <c r="O350" s="8"/>
      <c r="P350" s="10"/>
    </row>
    <row r="351" spans="1:16" x14ac:dyDescent="0.45">
      <c r="A351" s="9"/>
      <c r="B351" t="b">
        <v>0</v>
      </c>
      <c r="D351" s="10"/>
      <c r="G351" s="10"/>
      <c r="H351" s="10"/>
      <c r="I351" s="9"/>
      <c r="J351" s="10"/>
      <c r="L351" s="10"/>
      <c r="M351" s="10"/>
      <c r="N351" s="10"/>
      <c r="O351" s="8"/>
      <c r="P351" s="10"/>
    </row>
    <row r="352" spans="1:16" x14ac:dyDescent="0.45">
      <c r="A352" s="9"/>
      <c r="B352" t="b">
        <v>0</v>
      </c>
      <c r="D352" s="10"/>
      <c r="G352" s="10"/>
      <c r="H352" s="10"/>
      <c r="I352" s="9"/>
      <c r="J352" s="10"/>
      <c r="L352" s="10"/>
      <c r="M352" s="10"/>
      <c r="N352" s="10"/>
      <c r="O352" s="8"/>
      <c r="P352" s="10"/>
    </row>
    <row r="353" spans="1:16" x14ac:dyDescent="0.45">
      <c r="A353" s="9"/>
      <c r="B353" t="b">
        <v>0</v>
      </c>
      <c r="D353" s="10"/>
      <c r="G353" s="10"/>
      <c r="H353" s="10"/>
      <c r="I353" s="9"/>
      <c r="J353" s="10"/>
      <c r="L353" s="10"/>
      <c r="M353" s="10"/>
      <c r="N353" s="10"/>
      <c r="O353" s="8"/>
      <c r="P353" s="10"/>
    </row>
    <row r="354" spans="1:16" x14ac:dyDescent="0.45">
      <c r="A354" s="9"/>
      <c r="B354" t="b">
        <v>0</v>
      </c>
      <c r="D354" s="10"/>
      <c r="G354" s="10"/>
      <c r="H354" s="10"/>
      <c r="I354" s="9"/>
      <c r="J354" s="10"/>
      <c r="L354" s="10"/>
      <c r="M354" s="10"/>
      <c r="N354" s="10"/>
      <c r="O354" s="8"/>
      <c r="P354" s="10"/>
    </row>
    <row r="355" spans="1:16" x14ac:dyDescent="0.45">
      <c r="A355" s="9"/>
      <c r="B355" t="b">
        <v>0</v>
      </c>
      <c r="D355" s="10"/>
      <c r="G355" s="10"/>
      <c r="H355" s="10"/>
      <c r="I355" s="9"/>
      <c r="J355" s="10"/>
      <c r="L355" s="10"/>
      <c r="M355" s="10"/>
      <c r="N355" s="10"/>
      <c r="O355" s="8"/>
      <c r="P355" s="10"/>
    </row>
    <row r="356" spans="1:16" x14ac:dyDescent="0.45">
      <c r="A356" s="9"/>
      <c r="B356" t="b">
        <v>0</v>
      </c>
      <c r="D356" s="10"/>
      <c r="G356" s="10"/>
      <c r="H356" s="10"/>
      <c r="I356" s="9"/>
      <c r="J356" s="10"/>
      <c r="L356" s="10"/>
      <c r="M356" s="10"/>
      <c r="N356" s="10"/>
      <c r="O356" s="8"/>
      <c r="P356" s="10"/>
    </row>
    <row r="357" spans="1:16" x14ac:dyDescent="0.45">
      <c r="A357" s="9"/>
      <c r="B357" t="b">
        <v>0</v>
      </c>
      <c r="D357" s="10"/>
      <c r="G357" s="10"/>
      <c r="H357" s="10"/>
      <c r="I357" s="9"/>
      <c r="J357" s="10"/>
      <c r="L357" s="10"/>
      <c r="M357" s="10"/>
      <c r="N357" s="10"/>
      <c r="O357" s="8"/>
      <c r="P357" s="10"/>
    </row>
    <row r="358" spans="1:16" x14ac:dyDescent="0.45">
      <c r="A358" s="9"/>
      <c r="B358" t="b">
        <v>0</v>
      </c>
      <c r="D358" s="10"/>
      <c r="G358" s="10"/>
      <c r="H358" s="10"/>
      <c r="I358" s="9"/>
      <c r="J358" s="10"/>
      <c r="L358" s="10"/>
      <c r="M358" s="10"/>
      <c r="N358" s="10"/>
      <c r="O358" s="8"/>
      <c r="P358" s="10"/>
    </row>
    <row r="359" spans="1:16" x14ac:dyDescent="0.45">
      <c r="A359" s="9"/>
      <c r="B359" t="b">
        <v>0</v>
      </c>
      <c r="D359" s="10"/>
      <c r="G359" s="10"/>
      <c r="H359" s="10"/>
      <c r="I359" s="9"/>
      <c r="J359" s="10"/>
      <c r="L359" s="10"/>
      <c r="M359" s="10"/>
      <c r="N359" s="10"/>
      <c r="O359" s="8"/>
      <c r="P359" s="10"/>
    </row>
    <row r="360" spans="1:16" x14ac:dyDescent="0.45">
      <c r="A360" s="9"/>
      <c r="B360" t="b">
        <v>0</v>
      </c>
      <c r="D360" s="10"/>
      <c r="G360" s="10"/>
      <c r="H360" s="10"/>
      <c r="I360" s="9"/>
      <c r="J360" s="10"/>
      <c r="L360" s="10"/>
      <c r="M360" s="10"/>
      <c r="N360" s="10"/>
      <c r="O360" s="8"/>
      <c r="P360" s="10"/>
    </row>
    <row r="361" spans="1:16" x14ac:dyDescent="0.45">
      <c r="A361" s="9"/>
      <c r="B361" t="b">
        <v>0</v>
      </c>
      <c r="D361" s="10"/>
      <c r="G361" s="10"/>
      <c r="H361" s="10"/>
      <c r="I361" s="9"/>
      <c r="J361" s="10"/>
      <c r="L361" s="10"/>
      <c r="M361" s="10"/>
      <c r="N361" s="10"/>
      <c r="O361" s="8"/>
      <c r="P361" s="10"/>
    </row>
    <row r="362" spans="1:16" x14ac:dyDescent="0.45">
      <c r="A362" s="9"/>
      <c r="B362" t="b">
        <v>0</v>
      </c>
      <c r="D362" s="10"/>
      <c r="G362" s="10"/>
      <c r="H362" s="10"/>
      <c r="I362" s="9"/>
      <c r="J362" s="10"/>
      <c r="L362" s="10"/>
      <c r="M362" s="10"/>
      <c r="N362" s="10"/>
      <c r="O362" s="8"/>
      <c r="P362" s="10"/>
    </row>
    <row r="363" spans="1:16" x14ac:dyDescent="0.45">
      <c r="A363" s="9"/>
      <c r="B363" t="b">
        <v>0</v>
      </c>
      <c r="D363" s="10"/>
      <c r="G363" s="10"/>
      <c r="H363" s="10"/>
      <c r="I363" s="9"/>
      <c r="J363" s="10"/>
      <c r="L363" s="10"/>
      <c r="M363" s="10"/>
      <c r="N363" s="10"/>
      <c r="O363" s="8"/>
      <c r="P363" s="10"/>
    </row>
    <row r="364" spans="1:16" x14ac:dyDescent="0.45">
      <c r="A364" s="9"/>
      <c r="B364" t="b">
        <v>0</v>
      </c>
      <c r="D364" s="10"/>
      <c r="G364" s="10"/>
      <c r="H364" s="10"/>
      <c r="I364" s="9"/>
      <c r="J364" s="10"/>
      <c r="L364" s="10"/>
      <c r="M364" s="10"/>
      <c r="N364" s="10"/>
      <c r="O364" s="8"/>
      <c r="P364" s="10"/>
    </row>
    <row r="365" spans="1:16" x14ac:dyDescent="0.45">
      <c r="A365" s="9"/>
      <c r="B365" t="b">
        <v>0</v>
      </c>
      <c r="D365" s="10"/>
      <c r="G365" s="10"/>
      <c r="H365" s="10"/>
      <c r="I365" s="9"/>
      <c r="J365" s="10"/>
      <c r="L365" s="10"/>
      <c r="M365" s="10"/>
      <c r="N365" s="10"/>
      <c r="O365" s="8"/>
      <c r="P365" s="10"/>
    </row>
    <row r="366" spans="1:16" x14ac:dyDescent="0.45">
      <c r="A366" s="9"/>
      <c r="B366" t="b">
        <v>0</v>
      </c>
      <c r="D366" s="10"/>
      <c r="G366" s="10"/>
      <c r="H366" s="10"/>
      <c r="I366" s="9"/>
      <c r="J366" s="10"/>
      <c r="L366" s="10"/>
      <c r="M366" s="10"/>
      <c r="N366" s="10"/>
      <c r="O366" s="8"/>
      <c r="P366" s="10"/>
    </row>
    <row r="367" spans="1:16" x14ac:dyDescent="0.45">
      <c r="A367" s="9"/>
      <c r="B367" t="b">
        <v>0</v>
      </c>
      <c r="D367" s="10"/>
      <c r="G367" s="10"/>
      <c r="H367" s="10"/>
      <c r="I367" s="9"/>
      <c r="J367" s="10"/>
      <c r="L367" s="10"/>
      <c r="M367" s="10"/>
      <c r="N367" s="10"/>
      <c r="O367" s="8"/>
      <c r="P367" s="10"/>
    </row>
    <row r="368" spans="1:16" x14ac:dyDescent="0.45">
      <c r="A368" s="9"/>
      <c r="B368" t="b">
        <v>0</v>
      </c>
      <c r="D368" s="10"/>
      <c r="G368" s="10"/>
      <c r="H368" s="10"/>
      <c r="I368" s="9"/>
      <c r="J368" s="10"/>
      <c r="L368" s="10"/>
      <c r="M368" s="10"/>
      <c r="N368" s="10"/>
      <c r="O368" s="8"/>
      <c r="P368" s="10"/>
    </row>
    <row r="369" spans="1:16" x14ac:dyDescent="0.45">
      <c r="A369" s="9"/>
      <c r="B369" t="b">
        <v>0</v>
      </c>
      <c r="D369" s="10"/>
      <c r="G369" s="10"/>
      <c r="H369" s="10"/>
      <c r="I369" s="9"/>
      <c r="J369" s="10"/>
      <c r="L369" s="10"/>
      <c r="M369" s="10"/>
      <c r="N369" s="10"/>
      <c r="O369" s="8"/>
      <c r="P369" s="10"/>
    </row>
    <row r="370" spans="1:16" x14ac:dyDescent="0.45">
      <c r="A370" s="9"/>
      <c r="B370" t="b">
        <v>0</v>
      </c>
      <c r="D370" s="10"/>
      <c r="G370" s="10"/>
      <c r="H370" s="10"/>
      <c r="I370" s="9"/>
      <c r="J370" s="10"/>
      <c r="L370" s="10"/>
      <c r="M370" s="10"/>
      <c r="N370" s="10"/>
      <c r="O370" s="8"/>
      <c r="P370" s="10"/>
    </row>
    <row r="371" spans="1:16" x14ac:dyDescent="0.45">
      <c r="A371" s="9"/>
      <c r="B371" t="b">
        <v>0</v>
      </c>
      <c r="D371" s="10"/>
      <c r="G371" s="10"/>
      <c r="H371" s="10"/>
      <c r="I371" s="9"/>
      <c r="J371" s="10"/>
      <c r="L371" s="10"/>
      <c r="M371" s="10"/>
      <c r="N371" s="10"/>
      <c r="O371" s="8"/>
      <c r="P371" s="10"/>
    </row>
    <row r="372" spans="1:16" x14ac:dyDescent="0.45">
      <c r="A372" s="9"/>
      <c r="B372" t="b">
        <v>0</v>
      </c>
      <c r="D372" s="10"/>
      <c r="G372" s="10"/>
      <c r="H372" s="10"/>
      <c r="I372" s="9"/>
      <c r="J372" s="10"/>
      <c r="L372" s="10"/>
      <c r="M372" s="10"/>
      <c r="N372" s="10"/>
      <c r="O372" s="8"/>
      <c r="P372" s="10"/>
    </row>
    <row r="373" spans="1:16" x14ac:dyDescent="0.45">
      <c r="A373" s="9"/>
      <c r="B373" t="b">
        <v>0</v>
      </c>
      <c r="D373" s="10"/>
      <c r="G373" s="10"/>
      <c r="H373" s="10"/>
      <c r="I373" s="9"/>
      <c r="J373" s="10"/>
      <c r="L373" s="10"/>
      <c r="M373" s="10"/>
      <c r="N373" s="10"/>
      <c r="O373" s="8"/>
      <c r="P373" s="10"/>
    </row>
    <row r="374" spans="1:16" x14ac:dyDescent="0.45">
      <c r="A374" s="9"/>
      <c r="B374" t="b">
        <v>0</v>
      </c>
      <c r="D374" s="10"/>
      <c r="G374" s="10"/>
      <c r="H374" s="10"/>
      <c r="I374" s="9"/>
      <c r="J374" s="10"/>
      <c r="L374" s="10"/>
      <c r="M374" s="10"/>
      <c r="N374" s="10"/>
      <c r="O374" s="8"/>
      <c r="P374" s="10"/>
    </row>
    <row r="375" spans="1:16" x14ac:dyDescent="0.45">
      <c r="A375" s="9"/>
      <c r="B375" t="b">
        <v>0</v>
      </c>
      <c r="D375" s="10"/>
      <c r="G375" s="10"/>
      <c r="H375" s="10"/>
      <c r="I375" s="9"/>
      <c r="J375" s="10"/>
      <c r="L375" s="10"/>
      <c r="M375" s="10"/>
      <c r="N375" s="10"/>
      <c r="O375" s="8"/>
      <c r="P375" s="10"/>
    </row>
    <row r="376" spans="1:16" x14ac:dyDescent="0.45">
      <c r="A376" s="9"/>
      <c r="B376" t="b">
        <v>0</v>
      </c>
      <c r="D376" s="10"/>
      <c r="G376" s="10"/>
      <c r="H376" s="10"/>
      <c r="I376" s="9"/>
      <c r="J376" s="10"/>
      <c r="L376" s="10"/>
      <c r="M376" s="10"/>
      <c r="N376" s="10"/>
      <c r="O376" s="8"/>
      <c r="P376" s="10"/>
    </row>
    <row r="377" spans="1:16" x14ac:dyDescent="0.45">
      <c r="A377" s="9"/>
      <c r="B377" t="b">
        <v>0</v>
      </c>
      <c r="D377" s="10"/>
      <c r="G377" s="10"/>
      <c r="H377" s="10"/>
      <c r="I377" s="9"/>
      <c r="J377" s="10"/>
      <c r="L377" s="10"/>
      <c r="M377" s="10"/>
      <c r="N377" s="10"/>
      <c r="O377" s="8"/>
      <c r="P377" s="10"/>
    </row>
    <row r="378" spans="1:16" x14ac:dyDescent="0.45">
      <c r="A378" s="9"/>
      <c r="B378" t="b">
        <v>0</v>
      </c>
      <c r="D378" s="10"/>
      <c r="G378" s="10"/>
      <c r="H378" s="10"/>
      <c r="I378" s="9"/>
      <c r="J378" s="10"/>
      <c r="L378" s="10"/>
      <c r="M378" s="10"/>
      <c r="N378" s="10"/>
      <c r="O378" s="8"/>
      <c r="P378" s="10"/>
    </row>
    <row r="379" spans="1:16" x14ac:dyDescent="0.45">
      <c r="A379" s="9"/>
      <c r="B379" t="b">
        <v>0</v>
      </c>
      <c r="D379" s="10"/>
      <c r="G379" s="10"/>
      <c r="H379" s="10"/>
      <c r="I379" s="9"/>
      <c r="J379" s="10"/>
      <c r="L379" s="10"/>
      <c r="M379" s="10"/>
      <c r="N379" s="10"/>
      <c r="O379" s="8"/>
      <c r="P379" s="10"/>
    </row>
    <row r="380" spans="1:16" x14ac:dyDescent="0.45">
      <c r="A380" s="9"/>
      <c r="B380" t="b">
        <v>0</v>
      </c>
      <c r="D380" s="10"/>
      <c r="G380" s="10"/>
      <c r="H380" s="10"/>
      <c r="I380" s="9"/>
      <c r="J380" s="10"/>
      <c r="L380" s="10"/>
      <c r="M380" s="10"/>
      <c r="N380" s="10"/>
      <c r="O380" s="8"/>
      <c r="P380" s="10"/>
    </row>
    <row r="381" spans="1:16" x14ac:dyDescent="0.45">
      <c r="A381" s="9"/>
      <c r="B381" t="b">
        <v>0</v>
      </c>
      <c r="D381" s="10"/>
      <c r="G381" s="10"/>
      <c r="H381" s="10"/>
      <c r="I381" s="9"/>
      <c r="J381" s="10"/>
      <c r="L381" s="10"/>
      <c r="M381" s="10"/>
      <c r="N381" s="10"/>
      <c r="O381" s="8"/>
      <c r="P381" s="10"/>
    </row>
    <row r="382" spans="1:16" x14ac:dyDescent="0.45">
      <c r="A382" s="9"/>
      <c r="B382" t="b">
        <v>0</v>
      </c>
      <c r="D382" s="10"/>
      <c r="G382" s="10"/>
      <c r="H382" s="10"/>
      <c r="I382" s="9"/>
      <c r="J382" s="10"/>
      <c r="L382" s="10"/>
      <c r="M382" s="10"/>
      <c r="N382" s="10"/>
      <c r="O382" s="8"/>
      <c r="P382" s="10"/>
    </row>
    <row r="383" spans="1:16" x14ac:dyDescent="0.45">
      <c r="A383" s="9"/>
      <c r="B383" t="b">
        <v>0</v>
      </c>
      <c r="D383" s="10"/>
      <c r="G383" s="10"/>
      <c r="H383" s="10"/>
      <c r="I383" s="9"/>
      <c r="J383" s="10"/>
      <c r="L383" s="10"/>
      <c r="M383" s="10"/>
      <c r="N383" s="10"/>
      <c r="O383" s="8"/>
      <c r="P383" s="10"/>
    </row>
    <row r="384" spans="1:16" x14ac:dyDescent="0.45">
      <c r="A384" s="9"/>
      <c r="B384" t="b">
        <v>0</v>
      </c>
      <c r="D384" s="10"/>
      <c r="G384" s="10"/>
      <c r="H384" s="10"/>
      <c r="I384" s="9"/>
      <c r="J384" s="10"/>
      <c r="L384" s="10"/>
      <c r="M384" s="10"/>
      <c r="N384" s="10"/>
      <c r="O384" s="8"/>
      <c r="P384" s="10"/>
    </row>
    <row r="385" spans="1:16" x14ac:dyDescent="0.45">
      <c r="A385" s="9"/>
      <c r="B385" t="b">
        <v>0</v>
      </c>
      <c r="D385" s="10"/>
      <c r="G385" s="10"/>
      <c r="H385" s="10"/>
      <c r="I385" s="9"/>
      <c r="J385" s="10"/>
      <c r="L385" s="10"/>
      <c r="M385" s="10"/>
      <c r="N385" s="10"/>
      <c r="O385" s="8"/>
      <c r="P385" s="10"/>
    </row>
    <row r="386" spans="1:16" x14ac:dyDescent="0.45">
      <c r="A386" s="9"/>
      <c r="B386" t="b">
        <v>0</v>
      </c>
      <c r="D386" s="10"/>
      <c r="G386" s="10"/>
      <c r="H386" s="10"/>
      <c r="I386" s="9"/>
      <c r="J386" s="10"/>
      <c r="L386" s="10"/>
      <c r="M386" s="10"/>
      <c r="N386" s="10"/>
      <c r="O386" s="8"/>
      <c r="P386" s="10"/>
    </row>
    <row r="387" spans="1:16" x14ac:dyDescent="0.45">
      <c r="A387" s="9"/>
      <c r="B387" t="b">
        <v>0</v>
      </c>
      <c r="D387" s="10"/>
      <c r="G387" s="10"/>
      <c r="H387" s="10"/>
      <c r="I387" s="9"/>
      <c r="J387" s="10"/>
      <c r="L387" s="10"/>
      <c r="M387" s="10"/>
      <c r="N387" s="10"/>
      <c r="O387" s="8"/>
      <c r="P387" s="10"/>
    </row>
    <row r="388" spans="1:16" x14ac:dyDescent="0.45">
      <c r="A388" s="9"/>
      <c r="B388" t="b">
        <v>0</v>
      </c>
      <c r="D388" s="10"/>
      <c r="G388" s="10"/>
      <c r="H388" s="10"/>
      <c r="I388" s="9"/>
      <c r="J388" s="10"/>
      <c r="L388" s="10"/>
      <c r="M388" s="10"/>
      <c r="N388" s="10"/>
      <c r="O388" s="8"/>
      <c r="P388" s="10"/>
    </row>
    <row r="389" spans="1:16" x14ac:dyDescent="0.45">
      <c r="A389" s="9"/>
      <c r="B389" t="b">
        <v>0</v>
      </c>
      <c r="D389" s="10"/>
      <c r="G389" s="10"/>
      <c r="H389" s="10"/>
      <c r="I389" s="9"/>
      <c r="J389" s="10"/>
      <c r="L389" s="10"/>
      <c r="M389" s="10"/>
      <c r="N389" s="10"/>
      <c r="O389" s="8"/>
      <c r="P389" s="10"/>
    </row>
    <row r="390" spans="1:16" x14ac:dyDescent="0.45">
      <c r="A390" s="9"/>
      <c r="B390" t="b">
        <v>0</v>
      </c>
      <c r="D390" s="10"/>
      <c r="G390" s="10"/>
      <c r="H390" s="10"/>
      <c r="I390" s="9"/>
      <c r="J390" s="10"/>
      <c r="L390" s="10"/>
      <c r="M390" s="10"/>
      <c r="N390" s="10"/>
      <c r="O390" s="8"/>
      <c r="P390" s="10"/>
    </row>
    <row r="391" spans="1:16" x14ac:dyDescent="0.45">
      <c r="A391" s="9"/>
      <c r="B391" t="b">
        <v>0</v>
      </c>
      <c r="D391" s="10"/>
      <c r="G391" s="10"/>
      <c r="H391" s="10"/>
      <c r="I391" s="9"/>
      <c r="J391" s="10"/>
      <c r="L391" s="10"/>
      <c r="M391" s="10"/>
      <c r="N391" s="10"/>
      <c r="O391" s="8"/>
      <c r="P391" s="10"/>
    </row>
    <row r="392" spans="1:16" x14ac:dyDescent="0.45">
      <c r="A392" s="9"/>
      <c r="B392" t="b">
        <v>0</v>
      </c>
      <c r="D392" s="10"/>
      <c r="G392" s="10"/>
      <c r="H392" s="10"/>
      <c r="I392" s="9"/>
      <c r="J392" s="10"/>
      <c r="L392" s="10"/>
      <c r="M392" s="10"/>
      <c r="N392" s="10"/>
      <c r="O392" s="8"/>
      <c r="P392" s="10"/>
    </row>
    <row r="393" spans="1:16" x14ac:dyDescent="0.45">
      <c r="A393" s="9"/>
      <c r="B393" t="b">
        <v>0</v>
      </c>
      <c r="D393" s="10"/>
      <c r="G393" s="10"/>
      <c r="H393" s="10"/>
      <c r="I393" s="9"/>
      <c r="J393" s="10"/>
      <c r="L393" s="10"/>
      <c r="M393" s="10"/>
      <c r="N393" s="10"/>
      <c r="O393" s="8"/>
      <c r="P393" s="10"/>
    </row>
    <row r="394" spans="1:16" x14ac:dyDescent="0.45">
      <c r="A394" s="9"/>
      <c r="B394" t="b">
        <v>0</v>
      </c>
      <c r="D394" s="10"/>
      <c r="G394" s="10"/>
      <c r="H394" s="10"/>
      <c r="I394" s="9"/>
      <c r="J394" s="10"/>
      <c r="L394" s="10"/>
      <c r="M394" s="10"/>
      <c r="N394" s="10"/>
      <c r="O394" s="8"/>
      <c r="P394" s="10"/>
    </row>
    <row r="395" spans="1:16" x14ac:dyDescent="0.45">
      <c r="A395" s="9"/>
      <c r="B395" t="b">
        <v>0</v>
      </c>
      <c r="D395" s="10"/>
      <c r="G395" s="10"/>
      <c r="H395" s="10"/>
      <c r="I395" s="9"/>
      <c r="J395" s="10"/>
      <c r="L395" s="10"/>
      <c r="M395" s="10"/>
      <c r="N395" s="10"/>
      <c r="O395" s="8"/>
      <c r="P395" s="10"/>
    </row>
    <row r="396" spans="1:16" x14ac:dyDescent="0.45">
      <c r="A396" s="9"/>
      <c r="B396" t="b">
        <v>0</v>
      </c>
      <c r="D396" s="10"/>
      <c r="G396" s="10"/>
      <c r="H396" s="10"/>
      <c r="I396" s="9"/>
      <c r="J396" s="10"/>
      <c r="L396" s="10"/>
      <c r="M396" s="10"/>
      <c r="N396" s="10"/>
      <c r="O396" s="8"/>
      <c r="P396" s="10"/>
    </row>
    <row r="397" spans="1:16" x14ac:dyDescent="0.45">
      <c r="A397" s="9"/>
      <c r="B397" t="b">
        <v>0</v>
      </c>
      <c r="D397" s="10"/>
      <c r="G397" s="10"/>
      <c r="H397" s="10"/>
      <c r="I397" s="9"/>
      <c r="J397" s="10"/>
      <c r="L397" s="10"/>
      <c r="M397" s="10"/>
      <c r="N397" s="10"/>
      <c r="O397" s="8"/>
      <c r="P397" s="10"/>
    </row>
    <row r="398" spans="1:16" x14ac:dyDescent="0.45">
      <c r="A398" s="9"/>
      <c r="B398" t="b">
        <v>0</v>
      </c>
      <c r="D398" s="10"/>
      <c r="G398" s="10"/>
      <c r="H398" s="10"/>
      <c r="I398" s="9"/>
      <c r="J398" s="10"/>
      <c r="L398" s="10"/>
      <c r="M398" s="10"/>
      <c r="N398" s="10"/>
      <c r="O398" s="8"/>
      <c r="P398" s="10"/>
    </row>
    <row r="399" spans="1:16" x14ac:dyDescent="0.45">
      <c r="A399" s="9"/>
      <c r="B399" t="b">
        <v>0</v>
      </c>
      <c r="D399" s="10"/>
      <c r="G399" s="10"/>
      <c r="H399" s="10"/>
      <c r="I399" s="9"/>
      <c r="J399" s="10"/>
      <c r="L399" s="10"/>
      <c r="M399" s="10"/>
      <c r="N399" s="10"/>
      <c r="O399" s="8"/>
      <c r="P399" s="10"/>
    </row>
    <row r="400" spans="1:16" x14ac:dyDescent="0.45">
      <c r="A400" s="9"/>
      <c r="B400" t="b">
        <v>0</v>
      </c>
      <c r="D400" s="10"/>
      <c r="G400" s="10"/>
      <c r="H400" s="10"/>
      <c r="I400" s="9"/>
      <c r="J400" s="10"/>
      <c r="L400" s="10"/>
      <c r="M400" s="10"/>
      <c r="N400" s="10"/>
      <c r="O400" s="8"/>
      <c r="P400" s="10"/>
    </row>
    <row r="401" spans="1:16" x14ac:dyDescent="0.45">
      <c r="A401" s="9"/>
      <c r="B401" t="b">
        <v>0</v>
      </c>
      <c r="D401" s="10"/>
      <c r="G401" s="10"/>
      <c r="H401" s="10"/>
      <c r="I401" s="9"/>
      <c r="J401" s="10"/>
      <c r="L401" s="10"/>
      <c r="M401" s="10"/>
      <c r="N401" s="10"/>
      <c r="O401" s="8"/>
      <c r="P401" s="10"/>
    </row>
    <row r="402" spans="1:16" x14ac:dyDescent="0.45">
      <c r="A402" s="9"/>
      <c r="B402" t="b">
        <v>0</v>
      </c>
      <c r="D402" s="10"/>
      <c r="G402" s="10"/>
      <c r="H402" s="10"/>
      <c r="I402" s="9"/>
      <c r="J402" s="10"/>
      <c r="L402" s="10"/>
      <c r="M402" s="10"/>
      <c r="N402" s="10"/>
      <c r="O402" s="8"/>
      <c r="P402" s="10"/>
    </row>
    <row r="403" spans="1:16" x14ac:dyDescent="0.45">
      <c r="A403" s="9"/>
      <c r="B403" t="b">
        <v>0</v>
      </c>
      <c r="D403" s="10"/>
      <c r="G403" s="10"/>
      <c r="H403" s="10"/>
      <c r="I403" s="9"/>
      <c r="J403" s="10"/>
      <c r="L403" s="10"/>
      <c r="M403" s="10"/>
      <c r="N403" s="10"/>
      <c r="O403" s="8"/>
      <c r="P403" s="10"/>
    </row>
    <row r="404" spans="1:16" x14ac:dyDescent="0.45">
      <c r="A404" s="9"/>
      <c r="B404" t="b">
        <v>0</v>
      </c>
      <c r="D404" s="10"/>
      <c r="G404" s="10"/>
      <c r="H404" s="10"/>
      <c r="I404" s="9"/>
      <c r="J404" s="10"/>
      <c r="L404" s="10"/>
      <c r="M404" s="10"/>
      <c r="N404" s="10"/>
      <c r="O404" s="8"/>
      <c r="P404" s="10"/>
    </row>
    <row r="405" spans="1:16" x14ac:dyDescent="0.45">
      <c r="A405" s="9"/>
      <c r="B405" t="b">
        <v>0</v>
      </c>
      <c r="D405" s="10"/>
      <c r="G405" s="10"/>
      <c r="H405" s="10"/>
      <c r="I405" s="9"/>
      <c r="J405" s="10"/>
      <c r="L405" s="10"/>
      <c r="M405" s="10"/>
      <c r="N405" s="10"/>
      <c r="O405" s="8"/>
      <c r="P405" s="10"/>
    </row>
    <row r="406" spans="1:16" x14ac:dyDescent="0.45">
      <c r="A406" s="9"/>
      <c r="B406" t="b">
        <v>0</v>
      </c>
      <c r="D406" s="10"/>
      <c r="G406" s="10"/>
      <c r="H406" s="10"/>
      <c r="I406" s="9"/>
      <c r="J406" s="10"/>
      <c r="L406" s="10"/>
      <c r="M406" s="10"/>
      <c r="N406" s="10"/>
      <c r="O406" s="8"/>
      <c r="P406" s="10"/>
    </row>
    <row r="407" spans="1:16" x14ac:dyDescent="0.45">
      <c r="A407" s="9"/>
      <c r="B407" t="b">
        <v>0</v>
      </c>
      <c r="D407" s="10"/>
      <c r="G407" s="10"/>
      <c r="H407" s="10"/>
      <c r="I407" s="9"/>
      <c r="J407" s="10"/>
      <c r="L407" s="10"/>
      <c r="M407" s="10"/>
      <c r="N407" s="10"/>
      <c r="O407" s="8"/>
      <c r="P407" s="10"/>
    </row>
    <row r="408" spans="1:16" x14ac:dyDescent="0.45">
      <c r="A408" s="9"/>
      <c r="B408" t="b">
        <v>0</v>
      </c>
      <c r="D408" s="10"/>
      <c r="G408" s="10"/>
      <c r="H408" s="10"/>
      <c r="I408" s="9"/>
      <c r="J408" s="10"/>
      <c r="L408" s="10"/>
      <c r="M408" s="10"/>
      <c r="N408" s="10"/>
      <c r="O408" s="8"/>
      <c r="P408" s="10"/>
    </row>
    <row r="409" spans="1:16" x14ac:dyDescent="0.45">
      <c r="A409" s="9"/>
      <c r="B409" t="b">
        <v>0</v>
      </c>
      <c r="D409" s="10"/>
      <c r="G409" s="10"/>
      <c r="H409" s="10"/>
      <c r="I409" s="9"/>
      <c r="J409" s="10"/>
      <c r="L409" s="10"/>
      <c r="M409" s="10"/>
      <c r="N409" s="10"/>
      <c r="O409" s="8"/>
      <c r="P409" s="10"/>
    </row>
    <row r="410" spans="1:16" x14ac:dyDescent="0.45">
      <c r="A410" s="9"/>
      <c r="B410" t="b">
        <v>0</v>
      </c>
      <c r="D410" s="10"/>
      <c r="G410" s="10"/>
      <c r="H410" s="10"/>
      <c r="I410" s="9"/>
      <c r="J410" s="10"/>
      <c r="L410" s="10"/>
      <c r="M410" s="10"/>
      <c r="N410" s="10"/>
      <c r="O410" s="8"/>
      <c r="P410" s="10"/>
    </row>
    <row r="411" spans="1:16" x14ac:dyDescent="0.45">
      <c r="A411" s="9"/>
      <c r="B411" t="b">
        <v>0</v>
      </c>
      <c r="D411" s="10"/>
      <c r="G411" s="10"/>
      <c r="H411" s="10"/>
      <c r="I411" s="9"/>
      <c r="J411" s="10"/>
      <c r="L411" s="10"/>
      <c r="M411" s="10"/>
      <c r="N411" s="10"/>
      <c r="O411" s="8"/>
      <c r="P411" s="10"/>
    </row>
    <row r="412" spans="1:16" x14ac:dyDescent="0.45">
      <c r="A412" s="9"/>
      <c r="B412" t="b">
        <v>0</v>
      </c>
      <c r="D412" s="10"/>
      <c r="G412" s="10"/>
      <c r="H412" s="10"/>
      <c r="I412" s="9"/>
      <c r="J412" s="10"/>
      <c r="L412" s="10"/>
      <c r="M412" s="10"/>
      <c r="N412" s="10"/>
      <c r="O412" s="8"/>
      <c r="P412" s="10"/>
    </row>
    <row r="413" spans="1:16" x14ac:dyDescent="0.45">
      <c r="A413" s="9"/>
      <c r="B413" t="b">
        <v>0</v>
      </c>
      <c r="D413" s="10"/>
      <c r="G413" s="10"/>
      <c r="H413" s="10"/>
      <c r="I413" s="9"/>
      <c r="J413" s="10"/>
      <c r="L413" s="10"/>
      <c r="M413" s="10"/>
      <c r="N413" s="10"/>
      <c r="O413" s="8"/>
      <c r="P413" s="10"/>
    </row>
    <row r="414" spans="1:16" x14ac:dyDescent="0.45">
      <c r="A414" s="9"/>
      <c r="B414" t="b">
        <v>0</v>
      </c>
      <c r="D414" s="10"/>
      <c r="G414" s="10"/>
      <c r="H414" s="10"/>
      <c r="I414" s="9"/>
      <c r="J414" s="10"/>
      <c r="L414" s="10"/>
      <c r="M414" s="10"/>
      <c r="N414" s="10"/>
      <c r="O414" s="8"/>
      <c r="P414" s="10"/>
    </row>
    <row r="415" spans="1:16" x14ac:dyDescent="0.45">
      <c r="A415" s="9"/>
      <c r="B415" t="b">
        <v>0</v>
      </c>
      <c r="D415" s="10"/>
      <c r="G415" s="10"/>
      <c r="H415" s="10"/>
      <c r="I415" s="9"/>
      <c r="J415" s="10"/>
      <c r="L415" s="10"/>
      <c r="M415" s="10"/>
      <c r="N415" s="10"/>
      <c r="O415" s="8"/>
      <c r="P415" s="10"/>
    </row>
    <row r="416" spans="1:16" x14ac:dyDescent="0.45">
      <c r="A416" s="9"/>
      <c r="B416" t="b">
        <v>0</v>
      </c>
      <c r="D416" s="10"/>
      <c r="G416" s="10"/>
      <c r="H416" s="10"/>
      <c r="I416" s="9"/>
      <c r="J416" s="10"/>
      <c r="L416" s="10"/>
      <c r="M416" s="10"/>
      <c r="N416" s="10"/>
      <c r="O416" s="8"/>
      <c r="P416" s="10"/>
    </row>
    <row r="417" spans="1:16" x14ac:dyDescent="0.45">
      <c r="A417" s="9"/>
      <c r="B417" t="b">
        <v>0</v>
      </c>
      <c r="D417" s="10"/>
      <c r="G417" s="10"/>
      <c r="H417" s="10"/>
      <c r="I417" s="9"/>
      <c r="J417" s="10"/>
      <c r="L417" s="10"/>
      <c r="M417" s="10"/>
      <c r="N417" s="10"/>
      <c r="O417" s="8"/>
      <c r="P417" s="10"/>
    </row>
    <row r="418" spans="1:16" x14ac:dyDescent="0.45">
      <c r="A418" s="9"/>
      <c r="B418" t="b">
        <v>0</v>
      </c>
      <c r="D418" s="10"/>
      <c r="G418" s="10"/>
      <c r="H418" s="10"/>
      <c r="I418" s="9"/>
      <c r="J418" s="10"/>
      <c r="L418" s="10"/>
      <c r="M418" s="10"/>
      <c r="N418" s="10"/>
      <c r="O418" s="8"/>
      <c r="P418" s="10"/>
    </row>
    <row r="419" spans="1:16" x14ac:dyDescent="0.45">
      <c r="A419" s="9"/>
      <c r="B419" t="b">
        <v>0</v>
      </c>
      <c r="D419" s="10"/>
      <c r="G419" s="10"/>
      <c r="H419" s="10"/>
      <c r="I419" s="9"/>
      <c r="J419" s="10"/>
      <c r="L419" s="10"/>
      <c r="M419" s="10"/>
      <c r="N419" s="10"/>
      <c r="O419" s="8"/>
      <c r="P419" s="10"/>
    </row>
    <row r="420" spans="1:16" x14ac:dyDescent="0.45">
      <c r="A420" s="9"/>
      <c r="B420" t="b">
        <v>0</v>
      </c>
      <c r="D420" s="10"/>
      <c r="G420" s="10"/>
      <c r="H420" s="10"/>
      <c r="I420" s="9"/>
      <c r="J420" s="10"/>
      <c r="L420" s="10"/>
      <c r="M420" s="10"/>
      <c r="N420" s="10"/>
      <c r="O420" s="8"/>
      <c r="P420" s="10"/>
    </row>
    <row r="421" spans="1:16" x14ac:dyDescent="0.45">
      <c r="A421" s="9"/>
      <c r="B421" t="b">
        <v>0</v>
      </c>
      <c r="D421" s="10"/>
      <c r="G421" s="10"/>
      <c r="H421" s="10"/>
      <c r="I421" s="9"/>
      <c r="J421" s="10"/>
      <c r="L421" s="10"/>
      <c r="M421" s="10"/>
      <c r="N421" s="10"/>
      <c r="O421" s="8"/>
      <c r="P421" s="10"/>
    </row>
    <row r="422" spans="1:16" x14ac:dyDescent="0.45">
      <c r="A422" s="9"/>
      <c r="B422" t="b">
        <v>0</v>
      </c>
      <c r="D422" s="10"/>
      <c r="G422" s="10"/>
      <c r="H422" s="10"/>
      <c r="I422" s="9"/>
      <c r="J422" s="10"/>
      <c r="L422" s="10"/>
      <c r="M422" s="10"/>
      <c r="N422" s="10"/>
      <c r="O422" s="8"/>
      <c r="P422" s="10"/>
    </row>
    <row r="423" spans="1:16" x14ac:dyDescent="0.45">
      <c r="A423" s="9"/>
      <c r="B423" t="b">
        <v>0</v>
      </c>
      <c r="D423" s="10"/>
      <c r="G423" s="10"/>
      <c r="H423" s="10"/>
      <c r="I423" s="9"/>
      <c r="J423" s="10"/>
      <c r="L423" s="10"/>
      <c r="M423" s="10"/>
      <c r="N423" s="10"/>
      <c r="O423" s="8"/>
      <c r="P423" s="10"/>
    </row>
    <row r="424" spans="1:16" x14ac:dyDescent="0.45">
      <c r="A424" s="9"/>
      <c r="B424" t="b">
        <v>0</v>
      </c>
      <c r="D424" s="10"/>
      <c r="G424" s="10"/>
      <c r="H424" s="10"/>
      <c r="I424" s="9"/>
      <c r="J424" s="10"/>
      <c r="L424" s="10"/>
      <c r="M424" s="10"/>
      <c r="N424" s="10"/>
      <c r="O424" s="8"/>
      <c r="P424" s="10"/>
    </row>
    <row r="425" spans="1:16" x14ac:dyDescent="0.45">
      <c r="A425" s="9"/>
      <c r="B425" t="b">
        <v>0</v>
      </c>
      <c r="D425" s="10"/>
      <c r="G425" s="10"/>
      <c r="H425" s="10"/>
      <c r="I425" s="9"/>
      <c r="J425" s="10"/>
      <c r="L425" s="10"/>
      <c r="M425" s="10"/>
      <c r="N425" s="10"/>
      <c r="O425" s="8"/>
      <c r="P425" s="10"/>
    </row>
    <row r="426" spans="1:16" x14ac:dyDescent="0.45">
      <c r="A426" s="9"/>
      <c r="B426" t="b">
        <v>0</v>
      </c>
      <c r="D426" s="10"/>
      <c r="G426" s="10"/>
      <c r="H426" s="10"/>
      <c r="I426" s="9"/>
      <c r="J426" s="10"/>
      <c r="L426" s="10"/>
      <c r="M426" s="10"/>
      <c r="N426" s="10"/>
      <c r="O426" s="8"/>
      <c r="P426" s="10"/>
    </row>
    <row r="427" spans="1:16" x14ac:dyDescent="0.45">
      <c r="A427" s="9"/>
      <c r="B427" t="b">
        <v>0</v>
      </c>
      <c r="D427" s="10"/>
      <c r="G427" s="10"/>
      <c r="H427" s="10"/>
      <c r="I427" s="9"/>
      <c r="J427" s="10"/>
      <c r="L427" s="10"/>
      <c r="M427" s="10"/>
      <c r="N427" s="10"/>
      <c r="O427" s="8"/>
      <c r="P427" s="10"/>
    </row>
    <row r="428" spans="1:16" x14ac:dyDescent="0.45">
      <c r="A428" s="9"/>
      <c r="B428" t="b">
        <v>0</v>
      </c>
      <c r="D428" s="10"/>
      <c r="G428" s="10"/>
      <c r="H428" s="10"/>
      <c r="I428" s="9"/>
      <c r="J428" s="10"/>
      <c r="L428" s="10"/>
      <c r="M428" s="10"/>
      <c r="N428" s="10"/>
      <c r="O428" s="8"/>
      <c r="P428" s="10"/>
    </row>
    <row r="429" spans="1:16" x14ac:dyDescent="0.45">
      <c r="A429" s="9"/>
      <c r="B429" t="b">
        <v>0</v>
      </c>
      <c r="D429" s="10"/>
      <c r="G429" s="10"/>
      <c r="H429" s="10"/>
      <c r="I429" s="9"/>
      <c r="J429" s="10"/>
      <c r="L429" s="10"/>
      <c r="M429" s="10"/>
      <c r="N429" s="10"/>
      <c r="O429" s="8"/>
      <c r="P429" s="10"/>
    </row>
    <row r="430" spans="1:16" x14ac:dyDescent="0.45">
      <c r="A430" s="9"/>
      <c r="B430" t="b">
        <v>0</v>
      </c>
      <c r="D430" s="10"/>
      <c r="G430" s="10"/>
      <c r="H430" s="10"/>
      <c r="I430" s="9"/>
      <c r="J430" s="10"/>
      <c r="L430" s="10"/>
      <c r="M430" s="10"/>
      <c r="N430" s="10"/>
      <c r="O430" s="8"/>
      <c r="P430" s="10"/>
    </row>
    <row r="431" spans="1:16" x14ac:dyDescent="0.45">
      <c r="A431" s="9"/>
      <c r="B431" t="b">
        <v>0</v>
      </c>
      <c r="D431" s="10"/>
      <c r="G431" s="10"/>
      <c r="H431" s="10"/>
      <c r="I431" s="9"/>
      <c r="J431" s="10"/>
      <c r="L431" s="10"/>
      <c r="M431" s="10"/>
      <c r="N431" s="10"/>
      <c r="O431" s="8"/>
      <c r="P431" s="10"/>
    </row>
    <row r="432" spans="1:16" x14ac:dyDescent="0.45">
      <c r="A432" s="9"/>
      <c r="B432" t="b">
        <v>0</v>
      </c>
      <c r="D432" s="10"/>
      <c r="G432" s="10"/>
      <c r="H432" s="10"/>
      <c r="I432" s="9"/>
      <c r="J432" s="10"/>
      <c r="L432" s="10"/>
      <c r="M432" s="10"/>
      <c r="N432" s="10"/>
      <c r="O432" s="8"/>
      <c r="P432" s="10"/>
    </row>
    <row r="433" spans="1:16" x14ac:dyDescent="0.45">
      <c r="A433" s="9"/>
      <c r="B433" t="b">
        <v>0</v>
      </c>
      <c r="D433" s="10"/>
      <c r="G433" s="10"/>
      <c r="H433" s="10"/>
      <c r="I433" s="9"/>
      <c r="J433" s="10"/>
      <c r="L433" s="10"/>
      <c r="M433" s="10"/>
      <c r="N433" s="10"/>
      <c r="O433" s="8"/>
      <c r="P433" s="10"/>
    </row>
    <row r="434" spans="1:16" x14ac:dyDescent="0.45">
      <c r="A434" s="9"/>
      <c r="B434" t="b">
        <v>0</v>
      </c>
      <c r="D434" s="10"/>
      <c r="G434" s="10"/>
      <c r="H434" s="10"/>
      <c r="I434" s="9"/>
      <c r="J434" s="10"/>
      <c r="L434" s="10"/>
      <c r="M434" s="10"/>
      <c r="N434" s="10"/>
      <c r="O434" s="8"/>
      <c r="P434" s="10"/>
    </row>
    <row r="435" spans="1:16" x14ac:dyDescent="0.45">
      <c r="A435" s="9"/>
      <c r="B435" t="b">
        <v>0</v>
      </c>
      <c r="D435" s="10"/>
      <c r="G435" s="10"/>
      <c r="H435" s="10"/>
      <c r="I435" s="9"/>
      <c r="J435" s="10"/>
      <c r="L435" s="10"/>
      <c r="M435" s="10"/>
      <c r="N435" s="10"/>
      <c r="O435" s="8"/>
      <c r="P435" s="10"/>
    </row>
    <row r="436" spans="1:16" x14ac:dyDescent="0.45">
      <c r="A436" s="9"/>
      <c r="B436" t="b">
        <v>0</v>
      </c>
      <c r="D436" s="10"/>
      <c r="G436" s="10"/>
      <c r="H436" s="10"/>
      <c r="I436" s="9"/>
      <c r="J436" s="10"/>
      <c r="L436" s="10"/>
      <c r="M436" s="10"/>
      <c r="N436" s="10"/>
      <c r="O436" s="8"/>
      <c r="P436" s="10"/>
    </row>
    <row r="437" spans="1:16" x14ac:dyDescent="0.45">
      <c r="A437" s="9"/>
      <c r="B437" t="b">
        <v>0</v>
      </c>
      <c r="D437" s="10"/>
      <c r="G437" s="10"/>
      <c r="H437" s="10"/>
      <c r="I437" s="9"/>
      <c r="J437" s="10"/>
      <c r="L437" s="10"/>
      <c r="M437" s="10"/>
      <c r="N437" s="10"/>
      <c r="O437" s="8"/>
      <c r="P437" s="10"/>
    </row>
    <row r="438" spans="1:16" x14ac:dyDescent="0.45">
      <c r="A438" s="9"/>
      <c r="B438" t="b">
        <v>0</v>
      </c>
      <c r="D438" s="10"/>
      <c r="G438" s="10"/>
      <c r="H438" s="10"/>
      <c r="I438" s="9"/>
      <c r="J438" s="10"/>
      <c r="L438" s="10"/>
      <c r="M438" s="10"/>
      <c r="N438" s="10"/>
      <c r="O438" s="8"/>
      <c r="P438" s="10"/>
    </row>
    <row r="439" spans="1:16" x14ac:dyDescent="0.45">
      <c r="A439" s="9"/>
      <c r="B439" t="b">
        <v>0</v>
      </c>
      <c r="D439" s="10"/>
      <c r="G439" s="10"/>
      <c r="H439" s="10"/>
      <c r="I439" s="9"/>
      <c r="J439" s="10"/>
      <c r="L439" s="10"/>
      <c r="M439" s="10"/>
      <c r="N439" s="10"/>
      <c r="O439" s="8"/>
      <c r="P439" s="10"/>
    </row>
    <row r="440" spans="1:16" x14ac:dyDescent="0.45">
      <c r="A440" s="9"/>
      <c r="B440" t="b">
        <v>0</v>
      </c>
      <c r="D440" s="10"/>
      <c r="G440" s="10"/>
      <c r="H440" s="10"/>
      <c r="I440" s="9"/>
      <c r="J440" s="10"/>
      <c r="L440" s="10"/>
      <c r="M440" s="10"/>
      <c r="N440" s="10"/>
      <c r="O440" s="8"/>
      <c r="P440" s="10"/>
    </row>
    <row r="441" spans="1:16" x14ac:dyDescent="0.45">
      <c r="A441" s="9"/>
      <c r="B441" t="b">
        <v>0</v>
      </c>
      <c r="D441" s="10"/>
      <c r="G441" s="10"/>
      <c r="H441" s="10"/>
      <c r="I441" s="9"/>
      <c r="J441" s="10"/>
      <c r="L441" s="10"/>
      <c r="M441" s="10"/>
      <c r="N441" s="10"/>
      <c r="O441" s="8"/>
      <c r="P441" s="10"/>
    </row>
    <row r="442" spans="1:16" x14ac:dyDescent="0.45">
      <c r="A442" s="9"/>
      <c r="B442" t="b">
        <v>0</v>
      </c>
      <c r="D442" s="10"/>
      <c r="G442" s="10"/>
      <c r="H442" s="10"/>
      <c r="I442" s="9"/>
      <c r="J442" s="10"/>
      <c r="L442" s="10"/>
      <c r="M442" s="10"/>
      <c r="N442" s="10"/>
      <c r="O442" s="8"/>
      <c r="P442" s="10"/>
    </row>
    <row r="443" spans="1:16" x14ac:dyDescent="0.45">
      <c r="A443" s="9"/>
      <c r="B443" t="b">
        <v>0</v>
      </c>
      <c r="D443" s="10"/>
      <c r="G443" s="10"/>
      <c r="H443" s="10"/>
      <c r="I443" s="9"/>
      <c r="J443" s="10"/>
      <c r="L443" s="10"/>
      <c r="M443" s="10"/>
      <c r="N443" s="10"/>
      <c r="O443" s="8"/>
      <c r="P443" s="10"/>
    </row>
    <row r="444" spans="1:16" x14ac:dyDescent="0.45">
      <c r="A444" s="9"/>
      <c r="B444" t="b">
        <v>0</v>
      </c>
      <c r="D444" s="10"/>
      <c r="G444" s="10"/>
      <c r="H444" s="10"/>
      <c r="I444" s="9"/>
      <c r="J444" s="10"/>
      <c r="L444" s="10"/>
      <c r="M444" s="10"/>
      <c r="N444" s="10"/>
      <c r="O444" s="8"/>
      <c r="P444" s="10"/>
    </row>
    <row r="445" spans="1:16" x14ac:dyDescent="0.45">
      <c r="A445" s="9"/>
      <c r="B445" t="b">
        <v>0</v>
      </c>
      <c r="D445" s="10"/>
      <c r="G445" s="10"/>
      <c r="H445" s="10"/>
      <c r="I445" s="9"/>
      <c r="J445" s="10"/>
      <c r="L445" s="10"/>
      <c r="M445" s="10"/>
      <c r="N445" s="10"/>
      <c r="O445" s="8"/>
      <c r="P445" s="10"/>
    </row>
    <row r="446" spans="1:16" x14ac:dyDescent="0.45">
      <c r="A446" s="9"/>
      <c r="B446" t="b">
        <v>0</v>
      </c>
      <c r="D446" s="10"/>
      <c r="G446" s="10"/>
      <c r="H446" s="10"/>
      <c r="I446" s="9"/>
      <c r="J446" s="10"/>
      <c r="L446" s="10"/>
      <c r="M446" s="10"/>
      <c r="N446" s="10"/>
      <c r="O446" s="8"/>
      <c r="P446" s="10"/>
    </row>
    <row r="447" spans="1:16" x14ac:dyDescent="0.45">
      <c r="A447" s="9"/>
      <c r="B447" t="b">
        <v>0</v>
      </c>
      <c r="D447" s="10"/>
      <c r="G447" s="10"/>
      <c r="H447" s="10"/>
      <c r="I447" s="9"/>
      <c r="J447" s="10"/>
      <c r="L447" s="10"/>
      <c r="M447" s="10"/>
      <c r="N447" s="10"/>
      <c r="O447" s="8"/>
      <c r="P447" s="10"/>
    </row>
    <row r="448" spans="1:16" x14ac:dyDescent="0.45">
      <c r="A448" s="9"/>
      <c r="B448" t="b">
        <v>0</v>
      </c>
      <c r="D448" s="10"/>
      <c r="G448" s="10"/>
      <c r="H448" s="10"/>
      <c r="I448" s="9"/>
      <c r="J448" s="10"/>
      <c r="L448" s="10"/>
      <c r="M448" s="10"/>
      <c r="N448" s="10"/>
      <c r="O448" s="8"/>
      <c r="P448" s="10"/>
    </row>
    <row r="449" spans="1:16" x14ac:dyDescent="0.45">
      <c r="A449" s="9"/>
      <c r="B449" t="b">
        <v>0</v>
      </c>
      <c r="D449" s="10"/>
      <c r="G449" s="10"/>
      <c r="H449" s="10"/>
      <c r="I449" s="9"/>
      <c r="J449" s="10"/>
      <c r="L449" s="10"/>
      <c r="M449" s="10"/>
      <c r="N449" s="10"/>
      <c r="O449" s="8"/>
      <c r="P449" s="10"/>
    </row>
    <row r="450" spans="1:16" x14ac:dyDescent="0.45">
      <c r="A450" s="9"/>
      <c r="B450" t="b">
        <v>0</v>
      </c>
      <c r="D450" s="10"/>
      <c r="G450" s="10"/>
      <c r="H450" s="10"/>
      <c r="I450" s="9"/>
      <c r="J450" s="10"/>
      <c r="L450" s="10"/>
      <c r="M450" s="10"/>
      <c r="N450" s="10"/>
      <c r="O450" s="8"/>
      <c r="P450" s="10"/>
    </row>
    <row r="451" spans="1:16" x14ac:dyDescent="0.45">
      <c r="A451" s="9"/>
      <c r="B451" t="b">
        <v>0</v>
      </c>
      <c r="D451" s="10"/>
      <c r="G451" s="10"/>
      <c r="H451" s="10"/>
      <c r="I451" s="9"/>
      <c r="J451" s="10"/>
      <c r="L451" s="10"/>
      <c r="M451" s="10"/>
      <c r="N451" s="10"/>
      <c r="O451" s="8"/>
      <c r="P451" s="10"/>
    </row>
    <row r="452" spans="1:16" x14ac:dyDescent="0.45">
      <c r="A452" s="9"/>
      <c r="B452" t="b">
        <v>0</v>
      </c>
      <c r="D452" s="10"/>
      <c r="G452" s="10"/>
      <c r="H452" s="10"/>
      <c r="I452" s="9"/>
      <c r="J452" s="10"/>
      <c r="L452" s="10"/>
      <c r="M452" s="10"/>
      <c r="N452" s="10"/>
      <c r="O452" s="8"/>
      <c r="P452" s="10"/>
    </row>
    <row r="453" spans="1:16" x14ac:dyDescent="0.45">
      <c r="A453" s="9"/>
      <c r="B453" t="b">
        <v>0</v>
      </c>
      <c r="D453" s="10"/>
      <c r="G453" s="10"/>
      <c r="H453" s="10"/>
      <c r="I453" s="9"/>
      <c r="J453" s="10"/>
      <c r="L453" s="10"/>
      <c r="M453" s="10"/>
      <c r="N453" s="10"/>
      <c r="O453" s="8"/>
      <c r="P453" s="10"/>
    </row>
    <row r="454" spans="1:16" x14ac:dyDescent="0.45">
      <c r="A454" s="9"/>
      <c r="B454" t="b">
        <v>0</v>
      </c>
      <c r="D454" s="10"/>
      <c r="G454" s="10"/>
      <c r="H454" s="10"/>
      <c r="I454" s="9"/>
      <c r="J454" s="10"/>
      <c r="L454" s="10"/>
      <c r="M454" s="10"/>
      <c r="N454" s="10"/>
      <c r="O454" s="8"/>
      <c r="P454" s="10"/>
    </row>
    <row r="455" spans="1:16" x14ac:dyDescent="0.45">
      <c r="A455" s="9"/>
      <c r="B455" t="b">
        <v>0</v>
      </c>
      <c r="D455" s="10"/>
      <c r="G455" s="10"/>
      <c r="H455" s="10"/>
      <c r="I455" s="9"/>
      <c r="J455" s="10"/>
      <c r="L455" s="10"/>
      <c r="M455" s="10"/>
      <c r="N455" s="10"/>
      <c r="O455" s="8"/>
      <c r="P455" s="10"/>
    </row>
    <row r="456" spans="1:16" x14ac:dyDescent="0.45">
      <c r="A456" s="9"/>
      <c r="B456" t="b">
        <v>0</v>
      </c>
      <c r="D456" s="10"/>
      <c r="G456" s="10"/>
      <c r="H456" s="10"/>
      <c r="I456" s="9"/>
      <c r="J456" s="10"/>
      <c r="L456" s="10"/>
      <c r="M456" s="10"/>
      <c r="N456" s="10"/>
      <c r="O456" s="8"/>
      <c r="P456" s="10"/>
    </row>
    <row r="457" spans="1:16" x14ac:dyDescent="0.45">
      <c r="A457" s="9"/>
      <c r="B457" t="b">
        <v>0</v>
      </c>
      <c r="D457" s="10"/>
      <c r="G457" s="10"/>
      <c r="H457" s="10"/>
      <c r="I457" s="9"/>
      <c r="J457" s="10"/>
      <c r="L457" s="10"/>
      <c r="M457" s="10"/>
      <c r="N457" s="10"/>
      <c r="O457" s="8"/>
      <c r="P457" s="10"/>
    </row>
    <row r="458" spans="1:16" x14ac:dyDescent="0.45">
      <c r="A458" s="9"/>
      <c r="B458" t="b">
        <v>0</v>
      </c>
      <c r="D458" s="10"/>
      <c r="G458" s="10"/>
      <c r="H458" s="10"/>
      <c r="I458" s="9"/>
      <c r="J458" s="10"/>
      <c r="L458" s="10"/>
      <c r="M458" s="10"/>
      <c r="N458" s="10"/>
      <c r="O458" s="8"/>
      <c r="P458" s="10"/>
    </row>
    <row r="459" spans="1:16" x14ac:dyDescent="0.45">
      <c r="A459" s="9"/>
      <c r="B459" t="b">
        <v>0</v>
      </c>
      <c r="D459" s="10"/>
      <c r="G459" s="10"/>
      <c r="H459" s="10"/>
      <c r="I459" s="9"/>
      <c r="J459" s="10"/>
      <c r="L459" s="10"/>
      <c r="M459" s="10"/>
      <c r="N459" s="10"/>
      <c r="O459" s="8"/>
      <c r="P459" s="10"/>
    </row>
    <row r="460" spans="1:16" x14ac:dyDescent="0.45">
      <c r="A460" s="9"/>
      <c r="B460" t="b">
        <v>0</v>
      </c>
      <c r="D460" s="10"/>
      <c r="G460" s="10"/>
      <c r="H460" s="10"/>
      <c r="I460" s="9"/>
      <c r="J460" s="10"/>
      <c r="L460" s="10"/>
      <c r="M460" s="10"/>
      <c r="N460" s="10"/>
      <c r="O460" s="8"/>
      <c r="P460" s="10"/>
    </row>
    <row r="461" spans="1:16" x14ac:dyDescent="0.45">
      <c r="A461" s="9"/>
      <c r="B461" t="b">
        <v>0</v>
      </c>
      <c r="D461" s="10"/>
      <c r="G461" s="10"/>
      <c r="H461" s="10"/>
      <c r="I461" s="9"/>
      <c r="J461" s="10"/>
      <c r="L461" s="10"/>
      <c r="M461" s="10"/>
      <c r="N461" s="10"/>
      <c r="O461" s="8"/>
      <c r="P461" s="10"/>
    </row>
    <row r="462" spans="1:16" x14ac:dyDescent="0.45">
      <c r="A462" s="9"/>
      <c r="B462" t="b">
        <v>0</v>
      </c>
      <c r="D462" s="10"/>
      <c r="G462" s="10"/>
      <c r="H462" s="10"/>
      <c r="I462" s="9"/>
      <c r="J462" s="10"/>
      <c r="L462" s="10"/>
      <c r="M462" s="10"/>
      <c r="N462" s="10"/>
      <c r="O462" s="8"/>
      <c r="P462" s="10"/>
    </row>
    <row r="463" spans="1:16" x14ac:dyDescent="0.45">
      <c r="A463" s="9"/>
      <c r="B463" t="b">
        <v>0</v>
      </c>
      <c r="D463" s="10"/>
      <c r="G463" s="10"/>
      <c r="H463" s="10"/>
      <c r="I463" s="9"/>
      <c r="J463" s="10"/>
      <c r="L463" s="10"/>
      <c r="M463" s="10"/>
      <c r="N463" s="10"/>
      <c r="O463" s="8"/>
      <c r="P463" s="10"/>
    </row>
    <row r="464" spans="1:16" x14ac:dyDescent="0.45">
      <c r="A464" s="9"/>
      <c r="B464" t="b">
        <v>0</v>
      </c>
      <c r="D464" s="10"/>
      <c r="G464" s="10"/>
      <c r="H464" s="10"/>
      <c r="I464" s="9"/>
      <c r="J464" s="10"/>
      <c r="L464" s="10"/>
      <c r="M464" s="10"/>
      <c r="N464" s="10"/>
      <c r="O464" s="8"/>
      <c r="P464" s="10"/>
    </row>
    <row r="465" spans="1:16" x14ac:dyDescent="0.45">
      <c r="A465" s="9"/>
      <c r="B465" t="b">
        <v>0</v>
      </c>
      <c r="D465" s="10"/>
      <c r="G465" s="10"/>
      <c r="H465" s="10"/>
      <c r="I465" s="9"/>
      <c r="J465" s="10"/>
      <c r="L465" s="10"/>
      <c r="M465" s="10"/>
      <c r="N465" s="10"/>
      <c r="O465" s="8"/>
      <c r="P465" s="10"/>
    </row>
    <row r="466" spans="1:16" x14ac:dyDescent="0.45">
      <c r="A466" s="9"/>
      <c r="B466" t="b">
        <v>0</v>
      </c>
      <c r="D466" s="10"/>
      <c r="G466" s="10"/>
      <c r="H466" s="10"/>
      <c r="I466" s="9"/>
      <c r="J466" s="10"/>
      <c r="L466" s="10"/>
      <c r="M466" s="10"/>
      <c r="N466" s="10"/>
      <c r="O466" s="8"/>
      <c r="P466" s="10"/>
    </row>
    <row r="467" spans="1:16" x14ac:dyDescent="0.45">
      <c r="A467" s="9"/>
      <c r="B467" t="b">
        <v>0</v>
      </c>
      <c r="D467" s="10"/>
      <c r="G467" s="10"/>
      <c r="H467" s="10"/>
      <c r="I467" s="9"/>
      <c r="J467" s="10"/>
      <c r="L467" s="10"/>
      <c r="M467" s="10"/>
      <c r="N467" s="10"/>
      <c r="O467" s="8"/>
      <c r="P467" s="10"/>
    </row>
    <row r="468" spans="1:16" x14ac:dyDescent="0.45">
      <c r="A468" s="9"/>
      <c r="B468" t="b">
        <v>0</v>
      </c>
      <c r="D468" s="10"/>
      <c r="G468" s="10"/>
      <c r="H468" s="10"/>
      <c r="I468" s="9"/>
      <c r="J468" s="10"/>
      <c r="L468" s="10"/>
      <c r="M468" s="10"/>
      <c r="N468" s="10"/>
      <c r="O468" s="8"/>
      <c r="P468" s="10"/>
    </row>
    <row r="469" spans="1:16" x14ac:dyDescent="0.45">
      <c r="A469" s="9"/>
      <c r="B469" t="b">
        <v>0</v>
      </c>
      <c r="D469" s="10"/>
      <c r="G469" s="10"/>
      <c r="H469" s="10"/>
      <c r="I469" s="9"/>
      <c r="J469" s="10"/>
      <c r="L469" s="10"/>
      <c r="M469" s="10"/>
      <c r="N469" s="10"/>
      <c r="O469" s="8"/>
      <c r="P469" s="10"/>
    </row>
    <row r="470" spans="1:16" x14ac:dyDescent="0.45">
      <c r="A470" s="9"/>
      <c r="B470" t="b">
        <v>0</v>
      </c>
      <c r="D470" s="10"/>
      <c r="G470" s="10"/>
      <c r="H470" s="10"/>
      <c r="I470" s="9"/>
      <c r="J470" s="10"/>
      <c r="L470" s="10"/>
      <c r="M470" s="10"/>
      <c r="N470" s="10"/>
      <c r="O470" s="8"/>
      <c r="P470" s="10"/>
    </row>
    <row r="471" spans="1:16" x14ac:dyDescent="0.45">
      <c r="A471" s="9"/>
      <c r="B471" t="b">
        <v>0</v>
      </c>
      <c r="D471" s="10"/>
      <c r="G471" s="10"/>
      <c r="H471" s="10"/>
      <c r="I471" s="9"/>
      <c r="J471" s="10"/>
      <c r="L471" s="10"/>
      <c r="M471" s="10"/>
      <c r="N471" s="10"/>
      <c r="O471" s="8"/>
      <c r="P471" s="10"/>
    </row>
    <row r="472" spans="1:16" x14ac:dyDescent="0.45">
      <c r="A472" s="9"/>
      <c r="B472" t="b">
        <v>0</v>
      </c>
      <c r="D472" s="10"/>
      <c r="G472" s="10"/>
      <c r="H472" s="10"/>
      <c r="I472" s="9"/>
      <c r="J472" s="10"/>
      <c r="L472" s="10"/>
      <c r="M472" s="10"/>
      <c r="N472" s="10"/>
      <c r="O472" s="8"/>
      <c r="P472" s="10"/>
    </row>
    <row r="473" spans="1:16" x14ac:dyDescent="0.45">
      <c r="A473" s="9"/>
      <c r="B473" t="b">
        <v>0</v>
      </c>
      <c r="D473" s="10"/>
      <c r="G473" s="10"/>
      <c r="H473" s="10"/>
      <c r="I473" s="9"/>
      <c r="J473" s="10"/>
      <c r="L473" s="10"/>
      <c r="M473" s="10"/>
      <c r="N473" s="10"/>
      <c r="O473" s="8"/>
      <c r="P473" s="10"/>
    </row>
    <row r="474" spans="1:16" x14ac:dyDescent="0.45">
      <c r="A474" s="9"/>
      <c r="B474" t="b">
        <v>0</v>
      </c>
      <c r="D474" s="10"/>
      <c r="G474" s="10"/>
      <c r="H474" s="10"/>
      <c r="I474" s="9"/>
      <c r="J474" s="10"/>
      <c r="L474" s="10"/>
      <c r="M474" s="10"/>
      <c r="N474" s="10"/>
      <c r="O474" s="8"/>
      <c r="P474" s="10"/>
    </row>
    <row r="475" spans="1:16" x14ac:dyDescent="0.45">
      <c r="A475" s="9"/>
      <c r="B475" t="b">
        <v>0</v>
      </c>
      <c r="D475" s="10"/>
      <c r="G475" s="10"/>
      <c r="H475" s="10"/>
      <c r="I475" s="9"/>
      <c r="J475" s="10"/>
      <c r="L475" s="10"/>
      <c r="M475" s="10"/>
      <c r="N475" s="10"/>
      <c r="O475" s="8"/>
      <c r="P475" s="10"/>
    </row>
    <row r="476" spans="1:16" x14ac:dyDescent="0.45">
      <c r="A476" s="9"/>
      <c r="B476" t="b">
        <v>0</v>
      </c>
      <c r="D476" s="10"/>
      <c r="G476" s="10"/>
      <c r="H476" s="10"/>
      <c r="I476" s="9"/>
      <c r="J476" s="10"/>
      <c r="L476" s="10"/>
      <c r="M476" s="10"/>
      <c r="N476" s="10"/>
      <c r="O476" s="8"/>
      <c r="P476" s="10"/>
    </row>
    <row r="477" spans="1:16" x14ac:dyDescent="0.45">
      <c r="A477" s="9"/>
      <c r="B477" t="b">
        <v>0</v>
      </c>
      <c r="D477" s="10"/>
      <c r="G477" s="10"/>
      <c r="H477" s="10"/>
      <c r="I477" s="9"/>
      <c r="J477" s="10"/>
      <c r="L477" s="10"/>
      <c r="M477" s="10"/>
      <c r="N477" s="10"/>
      <c r="O477" s="8"/>
      <c r="P477" s="10"/>
    </row>
    <row r="478" spans="1:16" x14ac:dyDescent="0.45">
      <c r="A478" s="9"/>
      <c r="B478" t="b">
        <v>0</v>
      </c>
      <c r="D478" s="10"/>
      <c r="G478" s="10"/>
      <c r="H478" s="10"/>
      <c r="I478" s="9"/>
      <c r="J478" s="10"/>
      <c r="L478" s="10"/>
      <c r="M478" s="10"/>
      <c r="N478" s="10"/>
      <c r="O478" s="8"/>
      <c r="P478" s="10"/>
    </row>
    <row r="479" spans="1:16" x14ac:dyDescent="0.45">
      <c r="A479" s="9"/>
      <c r="B479" t="b">
        <v>0</v>
      </c>
      <c r="D479" s="10"/>
      <c r="G479" s="10"/>
      <c r="H479" s="10"/>
      <c r="I479" s="9"/>
      <c r="J479" s="10"/>
      <c r="L479" s="10"/>
      <c r="M479" s="10"/>
      <c r="N479" s="10"/>
      <c r="O479" s="8"/>
      <c r="P479" s="10"/>
    </row>
    <row r="480" spans="1:16" x14ac:dyDescent="0.45">
      <c r="A480" s="9"/>
      <c r="B480" t="b">
        <v>0</v>
      </c>
      <c r="D480" s="10"/>
      <c r="G480" s="10"/>
      <c r="H480" s="10"/>
      <c r="I480" s="9"/>
      <c r="J480" s="10"/>
      <c r="L480" s="10"/>
      <c r="M480" s="10"/>
      <c r="N480" s="10"/>
      <c r="O480" s="8"/>
      <c r="P480" s="10"/>
    </row>
    <row r="481" spans="1:16" x14ac:dyDescent="0.45">
      <c r="A481" s="9"/>
      <c r="B481" t="b">
        <v>0</v>
      </c>
      <c r="D481" s="10"/>
      <c r="G481" s="10"/>
      <c r="H481" s="10"/>
      <c r="I481" s="9"/>
      <c r="J481" s="10"/>
      <c r="L481" s="10"/>
      <c r="M481" s="10"/>
      <c r="N481" s="10"/>
      <c r="O481" s="8"/>
      <c r="P481" s="10"/>
    </row>
    <row r="482" spans="1:16" x14ac:dyDescent="0.45">
      <c r="A482" s="9"/>
      <c r="B482" t="b">
        <v>0</v>
      </c>
      <c r="D482" s="10"/>
      <c r="G482" s="10"/>
      <c r="H482" s="10"/>
      <c r="I482" s="9"/>
      <c r="J482" s="10"/>
      <c r="L482" s="10"/>
      <c r="M482" s="10"/>
      <c r="N482" s="10"/>
      <c r="O482" s="8"/>
      <c r="P482" s="10"/>
    </row>
    <row r="483" spans="1:16" x14ac:dyDescent="0.45">
      <c r="A483" s="9"/>
      <c r="B483" t="b">
        <v>0</v>
      </c>
      <c r="D483" s="10"/>
      <c r="G483" s="10"/>
      <c r="H483" s="10"/>
      <c r="I483" s="9"/>
      <c r="J483" s="10"/>
      <c r="L483" s="10"/>
      <c r="M483" s="10"/>
      <c r="N483" s="10"/>
      <c r="O483" s="8"/>
      <c r="P483" s="10"/>
    </row>
    <row r="484" spans="1:16" x14ac:dyDescent="0.45">
      <c r="A484" s="9"/>
      <c r="B484" t="b">
        <v>0</v>
      </c>
      <c r="D484" s="10"/>
      <c r="G484" s="10"/>
      <c r="H484" s="10"/>
      <c r="I484" s="9"/>
      <c r="J484" s="10"/>
      <c r="L484" s="10"/>
      <c r="M484" s="10"/>
      <c r="N484" s="10"/>
      <c r="O484" s="8"/>
      <c r="P484" s="10"/>
    </row>
    <row r="485" spans="1:16" x14ac:dyDescent="0.45">
      <c r="A485" s="9"/>
      <c r="B485" t="b">
        <v>0</v>
      </c>
      <c r="D485" s="10"/>
      <c r="G485" s="10"/>
      <c r="H485" s="10"/>
      <c r="I485" s="9"/>
      <c r="J485" s="10"/>
      <c r="L485" s="10"/>
      <c r="M485" s="10"/>
      <c r="N485" s="10"/>
      <c r="O485" s="8"/>
      <c r="P485" s="10"/>
    </row>
    <row r="486" spans="1:16" x14ac:dyDescent="0.45">
      <c r="A486" s="9"/>
      <c r="B486" t="b">
        <v>0</v>
      </c>
      <c r="D486" s="10"/>
      <c r="G486" s="10"/>
      <c r="H486" s="10"/>
      <c r="I486" s="9"/>
      <c r="J486" s="10"/>
      <c r="L486" s="10"/>
      <c r="M486" s="10"/>
      <c r="N486" s="10"/>
      <c r="O486" s="8"/>
      <c r="P486" s="10"/>
    </row>
    <row r="487" spans="1:16" x14ac:dyDescent="0.45">
      <c r="A487" s="9"/>
      <c r="B487" t="b">
        <v>0</v>
      </c>
      <c r="D487" s="10"/>
      <c r="G487" s="10"/>
      <c r="H487" s="10"/>
      <c r="I487" s="9"/>
      <c r="J487" s="10"/>
      <c r="L487" s="10"/>
      <c r="M487" s="10"/>
      <c r="N487" s="10"/>
      <c r="O487" s="8"/>
      <c r="P487" s="10"/>
    </row>
    <row r="488" spans="1:16" x14ac:dyDescent="0.45">
      <c r="A488" s="9"/>
      <c r="B488" t="b">
        <v>0</v>
      </c>
      <c r="D488" s="10"/>
      <c r="G488" s="10"/>
      <c r="H488" s="10"/>
      <c r="I488" s="9"/>
      <c r="J488" s="10"/>
      <c r="L488" s="10"/>
      <c r="M488" s="10"/>
      <c r="N488" s="10"/>
      <c r="O488" s="8"/>
      <c r="P488" s="10"/>
    </row>
    <row r="489" spans="1:16" x14ac:dyDescent="0.45">
      <c r="A489" s="9"/>
      <c r="B489" t="b">
        <v>0</v>
      </c>
      <c r="D489" s="10"/>
      <c r="G489" s="10"/>
      <c r="H489" s="10"/>
      <c r="I489" s="9"/>
      <c r="J489" s="10"/>
      <c r="L489" s="10"/>
      <c r="M489" s="10"/>
      <c r="N489" s="10"/>
      <c r="O489" s="8"/>
      <c r="P489" s="10"/>
    </row>
    <row r="490" spans="1:16" x14ac:dyDescent="0.45">
      <c r="A490" s="9"/>
      <c r="B490" t="b">
        <v>0</v>
      </c>
      <c r="D490" s="10"/>
      <c r="G490" s="10"/>
      <c r="H490" s="10"/>
      <c r="I490" s="9"/>
      <c r="J490" s="10"/>
      <c r="L490" s="10"/>
      <c r="M490" s="10"/>
      <c r="N490" s="10"/>
      <c r="O490" s="8"/>
      <c r="P490" s="10"/>
    </row>
    <row r="491" spans="1:16" x14ac:dyDescent="0.45">
      <c r="A491" s="9"/>
      <c r="B491" t="b">
        <v>0</v>
      </c>
      <c r="D491" s="10"/>
      <c r="G491" s="10"/>
      <c r="H491" s="10"/>
      <c r="I491" s="9"/>
      <c r="J491" s="10"/>
      <c r="L491" s="10"/>
      <c r="M491" s="10"/>
      <c r="N491" s="10"/>
      <c r="O491" s="8"/>
      <c r="P491" s="10"/>
    </row>
    <row r="492" spans="1:16" x14ac:dyDescent="0.45">
      <c r="A492" s="9"/>
      <c r="B492" t="b">
        <v>0</v>
      </c>
      <c r="D492" s="10"/>
      <c r="G492" s="10"/>
      <c r="H492" s="10"/>
      <c r="I492" s="9"/>
      <c r="J492" s="10"/>
      <c r="L492" s="10"/>
      <c r="M492" s="10"/>
      <c r="N492" s="10"/>
      <c r="O492" s="8"/>
      <c r="P492" s="10"/>
    </row>
    <row r="493" spans="1:16" x14ac:dyDescent="0.45">
      <c r="A493" s="9"/>
      <c r="B493" t="b">
        <v>0</v>
      </c>
      <c r="D493" s="10"/>
      <c r="G493" s="10"/>
      <c r="H493" s="10"/>
      <c r="I493" s="9"/>
      <c r="J493" s="10"/>
      <c r="L493" s="10"/>
      <c r="M493" s="10"/>
      <c r="N493" s="10"/>
      <c r="O493" s="8"/>
      <c r="P493" s="10"/>
    </row>
    <row r="494" spans="1:16" x14ac:dyDescent="0.45">
      <c r="A494" s="9"/>
      <c r="B494" t="b">
        <v>0</v>
      </c>
      <c r="D494" s="10"/>
      <c r="G494" s="10"/>
      <c r="H494" s="10"/>
      <c r="I494" s="9"/>
      <c r="J494" s="10"/>
      <c r="L494" s="10"/>
      <c r="M494" s="10"/>
      <c r="N494" s="10"/>
      <c r="O494" s="8"/>
      <c r="P494" s="10"/>
    </row>
    <row r="495" spans="1:16" x14ac:dyDescent="0.45">
      <c r="A495" s="9"/>
      <c r="B495" t="b">
        <v>0</v>
      </c>
      <c r="D495" s="10"/>
      <c r="G495" s="10"/>
      <c r="H495" s="10"/>
      <c r="I495" s="9"/>
      <c r="J495" s="10"/>
      <c r="L495" s="10"/>
      <c r="M495" s="10"/>
      <c r="N495" s="10"/>
      <c r="O495" s="8"/>
      <c r="P495" s="10"/>
    </row>
    <row r="496" spans="1:16" x14ac:dyDescent="0.45">
      <c r="A496" s="9"/>
      <c r="B496" t="b">
        <v>0</v>
      </c>
      <c r="D496" s="10"/>
      <c r="G496" s="10"/>
      <c r="H496" s="10"/>
      <c r="I496" s="9"/>
      <c r="J496" s="10"/>
      <c r="L496" s="10"/>
      <c r="M496" s="10"/>
      <c r="N496" s="10"/>
      <c r="O496" s="8"/>
      <c r="P496" s="10"/>
    </row>
    <row r="497" spans="1:16" x14ac:dyDescent="0.45">
      <c r="A497" s="9"/>
      <c r="B497" t="b">
        <v>0</v>
      </c>
      <c r="D497" s="10"/>
      <c r="G497" s="10"/>
      <c r="H497" s="10"/>
      <c r="I497" s="9"/>
      <c r="J497" s="10"/>
      <c r="L497" s="10"/>
      <c r="M497" s="10"/>
      <c r="N497" s="10"/>
      <c r="O497" s="8"/>
      <c r="P497" s="10"/>
    </row>
    <row r="498" spans="1:16" x14ac:dyDescent="0.45">
      <c r="A498" s="9"/>
      <c r="B498" t="b">
        <v>0</v>
      </c>
      <c r="D498" s="10"/>
      <c r="G498" s="10"/>
      <c r="H498" s="10"/>
      <c r="I498" s="9"/>
      <c r="J498" s="10"/>
      <c r="L498" s="10"/>
      <c r="M498" s="10"/>
      <c r="N498" s="10"/>
      <c r="O498" s="8"/>
      <c r="P498" s="10"/>
    </row>
    <row r="499" spans="1:16" x14ac:dyDescent="0.45">
      <c r="A499" s="9"/>
      <c r="B499" t="b">
        <v>0</v>
      </c>
      <c r="D499" s="10"/>
      <c r="G499" s="10"/>
      <c r="H499" s="10"/>
      <c r="I499" s="9"/>
      <c r="J499" s="10"/>
      <c r="L499" s="10"/>
      <c r="M499" s="10"/>
      <c r="N499" s="10"/>
      <c r="O499" s="8"/>
      <c r="P499" s="10"/>
    </row>
    <row r="500" spans="1:16" x14ac:dyDescent="0.45">
      <c r="A500" s="9"/>
      <c r="B500" t="b">
        <v>0</v>
      </c>
      <c r="D500" s="10"/>
      <c r="G500" s="10"/>
      <c r="H500" s="10"/>
      <c r="I500" s="9"/>
      <c r="J500" s="10"/>
      <c r="L500" s="10"/>
      <c r="M500" s="10"/>
      <c r="N500" s="10"/>
      <c r="O500" s="8"/>
      <c r="P500" s="10"/>
    </row>
    <row r="501" spans="1:16" x14ac:dyDescent="0.45">
      <c r="A501" s="9"/>
      <c r="B501" t="b">
        <v>0</v>
      </c>
      <c r="D501" s="10"/>
      <c r="G501" s="10"/>
      <c r="H501" s="10"/>
      <c r="I501" s="9"/>
      <c r="J501" s="10"/>
      <c r="L501" s="10"/>
      <c r="M501" s="10"/>
      <c r="N501" s="10"/>
      <c r="O501" s="8"/>
      <c r="P501" s="10"/>
    </row>
    <row r="502" spans="1:16" x14ac:dyDescent="0.45">
      <c r="A502" s="9"/>
      <c r="B502" t="b">
        <v>0</v>
      </c>
      <c r="D502" s="10"/>
      <c r="G502" s="10"/>
      <c r="H502" s="10"/>
      <c r="I502" s="9"/>
      <c r="J502" s="10"/>
      <c r="L502" s="10"/>
      <c r="M502" s="10"/>
      <c r="N502" s="10"/>
      <c r="O502" s="8"/>
      <c r="P502" s="10"/>
    </row>
    <row r="503" spans="1:16" x14ac:dyDescent="0.45">
      <c r="A503" s="9"/>
      <c r="B503" t="b">
        <v>0</v>
      </c>
      <c r="D503" s="10"/>
      <c r="G503" s="10"/>
      <c r="H503" s="10"/>
      <c r="I503" s="9"/>
      <c r="J503" s="10"/>
      <c r="L503" s="10"/>
      <c r="M503" s="10"/>
      <c r="N503" s="10"/>
      <c r="O503" s="8"/>
      <c r="P503" s="10"/>
    </row>
    <row r="504" spans="1:16" x14ac:dyDescent="0.45">
      <c r="A504" s="9"/>
      <c r="B504" t="b">
        <v>0</v>
      </c>
      <c r="D504" s="10"/>
      <c r="G504" s="10"/>
      <c r="H504" s="10"/>
      <c r="I504" s="9"/>
      <c r="J504" s="10"/>
      <c r="L504" s="10"/>
      <c r="M504" s="10"/>
      <c r="N504" s="10"/>
      <c r="O504" s="8"/>
      <c r="P504" s="10"/>
    </row>
    <row r="505" spans="1:16" x14ac:dyDescent="0.45">
      <c r="A505" s="9"/>
      <c r="B505" t="b">
        <v>0</v>
      </c>
      <c r="D505" s="10"/>
      <c r="G505" s="10"/>
      <c r="H505" s="10"/>
      <c r="I505" s="9"/>
      <c r="J505" s="10"/>
      <c r="L505" s="10"/>
      <c r="M505" s="10"/>
      <c r="N505" s="10"/>
      <c r="O505" s="8"/>
      <c r="P505" s="10"/>
    </row>
    <row r="506" spans="1:16" x14ac:dyDescent="0.45">
      <c r="A506" s="9"/>
      <c r="B506" t="b">
        <v>0</v>
      </c>
      <c r="D506" s="10"/>
      <c r="G506" s="10"/>
      <c r="H506" s="10"/>
      <c r="I506" s="9"/>
      <c r="J506" s="10"/>
      <c r="L506" s="10"/>
      <c r="M506" s="10"/>
      <c r="N506" s="10"/>
      <c r="O506" s="8"/>
      <c r="P506" s="10"/>
    </row>
    <row r="507" spans="1:16" x14ac:dyDescent="0.45">
      <c r="A507" s="9"/>
      <c r="B507" t="b">
        <v>0</v>
      </c>
      <c r="D507" s="10"/>
      <c r="G507" s="10"/>
      <c r="H507" s="10"/>
      <c r="I507" s="9"/>
      <c r="J507" s="10"/>
      <c r="L507" s="10"/>
      <c r="M507" s="10"/>
      <c r="N507" s="10"/>
      <c r="O507" s="8"/>
      <c r="P507" s="10"/>
    </row>
    <row r="508" spans="1:16" x14ac:dyDescent="0.45">
      <c r="A508" s="9"/>
      <c r="B508" t="b">
        <v>0</v>
      </c>
      <c r="D508" s="10"/>
      <c r="G508" s="10"/>
      <c r="H508" s="10"/>
      <c r="I508" s="9"/>
      <c r="J508" s="10"/>
      <c r="L508" s="10"/>
      <c r="M508" s="10"/>
      <c r="N508" s="10"/>
      <c r="O508" s="8"/>
      <c r="P508" s="10"/>
    </row>
    <row r="509" spans="1:16" x14ac:dyDescent="0.45">
      <c r="A509" s="9"/>
      <c r="B509" t="b">
        <v>0</v>
      </c>
      <c r="D509" s="10"/>
      <c r="G509" s="10"/>
      <c r="H509" s="10"/>
      <c r="I509" s="9"/>
      <c r="J509" s="10"/>
      <c r="L509" s="10"/>
      <c r="M509" s="10"/>
      <c r="N509" s="10"/>
      <c r="O509" s="8"/>
      <c r="P509" s="10"/>
    </row>
    <row r="510" spans="1:16" x14ac:dyDescent="0.45">
      <c r="A510" s="9"/>
      <c r="B510" t="b">
        <v>0</v>
      </c>
      <c r="D510" s="10"/>
      <c r="G510" s="10"/>
      <c r="H510" s="10"/>
      <c r="I510" s="9"/>
      <c r="J510" s="10"/>
      <c r="L510" s="10"/>
      <c r="M510" s="10"/>
      <c r="N510" s="10"/>
      <c r="O510" s="8"/>
      <c r="P510" s="10"/>
    </row>
    <row r="511" spans="1:16" x14ac:dyDescent="0.45">
      <c r="A511" s="9"/>
      <c r="B511" t="b">
        <v>0</v>
      </c>
      <c r="D511" s="10"/>
      <c r="G511" s="10"/>
      <c r="H511" s="10"/>
      <c r="I511" s="9"/>
      <c r="J511" s="10"/>
      <c r="L511" s="10"/>
      <c r="M511" s="10"/>
      <c r="N511" s="10"/>
      <c r="O511" s="8"/>
      <c r="P511" s="10"/>
    </row>
    <row r="512" spans="1:16" x14ac:dyDescent="0.45">
      <c r="A512" s="9"/>
      <c r="B512" t="b">
        <v>0</v>
      </c>
      <c r="D512" s="10"/>
      <c r="G512" s="10"/>
      <c r="H512" s="10"/>
      <c r="I512" s="9"/>
      <c r="J512" s="10"/>
      <c r="L512" s="10"/>
      <c r="M512" s="10"/>
      <c r="N512" s="10"/>
      <c r="O512" s="8"/>
      <c r="P512" s="10"/>
    </row>
    <row r="513" spans="1:16" x14ac:dyDescent="0.45">
      <c r="A513" s="9"/>
      <c r="B513" t="b">
        <v>0</v>
      </c>
      <c r="D513" s="10"/>
      <c r="G513" s="10"/>
      <c r="H513" s="10"/>
      <c r="I513" s="9"/>
      <c r="J513" s="10"/>
      <c r="L513" s="10"/>
      <c r="M513" s="10"/>
      <c r="N513" s="10"/>
      <c r="O513" s="8"/>
      <c r="P513" s="10"/>
    </row>
    <row r="514" spans="1:16" x14ac:dyDescent="0.45">
      <c r="A514" s="9"/>
      <c r="B514" t="b">
        <v>0</v>
      </c>
      <c r="D514" s="10"/>
      <c r="G514" s="10"/>
      <c r="H514" s="10"/>
      <c r="I514" s="9"/>
      <c r="J514" s="10"/>
      <c r="L514" s="10"/>
      <c r="M514" s="10"/>
      <c r="N514" s="10"/>
      <c r="O514" s="8"/>
      <c r="P514" s="10"/>
    </row>
    <row r="515" spans="1:16" x14ac:dyDescent="0.45">
      <c r="A515" s="9"/>
      <c r="B515" t="b">
        <v>0</v>
      </c>
      <c r="D515" s="10"/>
      <c r="G515" s="10"/>
      <c r="H515" s="10"/>
      <c r="I515" s="9"/>
      <c r="J515" s="10"/>
      <c r="L515" s="10"/>
      <c r="M515" s="10"/>
      <c r="N515" s="10"/>
      <c r="O515" s="8"/>
      <c r="P515" s="10"/>
    </row>
    <row r="516" spans="1:16" x14ac:dyDescent="0.45">
      <c r="A516" s="9"/>
      <c r="B516" t="b">
        <v>0</v>
      </c>
      <c r="D516" s="10"/>
      <c r="G516" s="10"/>
      <c r="H516" s="10"/>
      <c r="I516" s="9"/>
      <c r="J516" s="10"/>
      <c r="L516" s="10"/>
      <c r="M516" s="10"/>
      <c r="N516" s="10"/>
      <c r="O516" s="8"/>
      <c r="P516" s="10"/>
    </row>
    <row r="517" spans="1:16" x14ac:dyDescent="0.45">
      <c r="A517" s="9"/>
      <c r="B517" t="b">
        <v>0</v>
      </c>
      <c r="D517" s="10"/>
      <c r="G517" s="10"/>
      <c r="H517" s="10"/>
      <c r="I517" s="9"/>
      <c r="J517" s="10"/>
      <c r="L517" s="10"/>
      <c r="M517" s="10"/>
      <c r="N517" s="10"/>
      <c r="O517" s="8"/>
      <c r="P517" s="10"/>
    </row>
    <row r="518" spans="1:16" x14ac:dyDescent="0.45">
      <c r="A518" s="9"/>
      <c r="B518" t="b">
        <v>0</v>
      </c>
      <c r="D518" s="10"/>
      <c r="G518" s="10"/>
      <c r="H518" s="10"/>
      <c r="I518" s="9"/>
      <c r="J518" s="10"/>
      <c r="L518" s="10"/>
      <c r="M518" s="10"/>
      <c r="N518" s="10"/>
      <c r="O518" s="8"/>
      <c r="P518" s="10"/>
    </row>
    <row r="519" spans="1:16" x14ac:dyDescent="0.45">
      <c r="A519" s="9"/>
      <c r="B519" t="b">
        <v>0</v>
      </c>
      <c r="D519" s="10"/>
      <c r="G519" s="10"/>
      <c r="H519" s="10"/>
      <c r="I519" s="9"/>
      <c r="J519" s="10"/>
      <c r="L519" s="10"/>
      <c r="M519" s="10"/>
      <c r="N519" s="10"/>
      <c r="O519" s="8"/>
      <c r="P519" s="10"/>
    </row>
    <row r="520" spans="1:16" x14ac:dyDescent="0.45">
      <c r="A520" s="9"/>
      <c r="B520" t="b">
        <v>0</v>
      </c>
      <c r="D520" s="10"/>
      <c r="G520" s="10"/>
      <c r="H520" s="10"/>
      <c r="I520" s="9"/>
      <c r="J520" s="10"/>
      <c r="L520" s="10"/>
      <c r="M520" s="10"/>
      <c r="N520" s="10"/>
      <c r="O520" s="8"/>
      <c r="P520" s="10"/>
    </row>
    <row r="521" spans="1:16" x14ac:dyDescent="0.45">
      <c r="A521" s="9"/>
      <c r="B521" t="b">
        <v>0</v>
      </c>
      <c r="D521" s="10"/>
      <c r="G521" s="10"/>
      <c r="H521" s="10"/>
      <c r="I521" s="9"/>
      <c r="J521" s="10"/>
      <c r="L521" s="10"/>
      <c r="M521" s="10"/>
      <c r="N521" s="10"/>
      <c r="O521" s="8"/>
      <c r="P521" s="10"/>
    </row>
    <row r="522" spans="1:16" x14ac:dyDescent="0.45">
      <c r="A522" s="9"/>
      <c r="B522" t="b">
        <v>0</v>
      </c>
      <c r="D522" s="10"/>
      <c r="G522" s="10"/>
      <c r="H522" s="10"/>
      <c r="I522" s="9"/>
      <c r="J522" s="10"/>
      <c r="L522" s="10"/>
      <c r="M522" s="10"/>
      <c r="N522" s="10"/>
      <c r="O522" s="8"/>
      <c r="P522" s="10"/>
    </row>
    <row r="523" spans="1:16" x14ac:dyDescent="0.45">
      <c r="A523" s="9"/>
      <c r="B523" t="b">
        <v>0</v>
      </c>
      <c r="D523" s="10"/>
      <c r="G523" s="10"/>
      <c r="H523" s="10"/>
      <c r="I523" s="9"/>
      <c r="J523" s="10"/>
      <c r="L523" s="10"/>
      <c r="M523" s="10"/>
      <c r="N523" s="10"/>
      <c r="O523" s="8"/>
      <c r="P523" s="10"/>
    </row>
    <row r="524" spans="1:16" x14ac:dyDescent="0.45">
      <c r="A524" s="9"/>
      <c r="B524" t="b">
        <v>0</v>
      </c>
      <c r="D524" s="10"/>
      <c r="G524" s="10"/>
      <c r="H524" s="10"/>
      <c r="I524" s="9"/>
      <c r="J524" s="10"/>
      <c r="L524" s="10"/>
      <c r="M524" s="10"/>
      <c r="N524" s="10"/>
      <c r="O524" s="8"/>
      <c r="P524" s="10"/>
    </row>
    <row r="525" spans="1:16" x14ac:dyDescent="0.45">
      <c r="A525" s="9"/>
      <c r="B525" t="b">
        <v>0</v>
      </c>
      <c r="D525" s="10"/>
      <c r="G525" s="10"/>
      <c r="H525" s="10"/>
      <c r="I525" s="9"/>
      <c r="J525" s="10"/>
      <c r="L525" s="10"/>
      <c r="M525" s="10"/>
      <c r="N525" s="10"/>
      <c r="O525" s="8"/>
      <c r="P525" s="10"/>
    </row>
    <row r="526" spans="1:16" x14ac:dyDescent="0.45">
      <c r="A526" s="9"/>
      <c r="B526" t="b">
        <v>0</v>
      </c>
      <c r="D526" s="10"/>
      <c r="G526" s="10"/>
      <c r="H526" s="10"/>
      <c r="I526" s="9"/>
      <c r="J526" s="10"/>
      <c r="L526" s="10"/>
      <c r="M526" s="10"/>
      <c r="N526" s="10"/>
      <c r="O526" s="8"/>
      <c r="P526" s="10"/>
    </row>
    <row r="527" spans="1:16" x14ac:dyDescent="0.45">
      <c r="A527" s="9"/>
      <c r="B527" t="b">
        <v>0</v>
      </c>
      <c r="D527" s="10"/>
      <c r="G527" s="10"/>
      <c r="H527" s="10"/>
      <c r="I527" s="9"/>
      <c r="J527" s="10"/>
      <c r="L527" s="10"/>
      <c r="M527" s="10"/>
      <c r="N527" s="10"/>
      <c r="O527" s="8"/>
      <c r="P527" s="10"/>
    </row>
    <row r="528" spans="1:16" x14ac:dyDescent="0.45">
      <c r="A528" s="9"/>
      <c r="B528" t="b">
        <v>0</v>
      </c>
      <c r="D528" s="10"/>
      <c r="G528" s="10"/>
      <c r="H528" s="10"/>
      <c r="I528" s="9"/>
      <c r="J528" s="10"/>
      <c r="L528" s="10"/>
      <c r="M528" s="10"/>
      <c r="N528" s="10"/>
      <c r="O528" s="8"/>
      <c r="P528" s="10"/>
    </row>
    <row r="529" spans="1:16" x14ac:dyDescent="0.45">
      <c r="A529" s="9"/>
      <c r="B529" t="b">
        <v>0</v>
      </c>
      <c r="D529" s="10"/>
      <c r="G529" s="10"/>
      <c r="H529" s="10"/>
      <c r="I529" s="9"/>
      <c r="J529" s="10"/>
      <c r="L529" s="10"/>
      <c r="M529" s="10"/>
      <c r="N529" s="10"/>
      <c r="O529" s="8"/>
      <c r="P529" s="10"/>
    </row>
    <row r="530" spans="1:16" x14ac:dyDescent="0.45">
      <c r="A530" s="9"/>
      <c r="B530" t="b">
        <v>0</v>
      </c>
      <c r="D530" s="10"/>
      <c r="G530" s="10"/>
      <c r="H530" s="10"/>
      <c r="I530" s="9"/>
      <c r="J530" s="10"/>
      <c r="L530" s="10"/>
      <c r="M530" s="10"/>
      <c r="N530" s="10"/>
      <c r="O530" s="8"/>
      <c r="P530" s="10"/>
    </row>
    <row r="531" spans="1:16" x14ac:dyDescent="0.45">
      <c r="A531" s="9"/>
      <c r="B531" t="b">
        <v>0</v>
      </c>
      <c r="D531" s="10"/>
      <c r="G531" s="10"/>
      <c r="H531" s="10"/>
      <c r="I531" s="9"/>
      <c r="J531" s="10"/>
      <c r="L531" s="10"/>
      <c r="M531" s="10"/>
      <c r="N531" s="10"/>
      <c r="O531" s="8"/>
      <c r="P531" s="10"/>
    </row>
    <row r="532" spans="1:16" x14ac:dyDescent="0.45">
      <c r="A532" s="9"/>
      <c r="B532" t="b">
        <v>0</v>
      </c>
      <c r="D532" s="10"/>
      <c r="G532" s="10"/>
      <c r="H532" s="10"/>
      <c r="I532" s="9"/>
      <c r="J532" s="10"/>
      <c r="L532" s="10"/>
      <c r="M532" s="10"/>
      <c r="N532" s="10"/>
      <c r="O532" s="8"/>
      <c r="P532" s="10"/>
    </row>
    <row r="533" spans="1:16" x14ac:dyDescent="0.45">
      <c r="A533" s="9"/>
      <c r="B533" t="b">
        <v>0</v>
      </c>
      <c r="D533" s="10"/>
      <c r="G533" s="10"/>
      <c r="H533" s="10"/>
      <c r="I533" s="9"/>
      <c r="J533" s="10"/>
      <c r="L533" s="10"/>
      <c r="M533" s="10"/>
      <c r="N533" s="10"/>
      <c r="O533" s="8"/>
      <c r="P533" s="10"/>
    </row>
    <row r="534" spans="1:16" x14ac:dyDescent="0.45">
      <c r="A534" s="9"/>
      <c r="B534" t="b">
        <v>0</v>
      </c>
      <c r="D534" s="10"/>
      <c r="G534" s="10"/>
      <c r="H534" s="10"/>
      <c r="I534" s="9"/>
      <c r="J534" s="10"/>
      <c r="L534" s="10"/>
      <c r="M534" s="10"/>
      <c r="N534" s="10"/>
      <c r="O534" s="8"/>
      <c r="P534" s="10"/>
    </row>
    <row r="535" spans="1:16" x14ac:dyDescent="0.45">
      <c r="A535" s="9"/>
      <c r="B535" t="b">
        <v>0</v>
      </c>
      <c r="D535" s="10"/>
      <c r="G535" s="10"/>
      <c r="H535" s="10"/>
      <c r="I535" s="9"/>
      <c r="J535" s="10"/>
      <c r="L535" s="10"/>
      <c r="M535" s="10"/>
      <c r="N535" s="10"/>
      <c r="O535" s="8"/>
      <c r="P535" s="10"/>
    </row>
    <row r="536" spans="1:16" x14ac:dyDescent="0.45">
      <c r="A536" s="9"/>
      <c r="B536" t="b">
        <v>0</v>
      </c>
      <c r="D536" s="10"/>
      <c r="G536" s="10"/>
      <c r="H536" s="10"/>
      <c r="I536" s="9"/>
      <c r="J536" s="10"/>
      <c r="L536" s="10"/>
      <c r="M536" s="10"/>
      <c r="N536" s="10"/>
      <c r="O536" s="8"/>
      <c r="P536" s="10"/>
    </row>
    <row r="537" spans="1:16" x14ac:dyDescent="0.45">
      <c r="A537" s="9"/>
      <c r="B537" t="b">
        <v>0</v>
      </c>
      <c r="D537" s="10"/>
      <c r="G537" s="10"/>
      <c r="H537" s="10"/>
      <c r="I537" s="9"/>
      <c r="J537" s="10"/>
      <c r="L537" s="10"/>
      <c r="M537" s="10"/>
      <c r="N537" s="10"/>
      <c r="O537" s="8"/>
      <c r="P537" s="10"/>
    </row>
    <row r="538" spans="1:16" x14ac:dyDescent="0.45">
      <c r="A538" s="9"/>
      <c r="B538" t="b">
        <v>0</v>
      </c>
      <c r="D538" s="10"/>
      <c r="G538" s="10"/>
      <c r="H538" s="10"/>
      <c r="I538" s="9"/>
      <c r="J538" s="10"/>
      <c r="L538" s="10"/>
      <c r="M538" s="10"/>
      <c r="N538" s="10"/>
      <c r="O538" s="8"/>
      <c r="P538" s="10"/>
    </row>
    <row r="539" spans="1:16" x14ac:dyDescent="0.45">
      <c r="A539" s="9"/>
      <c r="B539" t="b">
        <v>0</v>
      </c>
      <c r="D539" s="10"/>
      <c r="G539" s="10"/>
      <c r="H539" s="10"/>
      <c r="I539" s="9"/>
      <c r="J539" s="10"/>
      <c r="L539" s="10"/>
      <c r="M539" s="10"/>
      <c r="N539" s="10"/>
      <c r="O539" s="8"/>
      <c r="P539" s="10"/>
    </row>
    <row r="540" spans="1:16" x14ac:dyDescent="0.45">
      <c r="A540" s="9"/>
      <c r="B540" t="b">
        <v>0</v>
      </c>
      <c r="D540" s="10"/>
      <c r="G540" s="10"/>
      <c r="H540" s="10"/>
      <c r="I540" s="9"/>
      <c r="J540" s="10"/>
      <c r="L540" s="10"/>
      <c r="M540" s="10"/>
      <c r="N540" s="10"/>
      <c r="O540" s="8"/>
      <c r="P540" s="10"/>
    </row>
    <row r="541" spans="1:16" x14ac:dyDescent="0.45">
      <c r="A541" s="9"/>
      <c r="B541" t="b">
        <v>0</v>
      </c>
      <c r="D541" s="10"/>
      <c r="G541" s="10"/>
      <c r="H541" s="10"/>
      <c r="I541" s="9"/>
      <c r="J541" s="10"/>
      <c r="L541" s="10"/>
      <c r="M541" s="10"/>
      <c r="N541" s="10"/>
      <c r="O541" s="8"/>
      <c r="P541" s="10"/>
    </row>
    <row r="542" spans="1:16" x14ac:dyDescent="0.45">
      <c r="A542" s="9"/>
      <c r="B542" t="b">
        <v>0</v>
      </c>
      <c r="D542" s="10"/>
      <c r="G542" s="10"/>
      <c r="H542" s="10"/>
      <c r="I542" s="9"/>
      <c r="J542" s="10"/>
      <c r="L542" s="10"/>
      <c r="M542" s="10"/>
      <c r="N542" s="10"/>
      <c r="O542" s="8"/>
      <c r="P542" s="10"/>
    </row>
    <row r="543" spans="1:16" x14ac:dyDescent="0.45">
      <c r="A543" s="9"/>
      <c r="B543" t="b">
        <v>0</v>
      </c>
      <c r="D543" s="10"/>
      <c r="G543" s="10"/>
      <c r="H543" s="10"/>
      <c r="I543" s="9"/>
      <c r="J543" s="10"/>
      <c r="L543" s="10"/>
      <c r="M543" s="10"/>
      <c r="N543" s="10"/>
      <c r="O543" s="8"/>
      <c r="P543" s="10"/>
    </row>
    <row r="544" spans="1:16" x14ac:dyDescent="0.45">
      <c r="A544" s="9"/>
      <c r="B544" t="b">
        <v>0</v>
      </c>
      <c r="D544" s="10"/>
      <c r="G544" s="10"/>
      <c r="H544" s="10"/>
      <c r="I544" s="9"/>
      <c r="J544" s="10"/>
      <c r="L544" s="10"/>
      <c r="M544" s="10"/>
      <c r="N544" s="10"/>
      <c r="O544" s="8"/>
      <c r="P544" s="10"/>
    </row>
    <row r="545" spans="1:16" x14ac:dyDescent="0.45">
      <c r="A545" s="9"/>
      <c r="B545" t="b">
        <v>0</v>
      </c>
      <c r="D545" s="10"/>
      <c r="G545" s="10"/>
      <c r="H545" s="10"/>
      <c r="I545" s="9"/>
      <c r="J545" s="10"/>
      <c r="L545" s="10"/>
      <c r="M545" s="10"/>
      <c r="N545" s="10"/>
      <c r="O545" s="8"/>
      <c r="P545" s="10"/>
    </row>
    <row r="546" spans="1:16" x14ac:dyDescent="0.45">
      <c r="A546" s="9"/>
      <c r="B546" t="b">
        <v>0</v>
      </c>
      <c r="D546" s="10"/>
      <c r="G546" s="10"/>
      <c r="H546" s="10"/>
      <c r="I546" s="9"/>
      <c r="J546" s="10"/>
      <c r="L546" s="10"/>
      <c r="M546" s="10"/>
      <c r="N546" s="10"/>
      <c r="O546" s="8"/>
      <c r="P546" s="10"/>
    </row>
    <row r="547" spans="1:16" x14ac:dyDescent="0.45">
      <c r="A547" s="9"/>
      <c r="B547" t="b">
        <v>0</v>
      </c>
      <c r="D547" s="10"/>
      <c r="G547" s="10"/>
      <c r="H547" s="10"/>
      <c r="I547" s="9"/>
      <c r="J547" s="10"/>
      <c r="L547" s="10"/>
      <c r="M547" s="10"/>
      <c r="N547" s="10"/>
      <c r="O547" s="8"/>
      <c r="P547" s="10"/>
    </row>
    <row r="548" spans="1:16" x14ac:dyDescent="0.45">
      <c r="A548" s="9"/>
      <c r="B548" t="b">
        <v>0</v>
      </c>
      <c r="D548" s="10"/>
      <c r="G548" s="10"/>
      <c r="H548" s="10"/>
      <c r="I548" s="9"/>
      <c r="J548" s="10"/>
      <c r="L548" s="10"/>
      <c r="M548" s="10"/>
      <c r="N548" s="10"/>
      <c r="O548" s="8"/>
      <c r="P548" s="10"/>
    </row>
    <row r="549" spans="1:16" x14ac:dyDescent="0.45">
      <c r="A549" s="9"/>
      <c r="B549" t="b">
        <v>0</v>
      </c>
      <c r="D549" s="10"/>
      <c r="G549" s="10"/>
      <c r="H549" s="10"/>
      <c r="I549" s="9"/>
      <c r="J549" s="10"/>
      <c r="L549" s="10"/>
      <c r="M549" s="10"/>
      <c r="N549" s="10"/>
      <c r="O549" s="8"/>
      <c r="P549" s="10"/>
    </row>
    <row r="550" spans="1:16" x14ac:dyDescent="0.45">
      <c r="A550" s="9"/>
      <c r="B550" t="b">
        <v>0</v>
      </c>
      <c r="D550" s="10"/>
      <c r="G550" s="10"/>
      <c r="H550" s="10"/>
      <c r="I550" s="9"/>
      <c r="J550" s="10"/>
      <c r="L550" s="10"/>
      <c r="M550" s="10"/>
      <c r="N550" s="10"/>
      <c r="O550" s="8"/>
      <c r="P550" s="10"/>
    </row>
    <row r="551" spans="1:16" x14ac:dyDescent="0.45">
      <c r="A551" s="9"/>
      <c r="B551" t="b">
        <v>0</v>
      </c>
      <c r="D551" s="10"/>
      <c r="G551" s="10"/>
      <c r="H551" s="10"/>
      <c r="I551" s="9"/>
      <c r="J551" s="10"/>
      <c r="L551" s="10"/>
      <c r="M551" s="10"/>
      <c r="N551" s="10"/>
      <c r="O551" s="8"/>
      <c r="P551" s="10"/>
    </row>
    <row r="552" spans="1:16" x14ac:dyDescent="0.45">
      <c r="A552" s="9"/>
      <c r="B552" t="b">
        <v>0</v>
      </c>
      <c r="D552" s="10"/>
      <c r="G552" s="10"/>
      <c r="H552" s="10"/>
      <c r="I552" s="9"/>
      <c r="J552" s="10"/>
      <c r="L552" s="10"/>
      <c r="M552" s="10"/>
      <c r="N552" s="10"/>
      <c r="O552" s="8"/>
      <c r="P552" s="10"/>
    </row>
    <row r="553" spans="1:16" x14ac:dyDescent="0.45">
      <c r="A553" s="9"/>
      <c r="B553" t="b">
        <v>0</v>
      </c>
      <c r="D553" s="10"/>
      <c r="G553" s="10"/>
      <c r="H553" s="10"/>
      <c r="I553" s="9"/>
      <c r="J553" s="10"/>
      <c r="L553" s="10"/>
      <c r="M553" s="10"/>
      <c r="N553" s="10"/>
      <c r="O553" s="8"/>
      <c r="P553" s="10"/>
    </row>
    <row r="554" spans="1:16" x14ac:dyDescent="0.45">
      <c r="A554" s="9"/>
      <c r="B554" t="b">
        <v>0</v>
      </c>
      <c r="D554" s="10"/>
      <c r="G554" s="10"/>
      <c r="H554" s="10"/>
      <c r="I554" s="9"/>
      <c r="J554" s="10"/>
      <c r="L554" s="10"/>
      <c r="M554" s="10"/>
      <c r="N554" s="10"/>
      <c r="O554" s="8"/>
      <c r="P554" s="10"/>
    </row>
    <row r="555" spans="1:16" x14ac:dyDescent="0.45">
      <c r="A555" s="9"/>
      <c r="B555" t="b">
        <v>0</v>
      </c>
      <c r="D555" s="10"/>
      <c r="G555" s="10"/>
      <c r="H555" s="10"/>
      <c r="I555" s="9"/>
      <c r="J555" s="10"/>
      <c r="L555" s="10"/>
      <c r="M555" s="10"/>
      <c r="N555" s="10"/>
      <c r="O555" s="8"/>
      <c r="P555" s="10"/>
    </row>
    <row r="556" spans="1:16" x14ac:dyDescent="0.45">
      <c r="A556" s="9"/>
      <c r="B556" t="b">
        <v>0</v>
      </c>
      <c r="D556" s="10"/>
      <c r="G556" s="10"/>
      <c r="H556" s="10"/>
      <c r="I556" s="9"/>
      <c r="J556" s="10"/>
      <c r="L556" s="10"/>
      <c r="M556" s="10"/>
      <c r="N556" s="10"/>
      <c r="O556" s="8"/>
      <c r="P556" s="10"/>
    </row>
    <row r="557" spans="1:16" x14ac:dyDescent="0.45">
      <c r="A557" s="9"/>
      <c r="B557" t="b">
        <v>0</v>
      </c>
      <c r="D557" s="10"/>
      <c r="G557" s="10"/>
      <c r="H557" s="10"/>
      <c r="I557" s="9"/>
      <c r="J557" s="10"/>
      <c r="L557" s="10"/>
      <c r="M557" s="10"/>
      <c r="N557" s="10"/>
      <c r="O557" s="8"/>
      <c r="P557" s="10"/>
    </row>
    <row r="558" spans="1:16" x14ac:dyDescent="0.45">
      <c r="A558" s="9"/>
      <c r="B558" t="b">
        <v>0</v>
      </c>
      <c r="D558" s="10"/>
      <c r="G558" s="10"/>
      <c r="H558" s="10"/>
      <c r="I558" s="9"/>
      <c r="J558" s="10"/>
      <c r="L558" s="10"/>
      <c r="M558" s="10"/>
      <c r="N558" s="10"/>
      <c r="O558" s="8"/>
      <c r="P558" s="10"/>
    </row>
    <row r="559" spans="1:16" x14ac:dyDescent="0.45">
      <c r="A559" s="9"/>
      <c r="B559" t="b">
        <v>0</v>
      </c>
      <c r="D559" s="10"/>
      <c r="G559" s="10"/>
      <c r="H559" s="10"/>
      <c r="I559" s="9"/>
      <c r="J559" s="10"/>
      <c r="L559" s="10"/>
      <c r="M559" s="10"/>
      <c r="N559" s="10"/>
      <c r="O559" s="8"/>
      <c r="P559" s="10"/>
    </row>
    <row r="560" spans="1:16" x14ac:dyDescent="0.45">
      <c r="A560" s="9"/>
      <c r="B560" t="b">
        <v>0</v>
      </c>
      <c r="D560" s="10"/>
      <c r="G560" s="10"/>
      <c r="H560" s="10"/>
      <c r="I560" s="9"/>
      <c r="J560" s="10"/>
      <c r="L560" s="10"/>
      <c r="M560" s="10"/>
      <c r="N560" s="10"/>
      <c r="O560" s="8"/>
      <c r="P560" s="10"/>
    </row>
    <row r="561" spans="1:16" x14ac:dyDescent="0.45">
      <c r="A561" s="9"/>
      <c r="B561" t="b">
        <v>0</v>
      </c>
      <c r="D561" s="10"/>
      <c r="G561" s="10"/>
      <c r="H561" s="10"/>
      <c r="I561" s="9"/>
      <c r="J561" s="10"/>
      <c r="L561" s="10"/>
      <c r="M561" s="10"/>
      <c r="N561" s="10"/>
      <c r="O561" s="8"/>
      <c r="P561" s="10"/>
    </row>
    <row r="562" spans="1:16" x14ac:dyDescent="0.45">
      <c r="A562" s="9"/>
      <c r="B562" t="b">
        <v>0</v>
      </c>
      <c r="D562" s="10"/>
      <c r="G562" s="10"/>
      <c r="H562" s="10"/>
      <c r="I562" s="9"/>
      <c r="J562" s="10"/>
      <c r="L562" s="10"/>
      <c r="M562" s="10"/>
      <c r="N562" s="10"/>
      <c r="O562" s="8"/>
      <c r="P562" s="10"/>
    </row>
    <row r="563" spans="1:16" x14ac:dyDescent="0.45">
      <c r="A563" s="9"/>
      <c r="B563" t="b">
        <v>0</v>
      </c>
      <c r="D563" s="10"/>
      <c r="G563" s="10"/>
      <c r="H563" s="10"/>
      <c r="I563" s="9"/>
      <c r="J563" s="10"/>
      <c r="L563" s="10"/>
      <c r="M563" s="10"/>
      <c r="N563" s="10"/>
      <c r="O563" s="8"/>
      <c r="P563" s="10"/>
    </row>
    <row r="564" spans="1:16" x14ac:dyDescent="0.45">
      <c r="A564" s="9"/>
      <c r="B564" t="b">
        <v>0</v>
      </c>
      <c r="D564" s="10"/>
      <c r="G564" s="10"/>
      <c r="H564" s="10"/>
      <c r="I564" s="9"/>
      <c r="J564" s="10"/>
      <c r="L564" s="10"/>
      <c r="M564" s="10"/>
      <c r="N564" s="10"/>
      <c r="O564" s="8"/>
      <c r="P564" s="10"/>
    </row>
    <row r="565" spans="1:16" x14ac:dyDescent="0.45">
      <c r="A565" s="9"/>
      <c r="B565" t="b">
        <v>0</v>
      </c>
      <c r="D565" s="10"/>
      <c r="G565" s="10"/>
      <c r="H565" s="10"/>
      <c r="I565" s="9"/>
      <c r="J565" s="10"/>
      <c r="L565" s="10"/>
      <c r="M565" s="10"/>
      <c r="N565" s="10"/>
      <c r="O565" s="8"/>
      <c r="P565" s="10"/>
    </row>
    <row r="566" spans="1:16" x14ac:dyDescent="0.45">
      <c r="A566" s="9"/>
      <c r="B566" t="b">
        <v>0</v>
      </c>
      <c r="D566" s="10"/>
      <c r="G566" s="10"/>
      <c r="H566" s="10"/>
      <c r="I566" s="9"/>
      <c r="J566" s="10"/>
      <c r="L566" s="10"/>
      <c r="M566" s="10"/>
      <c r="N566" s="10"/>
      <c r="O566" s="8"/>
      <c r="P566" s="10"/>
    </row>
    <row r="567" spans="1:16" x14ac:dyDescent="0.45">
      <c r="A567" s="9"/>
      <c r="B567" t="b">
        <v>0</v>
      </c>
      <c r="D567" s="10"/>
      <c r="G567" s="10"/>
      <c r="H567" s="10"/>
      <c r="I567" s="9"/>
      <c r="J567" s="10"/>
      <c r="L567" s="10"/>
      <c r="M567" s="10"/>
      <c r="N567" s="10"/>
      <c r="O567" s="8"/>
      <c r="P567" s="10"/>
    </row>
    <row r="568" spans="1:16" x14ac:dyDescent="0.45">
      <c r="A568" s="9"/>
      <c r="B568" t="b">
        <v>0</v>
      </c>
      <c r="D568" s="10"/>
      <c r="G568" s="10"/>
      <c r="H568" s="10"/>
      <c r="I568" s="9"/>
      <c r="J568" s="10"/>
      <c r="L568" s="10"/>
      <c r="M568" s="10"/>
      <c r="N568" s="10"/>
      <c r="O568" s="8"/>
      <c r="P568" s="10"/>
    </row>
    <row r="569" spans="1:16" x14ac:dyDescent="0.45">
      <c r="A569" s="9"/>
      <c r="B569" t="b">
        <v>0</v>
      </c>
      <c r="D569" s="10"/>
      <c r="G569" s="10"/>
      <c r="H569" s="10"/>
      <c r="I569" s="9"/>
      <c r="J569" s="10"/>
      <c r="L569" s="10"/>
      <c r="M569" s="10"/>
      <c r="N569" s="10"/>
      <c r="O569" s="8"/>
      <c r="P569" s="10"/>
    </row>
    <row r="570" spans="1:16" x14ac:dyDescent="0.45">
      <c r="A570" s="9"/>
      <c r="B570" t="b">
        <v>0</v>
      </c>
      <c r="D570" s="10"/>
      <c r="G570" s="10"/>
      <c r="H570" s="10"/>
      <c r="I570" s="9"/>
      <c r="J570" s="10"/>
      <c r="L570" s="10"/>
      <c r="M570" s="10"/>
      <c r="N570" s="10"/>
      <c r="O570" s="8"/>
      <c r="P570" s="10"/>
    </row>
    <row r="571" spans="1:16" x14ac:dyDescent="0.45">
      <c r="A571" s="9"/>
      <c r="B571" t="b">
        <v>0</v>
      </c>
      <c r="D571" s="10"/>
      <c r="G571" s="10"/>
      <c r="H571" s="10"/>
      <c r="I571" s="9"/>
      <c r="J571" s="10"/>
      <c r="L571" s="10"/>
      <c r="M571" s="10"/>
      <c r="N571" s="10"/>
      <c r="O571" s="8"/>
      <c r="P571" s="10"/>
    </row>
    <row r="572" spans="1:16" x14ac:dyDescent="0.45">
      <c r="A572" s="9"/>
      <c r="B572" t="b">
        <v>0</v>
      </c>
      <c r="D572" s="10"/>
      <c r="G572" s="10"/>
      <c r="H572" s="10"/>
      <c r="I572" s="9"/>
      <c r="J572" s="10"/>
      <c r="L572" s="10"/>
      <c r="M572" s="10"/>
      <c r="N572" s="10"/>
      <c r="O572" s="8"/>
      <c r="P572" s="10"/>
    </row>
    <row r="573" spans="1:16" x14ac:dyDescent="0.45">
      <c r="A573" s="9"/>
      <c r="B573" t="b">
        <v>0</v>
      </c>
      <c r="D573" s="10"/>
      <c r="G573" s="10"/>
      <c r="H573" s="10"/>
      <c r="I573" s="9"/>
      <c r="J573" s="10"/>
      <c r="L573" s="10"/>
      <c r="M573" s="10"/>
      <c r="N573" s="10"/>
      <c r="O573" s="8"/>
      <c r="P573" s="10"/>
    </row>
    <row r="574" spans="1:16" x14ac:dyDescent="0.45">
      <c r="A574" s="9"/>
      <c r="B574" t="b">
        <v>0</v>
      </c>
      <c r="D574" s="10"/>
      <c r="G574" s="10"/>
      <c r="H574" s="10"/>
      <c r="I574" s="9"/>
      <c r="J574" s="10"/>
      <c r="L574" s="10"/>
      <c r="M574" s="10"/>
      <c r="N574" s="10"/>
      <c r="O574" s="8"/>
      <c r="P574" s="10"/>
    </row>
    <row r="575" spans="1:16" x14ac:dyDescent="0.45">
      <c r="A575" s="9"/>
      <c r="B575" t="b">
        <v>0</v>
      </c>
      <c r="D575" s="10"/>
      <c r="G575" s="10"/>
      <c r="H575" s="10"/>
      <c r="I575" s="9"/>
      <c r="J575" s="10"/>
      <c r="L575" s="10"/>
      <c r="M575" s="10"/>
      <c r="N575" s="10"/>
      <c r="O575" s="8"/>
      <c r="P575" s="10"/>
    </row>
    <row r="576" spans="1:16" x14ac:dyDescent="0.45">
      <c r="A576" s="9"/>
      <c r="B576" t="b">
        <v>0</v>
      </c>
      <c r="D576" s="10"/>
      <c r="G576" s="10"/>
      <c r="H576" s="10"/>
      <c r="I576" s="9"/>
      <c r="J576" s="10"/>
      <c r="L576" s="10"/>
      <c r="M576" s="10"/>
      <c r="N576" s="10"/>
      <c r="O576" s="8"/>
      <c r="P576" s="10"/>
    </row>
    <row r="577" spans="1:16" x14ac:dyDescent="0.45">
      <c r="A577" s="9"/>
      <c r="B577" t="b">
        <v>0</v>
      </c>
      <c r="D577" s="10"/>
      <c r="G577" s="10"/>
      <c r="H577" s="10"/>
      <c r="I577" s="9"/>
      <c r="J577" s="10"/>
      <c r="L577" s="10"/>
      <c r="M577" s="10"/>
      <c r="N577" s="10"/>
      <c r="O577" s="8"/>
      <c r="P577" s="10"/>
    </row>
    <row r="578" spans="1:16" x14ac:dyDescent="0.45">
      <c r="A578" s="9"/>
      <c r="B578" t="b">
        <v>0</v>
      </c>
      <c r="D578" s="10"/>
      <c r="G578" s="10"/>
      <c r="H578" s="10"/>
      <c r="I578" s="9"/>
      <c r="J578" s="10"/>
      <c r="L578" s="10"/>
      <c r="M578" s="10"/>
      <c r="N578" s="10"/>
      <c r="O578" s="8"/>
      <c r="P578" s="10"/>
    </row>
    <row r="579" spans="1:16" x14ac:dyDescent="0.45">
      <c r="A579" s="9"/>
      <c r="B579" t="b">
        <v>0</v>
      </c>
      <c r="D579" s="10"/>
      <c r="G579" s="10"/>
      <c r="H579" s="10"/>
      <c r="I579" s="9"/>
      <c r="J579" s="10"/>
      <c r="L579" s="10"/>
      <c r="M579" s="10"/>
      <c r="N579" s="10"/>
      <c r="O579" s="8"/>
      <c r="P579" s="10"/>
    </row>
    <row r="580" spans="1:16" x14ac:dyDescent="0.45">
      <c r="A580" s="9"/>
      <c r="B580" t="b">
        <v>0</v>
      </c>
      <c r="D580" s="10"/>
      <c r="G580" s="10"/>
      <c r="H580" s="10"/>
      <c r="I580" s="9"/>
      <c r="J580" s="10"/>
      <c r="L580" s="10"/>
      <c r="M580" s="10"/>
      <c r="N580" s="10"/>
      <c r="O580" s="8"/>
      <c r="P580" s="10"/>
    </row>
    <row r="581" spans="1:16" x14ac:dyDescent="0.45">
      <c r="A581" s="9"/>
      <c r="B581" t="b">
        <v>0</v>
      </c>
      <c r="D581" s="10"/>
      <c r="G581" s="10"/>
      <c r="H581" s="10"/>
      <c r="I581" s="9"/>
      <c r="J581" s="10"/>
      <c r="L581" s="10"/>
      <c r="M581" s="10"/>
      <c r="N581" s="10"/>
      <c r="O581" s="8"/>
      <c r="P581" s="10"/>
    </row>
    <row r="582" spans="1:16" x14ac:dyDescent="0.45">
      <c r="A582" s="9"/>
      <c r="B582" t="b">
        <v>0</v>
      </c>
      <c r="D582" s="10"/>
      <c r="G582" s="10"/>
      <c r="H582" s="10"/>
      <c r="I582" s="9"/>
      <c r="J582" s="10"/>
      <c r="L582" s="10"/>
      <c r="M582" s="10"/>
      <c r="N582" s="10"/>
      <c r="O582" s="8"/>
      <c r="P582" s="10"/>
    </row>
    <row r="583" spans="1:16" x14ac:dyDescent="0.45">
      <c r="A583" s="9"/>
      <c r="B583" t="b">
        <v>0</v>
      </c>
      <c r="D583" s="10"/>
      <c r="G583" s="10"/>
      <c r="H583" s="10"/>
      <c r="I583" s="9"/>
      <c r="J583" s="10"/>
      <c r="L583" s="10"/>
      <c r="M583" s="10"/>
      <c r="N583" s="10"/>
      <c r="O583" s="8"/>
      <c r="P583" s="10"/>
    </row>
    <row r="584" spans="1:16" x14ac:dyDescent="0.45">
      <c r="A584" s="9"/>
      <c r="B584" t="b">
        <v>0</v>
      </c>
      <c r="D584" s="10"/>
      <c r="G584" s="10"/>
      <c r="H584" s="10"/>
      <c r="I584" s="9"/>
      <c r="J584" s="10"/>
      <c r="L584" s="10"/>
      <c r="M584" s="10"/>
      <c r="N584" s="10"/>
      <c r="O584" s="8"/>
      <c r="P584" s="10"/>
    </row>
    <row r="585" spans="1:16" x14ac:dyDescent="0.45">
      <c r="A585" s="9"/>
      <c r="B585" t="b">
        <v>0</v>
      </c>
      <c r="D585" s="10"/>
      <c r="G585" s="10"/>
      <c r="H585" s="10"/>
      <c r="I585" s="9"/>
      <c r="J585" s="10"/>
      <c r="L585" s="10"/>
      <c r="M585" s="10"/>
      <c r="N585" s="10"/>
      <c r="O585" s="8"/>
      <c r="P585" s="10"/>
    </row>
    <row r="586" spans="1:16" x14ac:dyDescent="0.45">
      <c r="A586" s="9"/>
      <c r="B586" t="b">
        <v>0</v>
      </c>
      <c r="D586" s="10"/>
      <c r="G586" s="10"/>
      <c r="H586" s="10"/>
      <c r="I586" s="9"/>
      <c r="J586" s="10"/>
      <c r="L586" s="10"/>
      <c r="M586" s="10"/>
      <c r="N586" s="10"/>
      <c r="O586" s="8"/>
      <c r="P586" s="10"/>
    </row>
    <row r="587" spans="1:16" x14ac:dyDescent="0.45">
      <c r="A587" s="9"/>
      <c r="B587" t="b">
        <v>0</v>
      </c>
      <c r="D587" s="10"/>
      <c r="G587" s="10"/>
      <c r="H587" s="10"/>
      <c r="I587" s="9"/>
      <c r="J587" s="10"/>
      <c r="L587" s="10"/>
      <c r="M587" s="10"/>
      <c r="N587" s="10"/>
      <c r="O587" s="8"/>
      <c r="P587" s="10"/>
    </row>
    <row r="588" spans="1:16" x14ac:dyDescent="0.45">
      <c r="A588" s="9"/>
      <c r="B588" t="b">
        <v>0</v>
      </c>
      <c r="D588" s="10"/>
      <c r="G588" s="10"/>
      <c r="H588" s="10"/>
      <c r="I588" s="9"/>
      <c r="J588" s="10"/>
      <c r="L588" s="10"/>
      <c r="M588" s="10"/>
      <c r="N588" s="10"/>
      <c r="O588" s="8"/>
      <c r="P588" s="10"/>
    </row>
    <row r="589" spans="1:16" x14ac:dyDescent="0.45">
      <c r="A589" s="9"/>
      <c r="B589" t="b">
        <v>0</v>
      </c>
      <c r="D589" s="10"/>
      <c r="G589" s="10"/>
      <c r="H589" s="10"/>
      <c r="I589" s="9"/>
      <c r="J589" s="10"/>
      <c r="L589" s="10"/>
      <c r="M589" s="10"/>
      <c r="N589" s="10"/>
      <c r="O589" s="8"/>
      <c r="P589" s="10"/>
    </row>
    <row r="590" spans="1:16" x14ac:dyDescent="0.45">
      <c r="A590" s="9"/>
      <c r="B590" t="b">
        <v>0</v>
      </c>
      <c r="D590" s="10"/>
      <c r="G590" s="10"/>
      <c r="H590" s="10"/>
      <c r="I590" s="9"/>
      <c r="J590" s="10"/>
      <c r="L590" s="10"/>
      <c r="M590" s="10"/>
      <c r="N590" s="10"/>
      <c r="O590" s="8"/>
      <c r="P590" s="10"/>
    </row>
    <row r="591" spans="1:16" x14ac:dyDescent="0.45">
      <c r="A591" s="9"/>
      <c r="B591" t="b">
        <v>0</v>
      </c>
      <c r="D591" s="10"/>
      <c r="G591" s="10"/>
      <c r="H591" s="10"/>
      <c r="I591" s="9"/>
      <c r="J591" s="10"/>
      <c r="L591" s="10"/>
      <c r="M591" s="10"/>
      <c r="N591" s="10"/>
      <c r="O591" s="8"/>
      <c r="P591" s="10"/>
    </row>
    <row r="592" spans="1:16" x14ac:dyDescent="0.45">
      <c r="A592" s="9"/>
      <c r="B592" t="b">
        <v>0</v>
      </c>
      <c r="D592" s="10"/>
      <c r="G592" s="10"/>
      <c r="H592" s="10"/>
      <c r="I592" s="9"/>
      <c r="J592" s="10"/>
      <c r="L592" s="10"/>
      <c r="M592" s="10"/>
      <c r="N592" s="10"/>
      <c r="O592" s="8"/>
      <c r="P592" s="10"/>
    </row>
    <row r="593" spans="1:16" x14ac:dyDescent="0.45">
      <c r="A593" s="9"/>
      <c r="B593" t="b">
        <v>0</v>
      </c>
      <c r="D593" s="10"/>
      <c r="G593" s="10"/>
      <c r="H593" s="10"/>
      <c r="I593" s="9"/>
      <c r="J593" s="10"/>
      <c r="L593" s="10"/>
      <c r="M593" s="10"/>
      <c r="N593" s="10"/>
      <c r="O593" s="8"/>
      <c r="P593" s="10"/>
    </row>
    <row r="594" spans="1:16" x14ac:dyDescent="0.45">
      <c r="A594" s="9"/>
      <c r="B594" t="b">
        <v>0</v>
      </c>
      <c r="D594" s="10"/>
      <c r="G594" s="10"/>
      <c r="H594" s="10"/>
      <c r="I594" s="9"/>
      <c r="J594" s="10"/>
      <c r="L594" s="10"/>
      <c r="M594" s="10"/>
      <c r="N594" s="10"/>
      <c r="O594" s="8"/>
      <c r="P594" s="10"/>
    </row>
    <row r="595" spans="1:16" x14ac:dyDescent="0.45">
      <c r="A595" s="9"/>
      <c r="B595" t="b">
        <v>0</v>
      </c>
      <c r="D595" s="10"/>
      <c r="G595" s="10"/>
      <c r="H595" s="10"/>
      <c r="I595" s="9"/>
      <c r="J595" s="10"/>
      <c r="L595" s="10"/>
      <c r="M595" s="10"/>
      <c r="N595" s="10"/>
      <c r="O595" s="8"/>
      <c r="P595" s="10"/>
    </row>
    <row r="596" spans="1:16" x14ac:dyDescent="0.45">
      <c r="A596" s="9"/>
      <c r="B596" t="b">
        <v>0</v>
      </c>
      <c r="D596" s="10"/>
      <c r="G596" s="10"/>
      <c r="H596" s="10"/>
      <c r="I596" s="9"/>
      <c r="J596" s="10"/>
      <c r="L596" s="10"/>
      <c r="M596" s="10"/>
      <c r="N596" s="10"/>
      <c r="O596" s="8"/>
      <c r="P596" s="10"/>
    </row>
    <row r="597" spans="1:16" x14ac:dyDescent="0.45">
      <c r="A597" s="9"/>
      <c r="B597" t="b">
        <v>0</v>
      </c>
      <c r="D597" s="10"/>
      <c r="G597" s="10"/>
      <c r="H597" s="10"/>
      <c r="I597" s="9"/>
      <c r="J597" s="10"/>
      <c r="L597" s="10"/>
      <c r="M597" s="10"/>
      <c r="N597" s="10"/>
      <c r="O597" s="8"/>
      <c r="P597" s="10"/>
    </row>
    <row r="598" spans="1:16" x14ac:dyDescent="0.45">
      <c r="A598" s="9"/>
      <c r="B598" t="b">
        <v>0</v>
      </c>
      <c r="D598" s="10"/>
      <c r="G598" s="10"/>
      <c r="H598" s="10"/>
      <c r="I598" s="9"/>
      <c r="J598" s="10"/>
      <c r="L598" s="10"/>
      <c r="M598" s="10"/>
      <c r="N598" s="10"/>
      <c r="O598" s="8"/>
      <c r="P598" s="10"/>
    </row>
    <row r="599" spans="1:16" x14ac:dyDescent="0.45">
      <c r="A599" s="9"/>
      <c r="B599" t="b">
        <v>0</v>
      </c>
      <c r="D599" s="10"/>
      <c r="G599" s="10"/>
      <c r="H599" s="10"/>
      <c r="I599" s="9"/>
      <c r="J599" s="10"/>
      <c r="L599" s="10"/>
      <c r="M599" s="10"/>
      <c r="N599" s="10"/>
      <c r="O599" s="8"/>
      <c r="P599" s="10"/>
    </row>
    <row r="600" spans="1:16" x14ac:dyDescent="0.45">
      <c r="A600" s="9"/>
      <c r="B600" t="b">
        <v>0</v>
      </c>
      <c r="D600" s="10"/>
      <c r="G600" s="10"/>
      <c r="H600" s="10"/>
      <c r="I600" s="9"/>
      <c r="J600" s="10"/>
      <c r="L600" s="10"/>
      <c r="M600" s="10"/>
      <c r="N600" s="10"/>
      <c r="O600" s="8"/>
      <c r="P600" s="10"/>
    </row>
    <row r="601" spans="1:16" x14ac:dyDescent="0.45">
      <c r="A601" s="9"/>
      <c r="B601" t="b">
        <v>0</v>
      </c>
      <c r="D601" s="10"/>
      <c r="G601" s="10"/>
      <c r="H601" s="10"/>
      <c r="I601" s="9"/>
      <c r="J601" s="10"/>
      <c r="L601" s="10"/>
      <c r="M601" s="10"/>
      <c r="N601" s="10"/>
      <c r="O601" s="8"/>
      <c r="P601" s="10"/>
    </row>
    <row r="602" spans="1:16" x14ac:dyDescent="0.45">
      <c r="A602" s="9"/>
      <c r="B602" t="b">
        <v>0</v>
      </c>
      <c r="D602" s="10"/>
      <c r="G602" s="10"/>
      <c r="H602" s="10"/>
      <c r="I602" s="9"/>
      <c r="J602" s="10"/>
      <c r="L602" s="10"/>
      <c r="M602" s="10"/>
      <c r="N602" s="10"/>
      <c r="O602" s="8"/>
      <c r="P602" s="10"/>
    </row>
    <row r="603" spans="1:16" x14ac:dyDescent="0.45">
      <c r="A603" s="9"/>
      <c r="B603" t="b">
        <v>0</v>
      </c>
      <c r="D603" s="10"/>
      <c r="G603" s="10"/>
      <c r="H603" s="10"/>
      <c r="I603" s="9"/>
      <c r="J603" s="10"/>
      <c r="L603" s="10"/>
      <c r="M603" s="10"/>
      <c r="N603" s="10"/>
      <c r="O603" s="8"/>
      <c r="P603" s="10"/>
    </row>
    <row r="604" spans="1:16" x14ac:dyDescent="0.45">
      <c r="A604" s="9"/>
      <c r="B604" t="b">
        <v>0</v>
      </c>
      <c r="D604" s="10"/>
      <c r="G604" s="10"/>
      <c r="H604" s="10"/>
      <c r="I604" s="9"/>
      <c r="J604" s="10"/>
      <c r="L604" s="10"/>
      <c r="M604" s="10"/>
      <c r="N604" s="10"/>
      <c r="O604" s="8"/>
      <c r="P604" s="10"/>
    </row>
    <row r="605" spans="1:16" x14ac:dyDescent="0.45">
      <c r="A605" s="9"/>
      <c r="B605" t="b">
        <v>0</v>
      </c>
      <c r="D605" s="10"/>
      <c r="G605" s="10"/>
      <c r="H605" s="10"/>
      <c r="I605" s="9"/>
      <c r="J605" s="10"/>
      <c r="L605" s="10"/>
      <c r="M605" s="10"/>
      <c r="N605" s="10"/>
      <c r="O605" s="8"/>
      <c r="P605" s="10"/>
    </row>
    <row r="606" spans="1:16" x14ac:dyDescent="0.45">
      <c r="A606" s="9"/>
      <c r="B606" t="b">
        <v>0</v>
      </c>
      <c r="D606" s="10"/>
      <c r="G606" s="10"/>
      <c r="H606" s="10"/>
      <c r="I606" s="9"/>
      <c r="J606" s="10"/>
      <c r="L606" s="10"/>
      <c r="M606" s="10"/>
      <c r="N606" s="10"/>
      <c r="O606" s="8"/>
      <c r="P606" s="10"/>
    </row>
    <row r="607" spans="1:16" x14ac:dyDescent="0.45">
      <c r="A607" s="9"/>
      <c r="B607" t="b">
        <v>0</v>
      </c>
      <c r="D607" s="10"/>
      <c r="G607" s="10"/>
      <c r="H607" s="10"/>
      <c r="I607" s="9"/>
      <c r="J607" s="10"/>
      <c r="L607" s="10"/>
      <c r="M607" s="10"/>
      <c r="N607" s="10"/>
      <c r="O607" s="8"/>
      <c r="P607" s="10"/>
    </row>
    <row r="608" spans="1:16" x14ac:dyDescent="0.45">
      <c r="A608" s="9"/>
      <c r="B608" t="b">
        <v>0</v>
      </c>
      <c r="D608" s="10"/>
      <c r="G608" s="10"/>
      <c r="H608" s="10"/>
      <c r="I608" s="9"/>
      <c r="J608" s="10"/>
      <c r="L608" s="10"/>
      <c r="M608" s="10"/>
      <c r="N608" s="10"/>
      <c r="O608" s="8"/>
      <c r="P608" s="10"/>
    </row>
    <row r="609" spans="1:16" x14ac:dyDescent="0.45">
      <c r="A609" s="9"/>
      <c r="B609" t="b">
        <v>0</v>
      </c>
      <c r="D609" s="10"/>
      <c r="G609" s="10"/>
      <c r="H609" s="10"/>
      <c r="I609" s="9"/>
      <c r="J609" s="10"/>
      <c r="L609" s="10"/>
      <c r="M609" s="10"/>
      <c r="N609" s="10"/>
      <c r="O609" s="8"/>
      <c r="P609" s="10"/>
    </row>
    <row r="610" spans="1:16" x14ac:dyDescent="0.45">
      <c r="A610" s="9"/>
      <c r="B610" t="b">
        <v>0</v>
      </c>
      <c r="D610" s="10"/>
      <c r="G610" s="10"/>
      <c r="H610" s="10"/>
      <c r="I610" s="9"/>
      <c r="J610" s="10"/>
      <c r="L610" s="10"/>
      <c r="M610" s="10"/>
      <c r="N610" s="10"/>
      <c r="O610" s="8"/>
      <c r="P610" s="10"/>
    </row>
    <row r="611" spans="1:16" x14ac:dyDescent="0.45">
      <c r="A611" s="9"/>
      <c r="B611" t="b">
        <v>0</v>
      </c>
      <c r="D611" s="10"/>
      <c r="G611" s="10"/>
      <c r="H611" s="10"/>
      <c r="I611" s="9"/>
      <c r="J611" s="10"/>
      <c r="L611" s="10"/>
      <c r="M611" s="10"/>
      <c r="N611" s="10"/>
      <c r="O611" s="8"/>
      <c r="P611" s="10"/>
    </row>
    <row r="612" spans="1:16" x14ac:dyDescent="0.45">
      <c r="A612" s="9"/>
      <c r="B612" t="b">
        <v>0</v>
      </c>
      <c r="D612" s="10"/>
      <c r="G612" s="10"/>
      <c r="H612" s="10"/>
      <c r="I612" s="9"/>
      <c r="J612" s="10"/>
      <c r="L612" s="10"/>
      <c r="M612" s="10"/>
      <c r="N612" s="10"/>
      <c r="O612" s="8"/>
      <c r="P612" s="10"/>
    </row>
    <row r="613" spans="1:16" x14ac:dyDescent="0.45">
      <c r="A613" s="9"/>
      <c r="B613" t="b">
        <v>0</v>
      </c>
      <c r="D613" s="10"/>
      <c r="G613" s="10"/>
      <c r="H613" s="10"/>
      <c r="I613" s="9"/>
      <c r="J613" s="10"/>
      <c r="L613" s="10"/>
      <c r="M613" s="10"/>
      <c r="N613" s="10"/>
      <c r="O613" s="8"/>
      <c r="P613" s="10"/>
    </row>
    <row r="614" spans="1:16" x14ac:dyDescent="0.45">
      <c r="A614" s="9"/>
      <c r="B614" t="b">
        <v>0</v>
      </c>
      <c r="D614" s="10"/>
      <c r="G614" s="10"/>
      <c r="H614" s="10"/>
      <c r="I614" s="9"/>
      <c r="J614" s="10"/>
      <c r="L614" s="10"/>
      <c r="M614" s="10"/>
      <c r="N614" s="10"/>
      <c r="O614" s="8"/>
      <c r="P614" s="10"/>
    </row>
    <row r="615" spans="1:16" x14ac:dyDescent="0.45">
      <c r="A615" s="9"/>
      <c r="B615" t="b">
        <v>0</v>
      </c>
      <c r="D615" s="10"/>
      <c r="G615" s="10"/>
      <c r="H615" s="10"/>
      <c r="I615" s="9"/>
      <c r="J615" s="10"/>
      <c r="L615" s="10"/>
      <c r="M615" s="10"/>
      <c r="N615" s="10"/>
      <c r="O615" s="8"/>
      <c r="P615" s="10"/>
    </row>
    <row r="616" spans="1:16" x14ac:dyDescent="0.45">
      <c r="A616" s="9"/>
      <c r="B616" t="b">
        <v>0</v>
      </c>
      <c r="D616" s="10"/>
      <c r="G616" s="10"/>
      <c r="H616" s="10"/>
      <c r="I616" s="9"/>
      <c r="J616" s="10"/>
      <c r="L616" s="10"/>
      <c r="M616" s="10"/>
      <c r="N616" s="10"/>
      <c r="O616" s="8"/>
      <c r="P616" s="10"/>
    </row>
    <row r="617" spans="1:16" x14ac:dyDescent="0.45">
      <c r="A617" s="9"/>
      <c r="B617" t="b">
        <v>0</v>
      </c>
      <c r="D617" s="10"/>
      <c r="G617" s="10"/>
      <c r="H617" s="10"/>
      <c r="I617" s="9"/>
      <c r="J617" s="10"/>
      <c r="L617" s="10"/>
      <c r="M617" s="10"/>
      <c r="N617" s="10"/>
      <c r="O617" s="8"/>
      <c r="P617" s="10"/>
    </row>
    <row r="618" spans="1:16" x14ac:dyDescent="0.45">
      <c r="A618" s="9"/>
      <c r="B618" t="b">
        <v>0</v>
      </c>
      <c r="D618" s="10"/>
      <c r="G618" s="10"/>
      <c r="H618" s="10"/>
      <c r="I618" s="9"/>
      <c r="J618" s="10"/>
      <c r="L618" s="10"/>
      <c r="M618" s="10"/>
      <c r="N618" s="10"/>
      <c r="O618" s="8"/>
      <c r="P618" s="10"/>
    </row>
    <row r="619" spans="1:16" x14ac:dyDescent="0.45">
      <c r="A619" s="9"/>
      <c r="B619" t="b">
        <v>0</v>
      </c>
      <c r="D619" s="10"/>
      <c r="G619" s="10"/>
      <c r="H619" s="10"/>
      <c r="I619" s="9"/>
      <c r="J619" s="10"/>
      <c r="L619" s="10"/>
      <c r="M619" s="10"/>
      <c r="N619" s="10"/>
      <c r="O619" s="8"/>
      <c r="P619" s="10"/>
    </row>
    <row r="620" spans="1:16" x14ac:dyDescent="0.45">
      <c r="A620" s="9"/>
      <c r="B620" t="b">
        <v>0</v>
      </c>
      <c r="D620" s="10"/>
      <c r="G620" s="10"/>
      <c r="H620" s="10"/>
      <c r="I620" s="9"/>
      <c r="J620" s="10"/>
      <c r="L620" s="10"/>
      <c r="M620" s="10"/>
      <c r="N620" s="10"/>
      <c r="O620" s="8"/>
      <c r="P620" s="10"/>
    </row>
    <row r="621" spans="1:16" x14ac:dyDescent="0.45">
      <c r="A621" s="9"/>
      <c r="B621" t="b">
        <v>0</v>
      </c>
      <c r="D621" s="10"/>
      <c r="G621" s="10"/>
      <c r="H621" s="10"/>
      <c r="I621" s="9"/>
      <c r="J621" s="10"/>
      <c r="L621" s="10"/>
      <c r="M621" s="10"/>
      <c r="N621" s="10"/>
      <c r="O621" s="8"/>
      <c r="P621" s="10"/>
    </row>
    <row r="622" spans="1:16" x14ac:dyDescent="0.45">
      <c r="A622" s="9"/>
      <c r="B622" t="b">
        <v>0</v>
      </c>
      <c r="D622" s="10"/>
      <c r="G622" s="10"/>
      <c r="H622" s="10"/>
      <c r="I622" s="9"/>
      <c r="J622" s="10"/>
      <c r="L622" s="10"/>
      <c r="M622" s="10"/>
      <c r="N622" s="10"/>
      <c r="O622" s="8"/>
      <c r="P622" s="10"/>
    </row>
    <row r="623" spans="1:16" x14ac:dyDescent="0.45">
      <c r="A623" s="9"/>
      <c r="B623" t="b">
        <v>0</v>
      </c>
      <c r="D623" s="10"/>
      <c r="G623" s="10"/>
      <c r="H623" s="10"/>
      <c r="I623" s="9"/>
      <c r="J623" s="10"/>
      <c r="L623" s="10"/>
      <c r="M623" s="10"/>
      <c r="N623" s="10"/>
      <c r="O623" s="8"/>
      <c r="P623" s="10"/>
    </row>
    <row r="624" spans="1:16" x14ac:dyDescent="0.45">
      <c r="A624" s="9"/>
      <c r="B624" t="b">
        <v>0</v>
      </c>
      <c r="D624" s="10"/>
      <c r="G624" s="10"/>
      <c r="H624" s="10"/>
      <c r="I624" s="9"/>
      <c r="J624" s="10"/>
      <c r="L624" s="10"/>
      <c r="M624" s="10"/>
      <c r="N624" s="10"/>
      <c r="O624" s="8"/>
      <c r="P624" s="10"/>
    </row>
    <row r="625" spans="1:16" x14ac:dyDescent="0.45">
      <c r="A625" s="9"/>
      <c r="B625" t="b">
        <v>0</v>
      </c>
      <c r="D625" s="10"/>
      <c r="G625" s="10"/>
      <c r="H625" s="10"/>
      <c r="I625" s="9"/>
      <c r="J625" s="10"/>
      <c r="L625" s="10"/>
      <c r="M625" s="10"/>
      <c r="N625" s="10"/>
      <c r="O625" s="8"/>
      <c r="P625" s="10"/>
    </row>
    <row r="626" spans="1:16" x14ac:dyDescent="0.45">
      <c r="A626" s="9"/>
      <c r="B626" t="b">
        <v>0</v>
      </c>
      <c r="D626" s="10"/>
      <c r="G626" s="10"/>
      <c r="H626" s="10"/>
      <c r="I626" s="9"/>
      <c r="J626" s="10"/>
      <c r="L626" s="10"/>
      <c r="M626" s="10"/>
      <c r="N626" s="10"/>
      <c r="O626" s="8"/>
      <c r="P626" s="10"/>
    </row>
    <row r="627" spans="1:16" x14ac:dyDescent="0.45">
      <c r="A627" s="9"/>
      <c r="B627" t="b">
        <v>0</v>
      </c>
      <c r="D627" s="10"/>
      <c r="G627" s="10"/>
      <c r="H627" s="10"/>
      <c r="I627" s="9"/>
      <c r="J627" s="10"/>
      <c r="L627" s="10"/>
      <c r="M627" s="10"/>
      <c r="N627" s="10"/>
      <c r="O627" s="8"/>
      <c r="P627" s="10"/>
    </row>
    <row r="628" spans="1:16" x14ac:dyDescent="0.45">
      <c r="A628" s="9"/>
      <c r="B628" t="b">
        <v>0</v>
      </c>
      <c r="D628" s="10"/>
      <c r="G628" s="10"/>
      <c r="H628" s="10"/>
      <c r="I628" s="9"/>
      <c r="J628" s="10"/>
      <c r="L628" s="10"/>
      <c r="M628" s="10"/>
      <c r="N628" s="10"/>
      <c r="O628" s="8"/>
      <c r="P628" s="10"/>
    </row>
    <row r="629" spans="1:16" x14ac:dyDescent="0.45">
      <c r="A629" s="9"/>
      <c r="B629" t="b">
        <v>0</v>
      </c>
      <c r="D629" s="10"/>
      <c r="G629" s="10"/>
      <c r="H629" s="10"/>
      <c r="I629" s="9"/>
      <c r="J629" s="10"/>
      <c r="L629" s="10"/>
      <c r="M629" s="10"/>
      <c r="N629" s="10"/>
      <c r="O629" s="8"/>
      <c r="P629" s="10"/>
    </row>
    <row r="630" spans="1:16" x14ac:dyDescent="0.45">
      <c r="A630" s="9"/>
      <c r="B630" t="b">
        <v>0</v>
      </c>
      <c r="D630" s="10"/>
      <c r="G630" s="10"/>
      <c r="H630" s="10"/>
      <c r="I630" s="9"/>
      <c r="J630" s="10"/>
      <c r="L630" s="10"/>
      <c r="M630" s="10"/>
      <c r="N630" s="10"/>
      <c r="O630" s="8"/>
      <c r="P630" s="10"/>
    </row>
    <row r="631" spans="1:16" x14ac:dyDescent="0.45">
      <c r="A631" s="9"/>
      <c r="B631" t="b">
        <v>0</v>
      </c>
      <c r="D631" s="10"/>
      <c r="G631" s="10"/>
      <c r="H631" s="10"/>
      <c r="I631" s="9"/>
      <c r="J631" s="10"/>
      <c r="L631" s="10"/>
      <c r="M631" s="10"/>
      <c r="N631" s="10"/>
      <c r="O631" s="8"/>
      <c r="P631" s="10"/>
    </row>
    <row r="632" spans="1:16" x14ac:dyDescent="0.45">
      <c r="A632" s="9"/>
      <c r="B632" t="b">
        <v>0</v>
      </c>
      <c r="D632" s="10"/>
      <c r="G632" s="10"/>
      <c r="H632" s="10"/>
      <c r="I632" s="9"/>
      <c r="J632" s="10"/>
      <c r="L632" s="10"/>
      <c r="M632" s="10"/>
      <c r="N632" s="10"/>
      <c r="O632" s="8"/>
      <c r="P632" s="10"/>
    </row>
    <row r="633" spans="1:16" x14ac:dyDescent="0.45">
      <c r="A633" s="9"/>
      <c r="B633" t="b">
        <v>0</v>
      </c>
      <c r="D633" s="10"/>
      <c r="G633" s="10"/>
      <c r="H633" s="10"/>
      <c r="I633" s="9"/>
      <c r="J633" s="10"/>
      <c r="L633" s="10"/>
      <c r="M633" s="10"/>
      <c r="N633" s="10"/>
      <c r="O633" s="8"/>
      <c r="P633" s="10"/>
    </row>
    <row r="634" spans="1:16" x14ac:dyDescent="0.45">
      <c r="A634" s="9"/>
      <c r="B634" t="b">
        <v>0</v>
      </c>
      <c r="D634" s="10"/>
      <c r="G634" s="10"/>
      <c r="H634" s="10"/>
      <c r="I634" s="9"/>
      <c r="J634" s="10"/>
      <c r="L634" s="10"/>
      <c r="M634" s="10"/>
      <c r="N634" s="10"/>
      <c r="O634" s="8"/>
      <c r="P634" s="10"/>
    </row>
    <row r="635" spans="1:16" x14ac:dyDescent="0.45">
      <c r="A635" s="9"/>
      <c r="B635" t="b">
        <v>0</v>
      </c>
      <c r="D635" s="10"/>
      <c r="G635" s="10"/>
      <c r="H635" s="10"/>
      <c r="I635" s="9"/>
      <c r="J635" s="10"/>
      <c r="L635" s="10"/>
      <c r="M635" s="10"/>
      <c r="N635" s="10"/>
      <c r="O635" s="8"/>
      <c r="P635" s="10"/>
    </row>
    <row r="636" spans="1:16" x14ac:dyDescent="0.45">
      <c r="A636" s="9"/>
      <c r="B636" t="b">
        <v>0</v>
      </c>
      <c r="D636" s="10"/>
      <c r="G636" s="10"/>
      <c r="H636" s="10"/>
      <c r="I636" s="9"/>
      <c r="J636" s="10"/>
      <c r="L636" s="10"/>
      <c r="M636" s="10"/>
      <c r="N636" s="10"/>
      <c r="O636" s="8"/>
      <c r="P636" s="10"/>
    </row>
    <row r="637" spans="1:16" x14ac:dyDescent="0.45">
      <c r="A637" s="9"/>
      <c r="B637" t="b">
        <v>0</v>
      </c>
      <c r="D637" s="10"/>
      <c r="G637" s="10"/>
      <c r="H637" s="10"/>
      <c r="I637" s="9"/>
      <c r="J637" s="10"/>
      <c r="L637" s="10"/>
      <c r="M637" s="10"/>
      <c r="N637" s="10"/>
      <c r="O637" s="8"/>
      <c r="P637" s="10"/>
    </row>
    <row r="638" spans="1:16" x14ac:dyDescent="0.45">
      <c r="A638" s="9"/>
      <c r="B638" t="b">
        <v>0</v>
      </c>
      <c r="D638" s="10"/>
      <c r="G638" s="10"/>
      <c r="H638" s="10"/>
      <c r="I638" s="9"/>
      <c r="J638" s="10"/>
      <c r="L638" s="10"/>
      <c r="M638" s="10"/>
      <c r="N638" s="10"/>
      <c r="O638" s="8"/>
      <c r="P638" s="10"/>
    </row>
    <row r="639" spans="1:16" x14ac:dyDescent="0.45">
      <c r="A639" s="9"/>
      <c r="B639" t="b">
        <v>0</v>
      </c>
      <c r="D639" s="10"/>
      <c r="G639" s="10"/>
      <c r="H639" s="10"/>
      <c r="I639" s="9"/>
      <c r="J639" s="10"/>
      <c r="L639" s="10"/>
      <c r="M639" s="10"/>
      <c r="N639" s="10"/>
      <c r="O639" s="8"/>
      <c r="P639" s="10"/>
    </row>
    <row r="640" spans="1:16" x14ac:dyDescent="0.45">
      <c r="A640" s="9"/>
      <c r="B640" t="b">
        <v>0</v>
      </c>
      <c r="D640" s="10"/>
      <c r="G640" s="10"/>
      <c r="H640" s="10"/>
      <c r="I640" s="9"/>
      <c r="J640" s="10"/>
      <c r="L640" s="10"/>
      <c r="M640" s="10"/>
      <c r="N640" s="10"/>
      <c r="O640" s="8"/>
      <c r="P640" s="10"/>
    </row>
    <row r="641" spans="1:16" x14ac:dyDescent="0.45">
      <c r="A641" s="9"/>
      <c r="B641" t="b">
        <v>0</v>
      </c>
      <c r="D641" s="10"/>
      <c r="G641" s="10"/>
      <c r="H641" s="10"/>
      <c r="I641" s="9"/>
      <c r="J641" s="10"/>
      <c r="L641" s="10"/>
      <c r="M641" s="10"/>
      <c r="N641" s="10"/>
      <c r="O641" s="8"/>
      <c r="P641" s="10"/>
    </row>
    <row r="642" spans="1:16" x14ac:dyDescent="0.45">
      <c r="A642" s="9"/>
      <c r="B642" t="b">
        <v>0</v>
      </c>
      <c r="D642" s="10"/>
      <c r="G642" s="10"/>
      <c r="H642" s="10"/>
      <c r="I642" s="9"/>
      <c r="J642" s="10"/>
      <c r="L642" s="10"/>
      <c r="M642" s="10"/>
      <c r="N642" s="10"/>
      <c r="O642" s="8"/>
      <c r="P642" s="10"/>
    </row>
    <row r="643" spans="1:16" x14ac:dyDescent="0.45">
      <c r="A643" s="9"/>
      <c r="B643" t="b">
        <v>0</v>
      </c>
      <c r="D643" s="10"/>
      <c r="G643" s="10"/>
      <c r="H643" s="10"/>
      <c r="I643" s="9"/>
      <c r="J643" s="10"/>
      <c r="L643" s="10"/>
      <c r="M643" s="10"/>
      <c r="N643" s="10"/>
      <c r="O643" s="8"/>
      <c r="P643" s="10"/>
    </row>
    <row r="644" spans="1:16" x14ac:dyDescent="0.45">
      <c r="A644" s="9"/>
      <c r="B644" t="b">
        <v>0</v>
      </c>
      <c r="D644" s="10"/>
      <c r="G644" s="10"/>
      <c r="H644" s="10"/>
      <c r="I644" s="9"/>
      <c r="J644" s="10"/>
      <c r="L644" s="10"/>
      <c r="M644" s="10"/>
      <c r="N644" s="10"/>
      <c r="O644" s="8"/>
      <c r="P644" s="10"/>
    </row>
    <row r="645" spans="1:16" x14ac:dyDescent="0.45">
      <c r="A645" s="9"/>
      <c r="B645" t="b">
        <v>0</v>
      </c>
      <c r="D645" s="10"/>
      <c r="G645" s="10"/>
      <c r="H645" s="10"/>
      <c r="I645" s="9"/>
      <c r="J645" s="10"/>
      <c r="L645" s="10"/>
      <c r="M645" s="10"/>
      <c r="N645" s="10"/>
      <c r="O645" s="8"/>
      <c r="P645" s="10"/>
    </row>
    <row r="646" spans="1:16" x14ac:dyDescent="0.45">
      <c r="A646" s="9"/>
      <c r="B646" t="b">
        <v>0</v>
      </c>
      <c r="D646" s="10"/>
      <c r="G646" s="10"/>
      <c r="H646" s="10"/>
      <c r="I646" s="9"/>
      <c r="J646" s="10"/>
      <c r="L646" s="10"/>
      <c r="M646" s="10"/>
      <c r="N646" s="10"/>
      <c r="O646" s="8"/>
      <c r="P646" s="10"/>
    </row>
    <row r="647" spans="1:16" x14ac:dyDescent="0.45">
      <c r="A647" s="9"/>
      <c r="B647" t="b">
        <v>0</v>
      </c>
      <c r="D647" s="10"/>
      <c r="G647" s="10"/>
      <c r="H647" s="10"/>
      <c r="I647" s="9"/>
      <c r="J647" s="10"/>
      <c r="L647" s="10"/>
      <c r="M647" s="10"/>
      <c r="N647" s="10"/>
      <c r="O647" s="8"/>
      <c r="P647" s="10"/>
    </row>
    <row r="648" spans="1:16" x14ac:dyDescent="0.45">
      <c r="A648" s="9"/>
      <c r="B648" t="b">
        <v>0</v>
      </c>
      <c r="D648" s="10"/>
      <c r="G648" s="10"/>
      <c r="H648" s="10"/>
      <c r="I648" s="9"/>
      <c r="J648" s="10"/>
      <c r="L648" s="10"/>
      <c r="M648" s="10"/>
      <c r="N648" s="10"/>
      <c r="O648" s="8"/>
      <c r="P648" s="10"/>
    </row>
    <row r="649" spans="1:16" x14ac:dyDescent="0.45">
      <c r="A649" s="9"/>
      <c r="B649" t="b">
        <v>0</v>
      </c>
      <c r="D649" s="10"/>
      <c r="G649" s="10"/>
      <c r="H649" s="10"/>
      <c r="I649" s="9"/>
      <c r="J649" s="10"/>
      <c r="L649" s="10"/>
      <c r="M649" s="10"/>
      <c r="N649" s="10"/>
      <c r="O649" s="8"/>
      <c r="P649" s="10"/>
    </row>
    <row r="650" spans="1:16" x14ac:dyDescent="0.45">
      <c r="A650" s="9"/>
      <c r="B650" t="b">
        <v>0</v>
      </c>
      <c r="D650" s="10"/>
      <c r="G650" s="10"/>
      <c r="H650" s="10"/>
      <c r="I650" s="9"/>
      <c r="J650" s="10"/>
      <c r="L650" s="10"/>
      <c r="M650" s="10"/>
      <c r="N650" s="10"/>
      <c r="O650" s="8"/>
      <c r="P650" s="10"/>
    </row>
    <row r="651" spans="1:16" x14ac:dyDescent="0.45">
      <c r="A651" s="9"/>
      <c r="B651" t="b">
        <v>0</v>
      </c>
      <c r="D651" s="10"/>
      <c r="G651" s="10"/>
      <c r="H651" s="10"/>
      <c r="I651" s="9"/>
      <c r="J651" s="10"/>
      <c r="L651" s="10"/>
      <c r="M651" s="10"/>
      <c r="N651" s="10"/>
      <c r="O651" s="8"/>
      <c r="P651" s="10"/>
    </row>
    <row r="652" spans="1:16" x14ac:dyDescent="0.45">
      <c r="A652" s="9"/>
      <c r="B652" t="b">
        <v>0</v>
      </c>
      <c r="D652" s="10"/>
      <c r="G652" s="10"/>
      <c r="H652" s="10"/>
      <c r="I652" s="9"/>
      <c r="J652" s="10"/>
      <c r="L652" s="10"/>
      <c r="M652" s="10"/>
      <c r="N652" s="10"/>
      <c r="O652" s="8"/>
      <c r="P652" s="10"/>
    </row>
    <row r="653" spans="1:16" x14ac:dyDescent="0.45">
      <c r="A653" s="9"/>
      <c r="B653" t="b">
        <v>0</v>
      </c>
      <c r="D653" s="10"/>
      <c r="G653" s="10"/>
      <c r="H653" s="10"/>
      <c r="I653" s="9"/>
      <c r="J653" s="10"/>
      <c r="L653" s="10"/>
      <c r="M653" s="10"/>
      <c r="N653" s="10"/>
      <c r="O653" s="8"/>
      <c r="P653" s="10"/>
    </row>
    <row r="654" spans="1:16" x14ac:dyDescent="0.45">
      <c r="A654" s="9"/>
      <c r="B654" t="b">
        <v>0</v>
      </c>
      <c r="D654" s="10"/>
      <c r="G654" s="10"/>
      <c r="H654" s="10"/>
      <c r="I654" s="9"/>
      <c r="J654" s="10"/>
      <c r="L654" s="10"/>
      <c r="M654" s="10"/>
      <c r="N654" s="10"/>
      <c r="O654" s="8"/>
      <c r="P654" s="10"/>
    </row>
    <row r="655" spans="1:16" x14ac:dyDescent="0.45">
      <c r="A655" s="9"/>
      <c r="B655" t="b">
        <v>0</v>
      </c>
      <c r="D655" s="10"/>
      <c r="G655" s="10"/>
      <c r="H655" s="10"/>
      <c r="I655" s="9"/>
      <c r="J655" s="10"/>
      <c r="L655" s="10"/>
      <c r="M655" s="10"/>
      <c r="N655" s="10"/>
      <c r="O655" s="8"/>
      <c r="P655" s="10"/>
    </row>
    <row r="656" spans="1:16" x14ac:dyDescent="0.45">
      <c r="A656" s="9"/>
      <c r="B656" t="b">
        <v>0</v>
      </c>
      <c r="D656" s="10"/>
      <c r="G656" s="10"/>
      <c r="H656" s="10"/>
      <c r="I656" s="9"/>
      <c r="J656" s="10"/>
      <c r="L656" s="10"/>
      <c r="M656" s="10"/>
      <c r="N656" s="10"/>
      <c r="O656" s="8"/>
      <c r="P656" s="10"/>
    </row>
    <row r="657" spans="1:16" x14ac:dyDescent="0.45">
      <c r="A657" s="9"/>
      <c r="B657" t="b">
        <v>0</v>
      </c>
      <c r="D657" s="10"/>
      <c r="G657" s="10"/>
      <c r="H657" s="10"/>
      <c r="I657" s="9"/>
      <c r="J657" s="10"/>
      <c r="L657" s="10"/>
      <c r="M657" s="10"/>
      <c r="N657" s="10"/>
      <c r="O657" s="8"/>
      <c r="P657" s="10"/>
    </row>
    <row r="658" spans="1:16" x14ac:dyDescent="0.45">
      <c r="A658" s="9"/>
      <c r="B658" t="b">
        <v>0</v>
      </c>
      <c r="D658" s="10"/>
      <c r="G658" s="10"/>
      <c r="H658" s="10"/>
      <c r="I658" s="9"/>
      <c r="J658" s="10"/>
      <c r="L658" s="10"/>
      <c r="M658" s="10"/>
      <c r="N658" s="10"/>
      <c r="O658" s="8"/>
      <c r="P658" s="10"/>
    </row>
    <row r="659" spans="1:16" x14ac:dyDescent="0.45">
      <c r="A659" s="9"/>
      <c r="B659" t="b">
        <v>0</v>
      </c>
      <c r="D659" s="10"/>
      <c r="G659" s="10"/>
      <c r="H659" s="10"/>
      <c r="I659" s="9"/>
      <c r="J659" s="10"/>
      <c r="L659" s="10"/>
      <c r="M659" s="10"/>
      <c r="N659" s="10"/>
      <c r="O659" s="8"/>
      <c r="P659" s="10"/>
    </row>
    <row r="660" spans="1:16" x14ac:dyDescent="0.45">
      <c r="A660" s="9"/>
      <c r="B660" t="b">
        <v>0</v>
      </c>
      <c r="D660" s="10"/>
      <c r="G660" s="10"/>
      <c r="H660" s="10"/>
      <c r="I660" s="9"/>
      <c r="J660" s="10"/>
      <c r="L660" s="10"/>
      <c r="M660" s="10"/>
      <c r="N660" s="10"/>
      <c r="O660" s="8"/>
      <c r="P660" s="10"/>
    </row>
    <row r="661" spans="1:16" x14ac:dyDescent="0.45">
      <c r="A661" s="9"/>
      <c r="B661" t="b">
        <v>0</v>
      </c>
      <c r="D661" s="10"/>
      <c r="G661" s="10"/>
      <c r="H661" s="10"/>
      <c r="I661" s="9"/>
      <c r="J661" s="10"/>
      <c r="L661" s="10"/>
      <c r="M661" s="10"/>
      <c r="N661" s="10"/>
      <c r="O661" s="8"/>
      <c r="P661" s="10"/>
    </row>
    <row r="662" spans="1:16" x14ac:dyDescent="0.45">
      <c r="A662" s="9"/>
      <c r="B662" t="b">
        <v>0</v>
      </c>
      <c r="D662" s="10"/>
      <c r="G662" s="10"/>
      <c r="H662" s="10"/>
      <c r="I662" s="9"/>
      <c r="J662" s="10"/>
      <c r="L662" s="10"/>
      <c r="M662" s="10"/>
      <c r="N662" s="10"/>
      <c r="O662" s="8"/>
      <c r="P662" s="10"/>
    </row>
    <row r="663" spans="1:16" x14ac:dyDescent="0.45">
      <c r="A663" s="9"/>
      <c r="B663" t="b">
        <v>0</v>
      </c>
      <c r="D663" s="10"/>
      <c r="G663" s="10"/>
      <c r="H663" s="10"/>
      <c r="I663" s="9"/>
      <c r="J663" s="10"/>
      <c r="L663" s="10"/>
      <c r="M663" s="10"/>
      <c r="N663" s="10"/>
      <c r="O663" s="8"/>
      <c r="P663" s="10"/>
    </row>
    <row r="664" spans="1:16" x14ac:dyDescent="0.45">
      <c r="A664" s="9"/>
      <c r="B664" t="b">
        <v>0</v>
      </c>
      <c r="D664" s="10"/>
      <c r="G664" s="10"/>
      <c r="H664" s="10"/>
      <c r="I664" s="9"/>
      <c r="J664" s="10"/>
      <c r="L664" s="10"/>
      <c r="M664" s="10"/>
      <c r="N664" s="10"/>
      <c r="O664" s="8"/>
      <c r="P664" s="10"/>
    </row>
    <row r="665" spans="1:16" x14ac:dyDescent="0.45">
      <c r="A665" s="9"/>
      <c r="B665" t="b">
        <v>0</v>
      </c>
      <c r="D665" s="10"/>
      <c r="G665" s="10"/>
      <c r="H665" s="10"/>
      <c r="I665" s="9"/>
      <c r="J665" s="10"/>
      <c r="L665" s="10"/>
      <c r="M665" s="10"/>
      <c r="N665" s="10"/>
      <c r="O665" s="8"/>
      <c r="P665" s="10"/>
    </row>
    <row r="666" spans="1:16" x14ac:dyDescent="0.45">
      <c r="A666" s="9"/>
      <c r="B666" t="b">
        <v>0</v>
      </c>
      <c r="D666" s="10"/>
      <c r="G666" s="10"/>
      <c r="H666" s="10"/>
      <c r="I666" s="9"/>
      <c r="J666" s="10"/>
      <c r="L666" s="10"/>
      <c r="M666" s="10"/>
      <c r="N666" s="10"/>
      <c r="O666" s="8"/>
      <c r="P666" s="10"/>
    </row>
    <row r="667" spans="1:16" x14ac:dyDescent="0.45">
      <c r="A667" s="9"/>
      <c r="B667" t="b">
        <v>0</v>
      </c>
      <c r="D667" s="10"/>
      <c r="G667" s="10"/>
      <c r="H667" s="10"/>
      <c r="I667" s="9"/>
      <c r="J667" s="10"/>
      <c r="L667" s="10"/>
      <c r="M667" s="10"/>
      <c r="N667" s="10"/>
      <c r="O667" s="8"/>
      <c r="P667" s="10"/>
    </row>
    <row r="668" spans="1:16" x14ac:dyDescent="0.45">
      <c r="A668" s="9"/>
      <c r="B668" t="b">
        <v>0</v>
      </c>
      <c r="D668" s="10"/>
      <c r="G668" s="10"/>
      <c r="H668" s="10"/>
      <c r="I668" s="9"/>
      <c r="J668" s="10"/>
      <c r="L668" s="10"/>
      <c r="M668" s="10"/>
      <c r="N668" s="10"/>
      <c r="O668" s="8"/>
      <c r="P668" s="10"/>
    </row>
    <row r="669" spans="1:16" x14ac:dyDescent="0.45">
      <c r="A669" s="9"/>
      <c r="B669" t="b">
        <v>0</v>
      </c>
      <c r="D669" s="10"/>
      <c r="G669" s="10"/>
      <c r="H669" s="10"/>
      <c r="I669" s="9"/>
      <c r="J669" s="10"/>
      <c r="L669" s="10"/>
      <c r="M669" s="10"/>
      <c r="N669" s="10"/>
      <c r="O669" s="8"/>
      <c r="P669" s="10"/>
    </row>
    <row r="670" spans="1:16" x14ac:dyDescent="0.45">
      <c r="A670" s="9"/>
      <c r="B670" t="b">
        <v>0</v>
      </c>
      <c r="D670" s="10"/>
      <c r="G670" s="10"/>
      <c r="H670" s="10"/>
      <c r="I670" s="9"/>
      <c r="J670" s="10"/>
      <c r="L670" s="10"/>
      <c r="M670" s="10"/>
      <c r="N670" s="10"/>
      <c r="O670" s="8"/>
      <c r="P670" s="10"/>
    </row>
    <row r="671" spans="1:16" x14ac:dyDescent="0.45">
      <c r="A671" s="9"/>
      <c r="B671" t="b">
        <v>0</v>
      </c>
      <c r="D671" s="10"/>
      <c r="G671" s="10"/>
      <c r="H671" s="10"/>
      <c r="I671" s="9"/>
      <c r="J671" s="10"/>
      <c r="L671" s="10"/>
      <c r="M671" s="10"/>
      <c r="N671" s="10"/>
      <c r="O671" s="8"/>
      <c r="P671" s="10"/>
    </row>
    <row r="672" spans="1:16" x14ac:dyDescent="0.45">
      <c r="A672" s="9"/>
      <c r="B672" t="b">
        <v>0</v>
      </c>
      <c r="D672" s="10"/>
      <c r="G672" s="10"/>
      <c r="H672" s="10"/>
      <c r="I672" s="9"/>
      <c r="J672" s="10"/>
      <c r="L672" s="10"/>
      <c r="M672" s="10"/>
      <c r="N672" s="10"/>
      <c r="O672" s="8"/>
      <c r="P672" s="10"/>
    </row>
    <row r="673" spans="1:16" x14ac:dyDescent="0.45">
      <c r="A673" s="9"/>
      <c r="B673" t="b">
        <v>0</v>
      </c>
      <c r="D673" s="10"/>
      <c r="G673" s="10"/>
      <c r="H673" s="10"/>
      <c r="I673" s="9"/>
      <c r="J673" s="10"/>
      <c r="L673" s="10"/>
      <c r="M673" s="10"/>
      <c r="N673" s="10"/>
      <c r="O673" s="8"/>
      <c r="P673" s="10"/>
    </row>
    <row r="674" spans="1:16" x14ac:dyDescent="0.45">
      <c r="A674" s="9"/>
      <c r="B674" t="b">
        <v>0</v>
      </c>
      <c r="D674" s="10"/>
      <c r="G674" s="10"/>
      <c r="H674" s="10"/>
      <c r="I674" s="9"/>
      <c r="J674" s="10"/>
      <c r="L674" s="10"/>
      <c r="M674" s="10"/>
      <c r="N674" s="10"/>
      <c r="O674" s="8"/>
      <c r="P674" s="10"/>
    </row>
    <row r="675" spans="1:16" x14ac:dyDescent="0.45">
      <c r="A675" s="9"/>
      <c r="B675" t="b">
        <v>0</v>
      </c>
      <c r="D675" s="10"/>
      <c r="G675" s="10"/>
      <c r="H675" s="10"/>
      <c r="I675" s="9"/>
      <c r="J675" s="10"/>
      <c r="L675" s="10"/>
      <c r="M675" s="10"/>
      <c r="N675" s="10"/>
      <c r="O675" s="8"/>
      <c r="P675" s="10"/>
    </row>
    <row r="676" spans="1:16" x14ac:dyDescent="0.45">
      <c r="A676" s="9"/>
      <c r="B676" t="b">
        <v>0</v>
      </c>
      <c r="D676" s="10"/>
      <c r="G676" s="10"/>
      <c r="H676" s="10"/>
      <c r="I676" s="9"/>
      <c r="J676" s="10"/>
      <c r="L676" s="10"/>
      <c r="M676" s="10"/>
      <c r="N676" s="10"/>
      <c r="O676" s="8"/>
      <c r="P676" s="10"/>
    </row>
    <row r="677" spans="1:16" x14ac:dyDescent="0.45">
      <c r="A677" s="9"/>
      <c r="B677" t="b">
        <v>0</v>
      </c>
      <c r="D677" s="10"/>
      <c r="G677" s="10"/>
      <c r="H677" s="10"/>
      <c r="I677" s="9"/>
      <c r="J677" s="10"/>
      <c r="L677" s="10"/>
      <c r="M677" s="10"/>
      <c r="N677" s="10"/>
      <c r="O677" s="8"/>
      <c r="P677" s="10"/>
    </row>
    <row r="678" spans="1:16" x14ac:dyDescent="0.45">
      <c r="A678" s="9"/>
      <c r="B678" t="b">
        <v>0</v>
      </c>
      <c r="D678" s="10"/>
      <c r="G678" s="10"/>
      <c r="H678" s="10"/>
      <c r="I678" s="9"/>
      <c r="J678" s="10"/>
      <c r="L678" s="10"/>
      <c r="M678" s="10"/>
      <c r="N678" s="10"/>
      <c r="O678" s="8"/>
      <c r="P678" s="10"/>
    </row>
    <row r="679" spans="1:16" x14ac:dyDescent="0.45">
      <c r="A679" s="9"/>
      <c r="B679" t="b">
        <v>0</v>
      </c>
      <c r="D679" s="10"/>
      <c r="G679" s="10"/>
      <c r="H679" s="10"/>
      <c r="I679" s="9"/>
      <c r="J679" s="10"/>
      <c r="L679" s="10"/>
      <c r="M679" s="10"/>
      <c r="N679" s="10"/>
      <c r="O679" s="8"/>
      <c r="P679" s="10"/>
    </row>
    <row r="680" spans="1:16" x14ac:dyDescent="0.45">
      <c r="A680" s="9"/>
      <c r="B680" t="b">
        <v>0</v>
      </c>
      <c r="D680" s="10"/>
      <c r="G680" s="10"/>
      <c r="H680" s="10"/>
      <c r="I680" s="9"/>
      <c r="J680" s="10"/>
      <c r="L680" s="10"/>
      <c r="M680" s="10"/>
      <c r="N680" s="10"/>
      <c r="O680" s="8"/>
      <c r="P680" s="10"/>
    </row>
    <row r="681" spans="1:16" x14ac:dyDescent="0.45">
      <c r="A681" s="9"/>
      <c r="B681" t="b">
        <v>0</v>
      </c>
      <c r="D681" s="10"/>
      <c r="G681" s="10"/>
      <c r="H681" s="10"/>
      <c r="I681" s="9"/>
      <c r="J681" s="10"/>
      <c r="L681" s="10"/>
      <c r="M681" s="10"/>
      <c r="N681" s="10"/>
      <c r="O681" s="8"/>
      <c r="P681" s="10"/>
    </row>
    <row r="682" spans="1:16" x14ac:dyDescent="0.45">
      <c r="A682" s="9"/>
      <c r="B682" t="b">
        <v>0</v>
      </c>
      <c r="D682" s="10"/>
      <c r="G682" s="10"/>
      <c r="H682" s="10"/>
      <c r="I682" s="9"/>
      <c r="J682" s="10"/>
      <c r="L682" s="10"/>
      <c r="M682" s="10"/>
      <c r="N682" s="10"/>
      <c r="O682" s="8"/>
      <c r="P682" s="10"/>
    </row>
    <row r="683" spans="1:16" x14ac:dyDescent="0.45">
      <c r="A683" s="9"/>
      <c r="B683" t="b">
        <v>0</v>
      </c>
      <c r="D683" s="10"/>
      <c r="G683" s="10"/>
      <c r="H683" s="10"/>
      <c r="I683" s="9"/>
      <c r="J683" s="10"/>
      <c r="L683" s="10"/>
      <c r="M683" s="10"/>
      <c r="N683" s="10"/>
      <c r="O683" s="8"/>
      <c r="P683" s="10"/>
    </row>
    <row r="684" spans="1:16" x14ac:dyDescent="0.45">
      <c r="A684" s="9"/>
      <c r="B684" t="b">
        <v>0</v>
      </c>
      <c r="D684" s="10"/>
      <c r="G684" s="10"/>
      <c r="H684" s="10"/>
      <c r="I684" s="9"/>
      <c r="J684" s="10"/>
      <c r="L684" s="10"/>
      <c r="M684" s="10"/>
      <c r="N684" s="10"/>
      <c r="O684" s="8"/>
      <c r="P684" s="10"/>
    </row>
    <row r="685" spans="1:16" x14ac:dyDescent="0.45">
      <c r="A685" s="9"/>
      <c r="B685" t="b">
        <v>0</v>
      </c>
      <c r="D685" s="10"/>
      <c r="G685" s="10"/>
      <c r="H685" s="10"/>
      <c r="I685" s="9"/>
      <c r="J685" s="10"/>
      <c r="L685" s="10"/>
      <c r="M685" s="10"/>
      <c r="N685" s="10"/>
      <c r="O685" s="8"/>
      <c r="P685" s="10"/>
    </row>
    <row r="686" spans="1:16" x14ac:dyDescent="0.45">
      <c r="A686" s="9"/>
      <c r="B686" t="b">
        <v>0</v>
      </c>
      <c r="D686" s="10"/>
      <c r="G686" s="10"/>
      <c r="H686" s="10"/>
      <c r="I686" s="9"/>
      <c r="J686" s="10"/>
      <c r="L686" s="10"/>
      <c r="M686" s="10"/>
      <c r="N686" s="10"/>
      <c r="O686" s="8"/>
      <c r="P686" s="10"/>
    </row>
    <row r="687" spans="1:16" x14ac:dyDescent="0.45">
      <c r="A687" s="9"/>
      <c r="B687" t="b">
        <v>0</v>
      </c>
      <c r="D687" s="10"/>
      <c r="G687" s="10"/>
      <c r="H687" s="10"/>
      <c r="I687" s="9"/>
      <c r="J687" s="10"/>
      <c r="L687" s="10"/>
      <c r="M687" s="10"/>
      <c r="N687" s="10"/>
      <c r="O687" s="8"/>
      <c r="P687" s="10"/>
    </row>
    <row r="688" spans="1:16" x14ac:dyDescent="0.45">
      <c r="A688" s="9"/>
      <c r="B688" t="b">
        <v>0</v>
      </c>
      <c r="D688" s="10"/>
      <c r="G688" s="10"/>
      <c r="H688" s="10"/>
      <c r="I688" s="9"/>
      <c r="J688" s="10"/>
      <c r="L688" s="10"/>
      <c r="M688" s="10"/>
      <c r="N688" s="10"/>
      <c r="O688" s="8"/>
      <c r="P688" s="10"/>
    </row>
    <row r="689" spans="1:16" x14ac:dyDescent="0.45">
      <c r="A689" s="9"/>
      <c r="B689" t="b">
        <v>0</v>
      </c>
      <c r="D689" s="10"/>
      <c r="G689" s="10"/>
      <c r="H689" s="10"/>
      <c r="I689" s="9"/>
      <c r="J689" s="10"/>
      <c r="L689" s="10"/>
      <c r="M689" s="10"/>
      <c r="N689" s="10"/>
      <c r="O689" s="8"/>
      <c r="P689" s="10"/>
    </row>
    <row r="690" spans="1:16" x14ac:dyDescent="0.45">
      <c r="A690" s="9"/>
      <c r="B690" t="b">
        <v>0</v>
      </c>
      <c r="D690" s="10"/>
      <c r="G690" s="10"/>
      <c r="H690" s="10"/>
      <c r="I690" s="9"/>
      <c r="J690" s="10"/>
      <c r="L690" s="10"/>
      <c r="M690" s="10"/>
      <c r="N690" s="10"/>
      <c r="O690" s="8"/>
      <c r="P690" s="10"/>
    </row>
    <row r="691" spans="1:16" x14ac:dyDescent="0.45">
      <c r="A691" s="9"/>
      <c r="B691" t="b">
        <v>0</v>
      </c>
      <c r="D691" s="10"/>
      <c r="G691" s="10"/>
      <c r="H691" s="10"/>
      <c r="I691" s="9"/>
      <c r="J691" s="10"/>
      <c r="L691" s="10"/>
      <c r="M691" s="10"/>
      <c r="N691" s="10"/>
      <c r="O691" s="8"/>
      <c r="P691" s="10"/>
    </row>
    <row r="692" spans="1:16" x14ac:dyDescent="0.45">
      <c r="A692" s="9"/>
      <c r="B692" t="b">
        <v>0</v>
      </c>
      <c r="D692" s="10"/>
      <c r="G692" s="10"/>
      <c r="H692" s="10"/>
      <c r="I692" s="9"/>
      <c r="J692" s="10"/>
      <c r="L692" s="10"/>
      <c r="M692" s="10"/>
      <c r="N692" s="10"/>
      <c r="O692" s="8"/>
      <c r="P692" s="10"/>
    </row>
    <row r="693" spans="1:16" x14ac:dyDescent="0.45">
      <c r="A693" s="9"/>
      <c r="B693" t="b">
        <v>0</v>
      </c>
      <c r="D693" s="10"/>
      <c r="G693" s="10"/>
      <c r="H693" s="10"/>
      <c r="I693" s="9"/>
      <c r="J693" s="10"/>
      <c r="L693" s="10"/>
      <c r="M693" s="10"/>
      <c r="N693" s="10"/>
      <c r="O693" s="8"/>
      <c r="P693" s="10"/>
    </row>
    <row r="694" spans="1:16" x14ac:dyDescent="0.45">
      <c r="A694" s="9"/>
      <c r="B694" t="b">
        <v>0</v>
      </c>
      <c r="D694" s="10"/>
      <c r="G694" s="10"/>
      <c r="H694" s="10"/>
      <c r="I694" s="9"/>
      <c r="J694" s="10"/>
      <c r="L694" s="10"/>
      <c r="M694" s="10"/>
      <c r="N694" s="10"/>
      <c r="O694" s="8"/>
      <c r="P694" s="10"/>
    </row>
    <row r="695" spans="1:16" x14ac:dyDescent="0.45">
      <c r="A695" s="9"/>
      <c r="B695" t="b">
        <v>0</v>
      </c>
      <c r="D695" s="10"/>
      <c r="G695" s="10"/>
      <c r="H695" s="10"/>
      <c r="I695" s="9"/>
      <c r="J695" s="10"/>
      <c r="L695" s="10"/>
      <c r="M695" s="10"/>
      <c r="N695" s="10"/>
      <c r="O695" s="8"/>
      <c r="P695" s="10"/>
    </row>
    <row r="696" spans="1:16" x14ac:dyDescent="0.45">
      <c r="A696" s="9"/>
      <c r="B696" t="b">
        <v>0</v>
      </c>
      <c r="D696" s="10"/>
      <c r="G696" s="10"/>
      <c r="H696" s="10"/>
      <c r="I696" s="9"/>
      <c r="J696" s="10"/>
      <c r="L696" s="10"/>
      <c r="M696" s="10"/>
      <c r="N696" s="10"/>
      <c r="O696" s="8"/>
      <c r="P696" s="10"/>
    </row>
    <row r="697" spans="1:16" x14ac:dyDescent="0.45">
      <c r="A697" s="9"/>
      <c r="B697" t="b">
        <v>0</v>
      </c>
      <c r="D697" s="10"/>
      <c r="G697" s="10"/>
      <c r="H697" s="10"/>
      <c r="I697" s="9"/>
      <c r="J697" s="10"/>
      <c r="L697" s="10"/>
      <c r="M697" s="10"/>
      <c r="N697" s="10"/>
      <c r="O697" s="8"/>
      <c r="P697" s="10"/>
    </row>
    <row r="698" spans="1:16" x14ac:dyDescent="0.45">
      <c r="A698" s="9"/>
      <c r="B698" t="b">
        <v>0</v>
      </c>
      <c r="D698" s="10"/>
      <c r="G698" s="10"/>
      <c r="H698" s="10"/>
      <c r="I698" s="9"/>
      <c r="J698" s="10"/>
      <c r="L698" s="10"/>
      <c r="M698" s="10"/>
      <c r="N698" s="10"/>
      <c r="O698" s="8"/>
      <c r="P698" s="10"/>
    </row>
    <row r="699" spans="1:16" x14ac:dyDescent="0.45">
      <c r="A699" s="9"/>
      <c r="B699" t="b">
        <v>0</v>
      </c>
      <c r="D699" s="10"/>
      <c r="G699" s="10"/>
      <c r="H699" s="10"/>
      <c r="I699" s="9"/>
      <c r="J699" s="10"/>
      <c r="L699" s="10"/>
      <c r="M699" s="10"/>
      <c r="N699" s="10"/>
      <c r="O699" s="8"/>
      <c r="P699" s="10"/>
    </row>
    <row r="700" spans="1:16" x14ac:dyDescent="0.45">
      <c r="A700" s="9"/>
      <c r="B700" t="b">
        <v>0</v>
      </c>
      <c r="D700" s="10"/>
      <c r="G700" s="10"/>
      <c r="H700" s="10"/>
      <c r="I700" s="9"/>
      <c r="J700" s="10"/>
      <c r="L700" s="10"/>
      <c r="M700" s="10"/>
      <c r="N700" s="10"/>
      <c r="O700" s="8"/>
      <c r="P700" s="10"/>
    </row>
    <row r="701" spans="1:16" x14ac:dyDescent="0.45">
      <c r="A701" s="9"/>
      <c r="B701" t="b">
        <v>0</v>
      </c>
      <c r="D701" s="10"/>
      <c r="G701" s="10"/>
      <c r="H701" s="10"/>
      <c r="I701" s="9"/>
      <c r="J701" s="10"/>
      <c r="L701" s="10"/>
      <c r="M701" s="10"/>
      <c r="N701" s="10"/>
      <c r="O701" s="8"/>
      <c r="P701" s="10"/>
    </row>
    <row r="702" spans="1:16" x14ac:dyDescent="0.45">
      <c r="A702" s="9"/>
      <c r="B702" t="b">
        <v>0</v>
      </c>
      <c r="D702" s="10"/>
      <c r="G702" s="10"/>
      <c r="H702" s="10"/>
      <c r="I702" s="9"/>
      <c r="J702" s="10"/>
      <c r="L702" s="10"/>
      <c r="M702" s="10"/>
      <c r="N702" s="10"/>
      <c r="O702" s="8"/>
      <c r="P702" s="10"/>
    </row>
    <row r="703" spans="1:16" x14ac:dyDescent="0.45">
      <c r="A703" s="9"/>
      <c r="B703" t="b">
        <v>0</v>
      </c>
      <c r="D703" s="10"/>
      <c r="G703" s="10"/>
      <c r="H703" s="10"/>
      <c r="I703" s="9"/>
      <c r="J703" s="10"/>
      <c r="L703" s="10"/>
      <c r="M703" s="10"/>
      <c r="N703" s="10"/>
      <c r="O703" s="8"/>
      <c r="P703" s="10"/>
    </row>
    <row r="704" spans="1:16" x14ac:dyDescent="0.45">
      <c r="A704" s="9"/>
      <c r="B704" t="b">
        <v>0</v>
      </c>
      <c r="D704" s="10"/>
      <c r="G704" s="10"/>
      <c r="H704" s="10"/>
      <c r="I704" s="9"/>
      <c r="J704" s="10"/>
      <c r="L704" s="10"/>
      <c r="M704" s="10"/>
      <c r="N704" s="10"/>
      <c r="O704" s="8"/>
      <c r="P704" s="10"/>
    </row>
    <row r="705" spans="1:16" x14ac:dyDescent="0.45">
      <c r="A705" s="9"/>
      <c r="B705" t="b">
        <v>0</v>
      </c>
      <c r="D705" s="10"/>
      <c r="G705" s="10"/>
      <c r="H705" s="10"/>
      <c r="I705" s="9"/>
      <c r="J705" s="10"/>
      <c r="L705" s="10"/>
      <c r="M705" s="10"/>
      <c r="N705" s="10"/>
      <c r="O705" s="8"/>
      <c r="P705" s="10"/>
    </row>
    <row r="706" spans="1:16" x14ac:dyDescent="0.45">
      <c r="A706" s="9"/>
      <c r="B706" t="b">
        <v>0</v>
      </c>
      <c r="D706" s="10"/>
      <c r="G706" s="10"/>
      <c r="H706" s="10"/>
      <c r="I706" s="9"/>
      <c r="J706" s="10"/>
      <c r="L706" s="10"/>
      <c r="M706" s="10"/>
      <c r="N706" s="10"/>
      <c r="O706" s="8"/>
      <c r="P706" s="10"/>
    </row>
    <row r="707" spans="1:16" x14ac:dyDescent="0.45">
      <c r="A707" s="9"/>
      <c r="B707" t="b">
        <v>0</v>
      </c>
      <c r="D707" s="10"/>
      <c r="G707" s="10"/>
      <c r="H707" s="10"/>
      <c r="I707" s="9"/>
      <c r="J707" s="10"/>
      <c r="L707" s="10"/>
      <c r="M707" s="10"/>
      <c r="N707" s="10"/>
      <c r="O707" s="8"/>
      <c r="P707" s="10"/>
    </row>
    <row r="708" spans="1:16" x14ac:dyDescent="0.45">
      <c r="A708" s="9"/>
      <c r="B708" t="b">
        <v>0</v>
      </c>
      <c r="D708" s="10"/>
      <c r="G708" s="10"/>
      <c r="H708" s="10"/>
      <c r="I708" s="9"/>
      <c r="J708" s="10"/>
      <c r="L708" s="10"/>
      <c r="M708" s="10"/>
      <c r="N708" s="10"/>
      <c r="O708" s="8"/>
      <c r="P708" s="10"/>
    </row>
    <row r="709" spans="1:16" x14ac:dyDescent="0.45">
      <c r="A709" s="9"/>
      <c r="B709" t="b">
        <v>0</v>
      </c>
      <c r="D709" s="10"/>
      <c r="G709" s="10"/>
      <c r="H709" s="10"/>
      <c r="I709" s="9"/>
      <c r="J709" s="10"/>
      <c r="L709" s="10"/>
      <c r="M709" s="10"/>
      <c r="N709" s="10"/>
      <c r="O709" s="8"/>
      <c r="P709" s="10"/>
    </row>
    <row r="710" spans="1:16" x14ac:dyDescent="0.45">
      <c r="A710" s="9"/>
      <c r="B710" t="b">
        <v>0</v>
      </c>
      <c r="D710" s="10"/>
      <c r="G710" s="10"/>
      <c r="H710" s="10"/>
      <c r="I710" s="9"/>
      <c r="J710" s="10"/>
      <c r="L710" s="10"/>
      <c r="M710" s="10"/>
      <c r="N710" s="10"/>
      <c r="O710" s="8"/>
      <c r="P710" s="10"/>
    </row>
    <row r="711" spans="1:16" x14ac:dyDescent="0.45">
      <c r="A711" s="9"/>
      <c r="B711" t="b">
        <v>0</v>
      </c>
      <c r="D711" s="10"/>
      <c r="G711" s="10"/>
      <c r="H711" s="10"/>
      <c r="I711" s="9"/>
      <c r="J711" s="10"/>
      <c r="L711" s="10"/>
      <c r="M711" s="10"/>
      <c r="N711" s="10"/>
      <c r="O711" s="8"/>
      <c r="P711" s="10"/>
    </row>
    <row r="712" spans="1:16" x14ac:dyDescent="0.45">
      <c r="A712" s="9"/>
      <c r="B712" t="b">
        <v>0</v>
      </c>
      <c r="D712" s="10"/>
      <c r="G712" s="10"/>
      <c r="H712" s="10"/>
      <c r="I712" s="9"/>
      <c r="J712" s="10"/>
      <c r="L712" s="10"/>
      <c r="M712" s="10"/>
      <c r="N712" s="10"/>
      <c r="O712" s="8"/>
      <c r="P712" s="10"/>
    </row>
    <row r="713" spans="1:16" x14ac:dyDescent="0.45">
      <c r="A713" s="9"/>
      <c r="B713" t="b">
        <v>0</v>
      </c>
      <c r="D713" s="10"/>
      <c r="G713" s="10"/>
      <c r="H713" s="10"/>
      <c r="I713" s="9"/>
      <c r="J713" s="10"/>
      <c r="L713" s="10"/>
      <c r="M713" s="10"/>
      <c r="N713" s="10"/>
      <c r="O713" s="8"/>
      <c r="P713" s="10"/>
    </row>
    <row r="714" spans="1:16" x14ac:dyDescent="0.45">
      <c r="A714" s="9"/>
      <c r="B714" t="b">
        <v>0</v>
      </c>
      <c r="D714" s="10"/>
      <c r="G714" s="10"/>
      <c r="H714" s="10"/>
      <c r="I714" s="9"/>
      <c r="J714" s="10"/>
      <c r="L714" s="10"/>
      <c r="M714" s="10"/>
      <c r="N714" s="10"/>
      <c r="O714" s="8"/>
      <c r="P714" s="10"/>
    </row>
    <row r="715" spans="1:16" x14ac:dyDescent="0.45">
      <c r="A715" s="9"/>
      <c r="B715" t="b">
        <v>0</v>
      </c>
      <c r="D715" s="10"/>
      <c r="G715" s="10"/>
      <c r="H715" s="10"/>
      <c r="I715" s="9"/>
      <c r="J715" s="10"/>
      <c r="L715" s="10"/>
      <c r="M715" s="10"/>
      <c r="N715" s="10"/>
      <c r="O715" s="8"/>
      <c r="P715" s="10"/>
    </row>
    <row r="716" spans="1:16" x14ac:dyDescent="0.45">
      <c r="A716" s="9"/>
      <c r="B716" t="b">
        <v>0</v>
      </c>
      <c r="D716" s="10"/>
      <c r="G716" s="10"/>
      <c r="H716" s="10"/>
      <c r="I716" s="9"/>
      <c r="J716" s="10"/>
      <c r="L716" s="10"/>
      <c r="M716" s="10"/>
      <c r="N716" s="10"/>
      <c r="O716" s="8"/>
      <c r="P716" s="10"/>
    </row>
    <row r="717" spans="1:16" x14ac:dyDescent="0.45">
      <c r="A717" s="9"/>
      <c r="B717" t="b">
        <v>0</v>
      </c>
      <c r="D717" s="10"/>
      <c r="G717" s="10"/>
      <c r="H717" s="10"/>
      <c r="I717" s="9"/>
      <c r="J717" s="10"/>
      <c r="L717" s="10"/>
      <c r="M717" s="10"/>
      <c r="N717" s="10"/>
      <c r="O717" s="8"/>
      <c r="P717" s="10"/>
    </row>
    <row r="718" spans="1:16" x14ac:dyDescent="0.45">
      <c r="A718" s="9"/>
      <c r="B718" t="b">
        <v>0</v>
      </c>
      <c r="D718" s="10"/>
      <c r="G718" s="10"/>
      <c r="H718" s="10"/>
      <c r="I718" s="9"/>
      <c r="J718" s="10"/>
      <c r="L718" s="10"/>
      <c r="M718" s="10"/>
      <c r="N718" s="10"/>
      <c r="O718" s="8"/>
      <c r="P718" s="10"/>
    </row>
    <row r="719" spans="1:16" x14ac:dyDescent="0.45">
      <c r="A719" s="9"/>
      <c r="B719" t="b">
        <v>0</v>
      </c>
      <c r="D719" s="10"/>
      <c r="G719" s="10"/>
      <c r="H719" s="10"/>
      <c r="I719" s="9"/>
      <c r="J719" s="10"/>
      <c r="L719" s="10"/>
      <c r="M719" s="10"/>
      <c r="N719" s="10"/>
      <c r="O719" s="8"/>
      <c r="P719" s="10"/>
    </row>
    <row r="720" spans="1:16" x14ac:dyDescent="0.45">
      <c r="A720" s="9"/>
      <c r="B720" t="b">
        <v>0</v>
      </c>
      <c r="D720" s="10"/>
      <c r="G720" s="10"/>
      <c r="H720" s="10"/>
      <c r="I720" s="9"/>
      <c r="J720" s="10"/>
      <c r="L720" s="10"/>
      <c r="M720" s="10"/>
      <c r="N720" s="10"/>
      <c r="O720" s="8"/>
      <c r="P720" s="10"/>
    </row>
    <row r="721" spans="1:16" x14ac:dyDescent="0.45">
      <c r="A721" s="9"/>
      <c r="B721" t="b">
        <v>0</v>
      </c>
      <c r="D721" s="10"/>
      <c r="G721" s="10"/>
      <c r="H721" s="10"/>
      <c r="I721" s="9"/>
      <c r="J721" s="10"/>
      <c r="L721" s="10"/>
      <c r="M721" s="10"/>
      <c r="N721" s="10"/>
      <c r="O721" s="8"/>
      <c r="P721" s="10"/>
    </row>
    <row r="722" spans="1:16" x14ac:dyDescent="0.45">
      <c r="A722" s="9"/>
      <c r="B722" t="b">
        <v>0</v>
      </c>
      <c r="D722" s="10"/>
      <c r="G722" s="10"/>
      <c r="H722" s="10"/>
      <c r="I722" s="9"/>
      <c r="J722" s="10"/>
      <c r="L722" s="10"/>
      <c r="M722" s="10"/>
      <c r="N722" s="10"/>
      <c r="O722" s="8"/>
      <c r="P722" s="10"/>
    </row>
    <row r="723" spans="1:16" x14ac:dyDescent="0.45">
      <c r="A723" s="9"/>
      <c r="B723" t="b">
        <v>0</v>
      </c>
      <c r="D723" s="10"/>
      <c r="G723" s="10"/>
      <c r="H723" s="10"/>
      <c r="I723" s="9"/>
      <c r="J723" s="10"/>
      <c r="L723" s="10"/>
      <c r="M723" s="10"/>
      <c r="N723" s="10"/>
      <c r="O723" s="8"/>
      <c r="P723" s="10"/>
    </row>
    <row r="724" spans="1:16" x14ac:dyDescent="0.45">
      <c r="A724" s="9"/>
      <c r="B724" t="b">
        <v>0</v>
      </c>
      <c r="D724" s="10"/>
      <c r="G724" s="10"/>
      <c r="H724" s="10"/>
      <c r="I724" s="9"/>
      <c r="J724" s="10"/>
      <c r="L724" s="10"/>
      <c r="M724" s="10"/>
      <c r="N724" s="10"/>
      <c r="O724" s="8"/>
      <c r="P724" s="10"/>
    </row>
    <row r="725" spans="1:16" x14ac:dyDescent="0.45">
      <c r="A725" s="9"/>
      <c r="B725" t="b">
        <v>0</v>
      </c>
      <c r="D725" s="10"/>
      <c r="G725" s="10"/>
      <c r="H725" s="10"/>
      <c r="I725" s="9"/>
      <c r="J725" s="10"/>
      <c r="L725" s="10"/>
      <c r="M725" s="10"/>
      <c r="N725" s="10"/>
      <c r="O725" s="8"/>
      <c r="P725" s="10"/>
    </row>
    <row r="726" spans="1:16" x14ac:dyDescent="0.45">
      <c r="A726" s="9"/>
      <c r="B726" t="b">
        <v>0</v>
      </c>
      <c r="D726" s="10"/>
      <c r="G726" s="10"/>
      <c r="H726" s="10"/>
      <c r="I726" s="9"/>
      <c r="J726" s="10"/>
      <c r="L726" s="10"/>
      <c r="M726" s="10"/>
      <c r="N726" s="10"/>
      <c r="O726" s="8"/>
      <c r="P726" s="10"/>
    </row>
    <row r="727" spans="1:16" x14ac:dyDescent="0.45">
      <c r="A727" s="9"/>
      <c r="B727" t="b">
        <v>0</v>
      </c>
      <c r="D727" s="10"/>
      <c r="G727" s="10"/>
      <c r="H727" s="10"/>
      <c r="I727" s="9"/>
      <c r="J727" s="10"/>
      <c r="L727" s="10"/>
      <c r="M727" s="10"/>
      <c r="N727" s="10"/>
      <c r="O727" s="8"/>
      <c r="P727" s="10"/>
    </row>
    <row r="728" spans="1:16" x14ac:dyDescent="0.45">
      <c r="A728" s="9"/>
      <c r="B728" t="b">
        <v>0</v>
      </c>
      <c r="D728" s="10"/>
      <c r="G728" s="10"/>
      <c r="H728" s="10"/>
      <c r="I728" s="9"/>
      <c r="J728" s="10"/>
      <c r="L728" s="10"/>
      <c r="M728" s="10"/>
      <c r="N728" s="10"/>
      <c r="O728" s="8"/>
      <c r="P728" s="10"/>
    </row>
    <row r="729" spans="1:16" x14ac:dyDescent="0.45">
      <c r="A729" s="9"/>
      <c r="B729" t="b">
        <v>0</v>
      </c>
      <c r="D729" s="10"/>
      <c r="G729" s="10"/>
      <c r="H729" s="10"/>
      <c r="I729" s="9"/>
      <c r="J729" s="10"/>
      <c r="L729" s="10"/>
      <c r="M729" s="10"/>
      <c r="N729" s="10"/>
      <c r="O729" s="8"/>
      <c r="P729" s="10"/>
    </row>
    <row r="730" spans="1:16" x14ac:dyDescent="0.45">
      <c r="A730" s="9"/>
      <c r="B730" t="b">
        <v>0</v>
      </c>
      <c r="D730" s="10"/>
      <c r="G730" s="10"/>
      <c r="H730" s="10"/>
      <c r="I730" s="9"/>
      <c r="J730" s="10"/>
      <c r="L730" s="10"/>
      <c r="M730" s="10"/>
      <c r="N730" s="10"/>
      <c r="O730" s="8"/>
      <c r="P730" s="10"/>
    </row>
    <row r="731" spans="1:16" x14ac:dyDescent="0.45">
      <c r="A731" s="9"/>
      <c r="B731" t="b">
        <v>0</v>
      </c>
      <c r="D731" s="10"/>
      <c r="G731" s="10"/>
      <c r="H731" s="10"/>
      <c r="I731" s="9"/>
      <c r="J731" s="10"/>
      <c r="L731" s="10"/>
      <c r="M731" s="10"/>
      <c r="N731" s="10"/>
      <c r="O731" s="8"/>
      <c r="P731" s="10"/>
    </row>
    <row r="732" spans="1:16" x14ac:dyDescent="0.45">
      <c r="A732" s="9"/>
      <c r="B732" t="b">
        <v>0</v>
      </c>
      <c r="D732" s="10"/>
      <c r="G732" s="10"/>
      <c r="H732" s="10"/>
      <c r="I732" s="9"/>
      <c r="J732" s="10"/>
      <c r="L732" s="10"/>
      <c r="M732" s="10"/>
      <c r="N732" s="10"/>
      <c r="O732" s="8"/>
      <c r="P732" s="10"/>
    </row>
    <row r="733" spans="1:16" x14ac:dyDescent="0.45">
      <c r="A733" s="9"/>
      <c r="B733" t="b">
        <v>0</v>
      </c>
      <c r="D733" s="10"/>
      <c r="G733" s="10"/>
      <c r="H733" s="10"/>
      <c r="I733" s="9"/>
      <c r="J733" s="10"/>
      <c r="L733" s="10"/>
      <c r="M733" s="10"/>
      <c r="N733" s="10"/>
      <c r="O733" s="8"/>
      <c r="P733" s="10"/>
    </row>
    <row r="734" spans="1:16" x14ac:dyDescent="0.45">
      <c r="A734" s="9"/>
      <c r="B734" t="b">
        <v>0</v>
      </c>
      <c r="D734" s="10"/>
      <c r="G734" s="10"/>
      <c r="H734" s="10"/>
      <c r="I734" s="9"/>
      <c r="J734" s="10"/>
      <c r="L734" s="10"/>
      <c r="M734" s="10"/>
      <c r="N734" s="10"/>
      <c r="O734" s="8"/>
      <c r="P734" s="10"/>
    </row>
    <row r="735" spans="1:16" x14ac:dyDescent="0.45">
      <c r="A735" s="9"/>
      <c r="B735" t="b">
        <v>0</v>
      </c>
      <c r="D735" s="10"/>
      <c r="G735" s="10"/>
      <c r="H735" s="10"/>
      <c r="I735" s="9"/>
      <c r="J735" s="10"/>
      <c r="L735" s="10"/>
      <c r="M735" s="10"/>
      <c r="N735" s="10"/>
      <c r="O735" s="8"/>
      <c r="P735" s="10"/>
    </row>
    <row r="736" spans="1:16" x14ac:dyDescent="0.45">
      <c r="A736" s="9"/>
      <c r="B736" t="b">
        <v>0</v>
      </c>
      <c r="D736" s="10"/>
      <c r="G736" s="10"/>
      <c r="H736" s="10"/>
      <c r="I736" s="9"/>
      <c r="J736" s="10"/>
      <c r="L736" s="10"/>
      <c r="M736" s="10"/>
      <c r="N736" s="10"/>
      <c r="O736" s="8"/>
      <c r="P736" s="10"/>
    </row>
    <row r="737" spans="1:16" x14ac:dyDescent="0.45">
      <c r="A737" s="9"/>
      <c r="B737" t="b">
        <v>0</v>
      </c>
      <c r="D737" s="10"/>
      <c r="G737" s="10"/>
      <c r="H737" s="10"/>
      <c r="I737" s="9"/>
      <c r="J737" s="10"/>
      <c r="L737" s="10"/>
      <c r="M737" s="10"/>
      <c r="N737" s="10"/>
      <c r="O737" s="8"/>
      <c r="P737" s="10"/>
    </row>
    <row r="738" spans="1:16" x14ac:dyDescent="0.45">
      <c r="A738" s="9"/>
      <c r="B738" t="b">
        <v>0</v>
      </c>
      <c r="D738" s="10"/>
      <c r="G738" s="10"/>
      <c r="H738" s="10"/>
      <c r="I738" s="9"/>
      <c r="J738" s="10"/>
      <c r="L738" s="10"/>
      <c r="M738" s="10"/>
      <c r="N738" s="10"/>
      <c r="O738" s="8"/>
      <c r="P738" s="10"/>
    </row>
    <row r="739" spans="1:16" x14ac:dyDescent="0.45">
      <c r="A739" s="9"/>
      <c r="B739" t="b">
        <v>0</v>
      </c>
      <c r="D739" s="10"/>
      <c r="G739" s="10"/>
      <c r="H739" s="10"/>
      <c r="I739" s="9"/>
      <c r="J739" s="10"/>
      <c r="L739" s="10"/>
      <c r="M739" s="10"/>
      <c r="N739" s="10"/>
      <c r="O739" s="8"/>
      <c r="P739" s="10"/>
    </row>
    <row r="740" spans="1:16" x14ac:dyDescent="0.45">
      <c r="A740" s="9"/>
      <c r="B740" t="b">
        <v>0</v>
      </c>
      <c r="D740" s="10"/>
      <c r="G740" s="10"/>
      <c r="H740" s="10"/>
      <c r="I740" s="9"/>
      <c r="J740" s="10"/>
      <c r="L740" s="10"/>
      <c r="M740" s="10"/>
      <c r="N740" s="10"/>
      <c r="O740" s="8"/>
      <c r="P740" s="10"/>
    </row>
    <row r="741" spans="1:16" x14ac:dyDescent="0.45">
      <c r="A741" s="9"/>
      <c r="B741" t="b">
        <v>0</v>
      </c>
      <c r="D741" s="10"/>
      <c r="G741" s="10"/>
      <c r="H741" s="10"/>
      <c r="I741" s="9"/>
      <c r="J741" s="10"/>
      <c r="L741" s="10"/>
      <c r="M741" s="10"/>
      <c r="N741" s="10"/>
      <c r="O741" s="8"/>
      <c r="P741" s="10"/>
    </row>
    <row r="742" spans="1:16" x14ac:dyDescent="0.45">
      <c r="A742" s="9"/>
      <c r="B742" t="b">
        <v>0</v>
      </c>
      <c r="D742" s="10"/>
      <c r="G742" s="10"/>
      <c r="H742" s="10"/>
      <c r="I742" s="9"/>
      <c r="J742" s="10"/>
      <c r="L742" s="10"/>
      <c r="M742" s="10"/>
      <c r="N742" s="10"/>
      <c r="O742" s="8"/>
      <c r="P742" s="10"/>
    </row>
    <row r="743" spans="1:16" x14ac:dyDescent="0.45">
      <c r="A743" s="9"/>
      <c r="B743" t="b">
        <v>0</v>
      </c>
      <c r="D743" s="10"/>
      <c r="G743" s="10"/>
      <c r="H743" s="10"/>
      <c r="I743" s="9"/>
      <c r="J743" s="10"/>
      <c r="L743" s="10"/>
      <c r="M743" s="10"/>
      <c r="N743" s="10"/>
      <c r="O743" s="8"/>
      <c r="P743" s="10"/>
    </row>
    <row r="744" spans="1:16" x14ac:dyDescent="0.45">
      <c r="A744" s="9"/>
      <c r="B744" t="b">
        <v>0</v>
      </c>
      <c r="D744" s="10"/>
      <c r="G744" s="10"/>
      <c r="H744" s="10"/>
      <c r="I744" s="9"/>
      <c r="J744" s="10"/>
      <c r="L744" s="10"/>
      <c r="M744" s="10"/>
      <c r="N744" s="10"/>
      <c r="O744" s="8"/>
      <c r="P744" s="10"/>
    </row>
    <row r="745" spans="1:16" x14ac:dyDescent="0.45">
      <c r="A745" s="9"/>
      <c r="B745" t="b">
        <v>0</v>
      </c>
      <c r="D745" s="10"/>
      <c r="G745" s="10"/>
      <c r="H745" s="10"/>
      <c r="I745" s="9"/>
      <c r="J745" s="10"/>
      <c r="L745" s="10"/>
      <c r="M745" s="10"/>
      <c r="N745" s="10"/>
      <c r="O745" s="8"/>
      <c r="P745" s="10"/>
    </row>
    <row r="746" spans="1:16" x14ac:dyDescent="0.45">
      <c r="A746" s="9"/>
      <c r="B746" t="b">
        <v>0</v>
      </c>
      <c r="D746" s="10"/>
      <c r="G746" s="10"/>
      <c r="H746" s="10"/>
      <c r="I746" s="9"/>
      <c r="J746" s="10"/>
      <c r="L746" s="10"/>
      <c r="M746" s="10"/>
      <c r="N746" s="10"/>
      <c r="O746" s="8"/>
      <c r="P746" s="10"/>
    </row>
    <row r="747" spans="1:16" x14ac:dyDescent="0.45">
      <c r="A747" s="9"/>
      <c r="B747" t="b">
        <v>0</v>
      </c>
      <c r="D747" s="10"/>
      <c r="G747" s="10"/>
      <c r="H747" s="10"/>
      <c r="I747" s="9"/>
      <c r="J747" s="10"/>
      <c r="L747" s="10"/>
      <c r="M747" s="10"/>
      <c r="N747" s="10"/>
      <c r="O747" s="8"/>
      <c r="P747" s="10"/>
    </row>
    <row r="748" spans="1:16" x14ac:dyDescent="0.45">
      <c r="A748" s="9"/>
      <c r="B748" t="b">
        <v>0</v>
      </c>
      <c r="D748" s="10"/>
      <c r="G748" s="10"/>
      <c r="H748" s="10"/>
      <c r="I748" s="9"/>
      <c r="J748" s="10"/>
      <c r="L748" s="10"/>
      <c r="M748" s="10"/>
      <c r="N748" s="10"/>
      <c r="O748" s="8"/>
      <c r="P748" s="10"/>
    </row>
    <row r="749" spans="1:16" x14ac:dyDescent="0.45">
      <c r="A749" s="9"/>
      <c r="B749" t="b">
        <v>0</v>
      </c>
      <c r="D749" s="10"/>
      <c r="G749" s="10"/>
      <c r="H749" s="10"/>
      <c r="I749" s="9"/>
      <c r="J749" s="10"/>
      <c r="L749" s="10"/>
      <c r="M749" s="10"/>
      <c r="N749" s="10"/>
      <c r="O749" s="8"/>
      <c r="P749" s="10"/>
    </row>
    <row r="750" spans="1:16" x14ac:dyDescent="0.45">
      <c r="A750" s="9"/>
      <c r="B750" t="b">
        <v>0</v>
      </c>
      <c r="D750" s="10"/>
      <c r="G750" s="10"/>
      <c r="H750" s="10"/>
      <c r="I750" s="9"/>
      <c r="J750" s="10"/>
      <c r="L750" s="10"/>
      <c r="M750" s="10"/>
      <c r="N750" s="10"/>
      <c r="O750" s="8"/>
      <c r="P750" s="10"/>
    </row>
    <row r="751" spans="1:16" x14ac:dyDescent="0.45">
      <c r="A751" s="9"/>
      <c r="B751" t="b">
        <v>0</v>
      </c>
      <c r="D751" s="10"/>
      <c r="G751" s="10"/>
      <c r="H751" s="10"/>
      <c r="I751" s="9"/>
      <c r="J751" s="10"/>
      <c r="L751" s="10"/>
      <c r="M751" s="10"/>
      <c r="N751" s="10"/>
      <c r="O751" s="8"/>
      <c r="P751" s="10"/>
    </row>
    <row r="752" spans="1:16" x14ac:dyDescent="0.45">
      <c r="A752" s="9"/>
      <c r="B752" t="b">
        <v>0</v>
      </c>
      <c r="D752" s="10"/>
      <c r="G752" s="10"/>
      <c r="H752" s="10"/>
      <c r="I752" s="9"/>
      <c r="J752" s="10"/>
      <c r="L752" s="10"/>
      <c r="M752" s="10"/>
      <c r="N752" s="10"/>
      <c r="O752" s="8"/>
      <c r="P752" s="10"/>
    </row>
    <row r="753" spans="1:16" x14ac:dyDescent="0.45">
      <c r="A753" s="9"/>
      <c r="B753" t="b">
        <v>0</v>
      </c>
      <c r="D753" s="10"/>
      <c r="G753" s="10"/>
      <c r="H753" s="10"/>
      <c r="I753" s="9"/>
      <c r="J753" s="10"/>
      <c r="L753" s="10"/>
      <c r="M753" s="10"/>
      <c r="N753" s="10"/>
      <c r="O753" s="8"/>
      <c r="P753" s="10"/>
    </row>
    <row r="754" spans="1:16" x14ac:dyDescent="0.45">
      <c r="A754" s="9"/>
      <c r="B754" t="b">
        <v>0</v>
      </c>
      <c r="D754" s="10"/>
      <c r="G754" s="10"/>
      <c r="H754" s="10"/>
      <c r="I754" s="9"/>
      <c r="J754" s="10"/>
      <c r="L754" s="10"/>
      <c r="M754" s="10"/>
      <c r="N754" s="10"/>
      <c r="O754" s="8"/>
      <c r="P754" s="10"/>
    </row>
    <row r="755" spans="1:16" x14ac:dyDescent="0.45">
      <c r="A755" s="9"/>
      <c r="B755" t="b">
        <v>0</v>
      </c>
      <c r="D755" s="10"/>
      <c r="G755" s="10"/>
      <c r="H755" s="10"/>
      <c r="I755" s="9"/>
      <c r="J755" s="10"/>
      <c r="L755" s="10"/>
      <c r="M755" s="10"/>
      <c r="N755" s="10"/>
      <c r="O755" s="8"/>
      <c r="P755" s="10"/>
    </row>
    <row r="756" spans="1:16" x14ac:dyDescent="0.45">
      <c r="A756" s="9"/>
      <c r="B756" t="b">
        <v>0</v>
      </c>
      <c r="D756" s="10"/>
      <c r="G756" s="10"/>
      <c r="H756" s="10"/>
      <c r="I756" s="9"/>
      <c r="J756" s="10"/>
      <c r="L756" s="10"/>
      <c r="M756" s="10"/>
      <c r="N756" s="10"/>
      <c r="O756" s="8"/>
      <c r="P756" s="10"/>
    </row>
    <row r="757" spans="1:16" x14ac:dyDescent="0.45">
      <c r="A757" s="9"/>
      <c r="B757" t="b">
        <v>0</v>
      </c>
      <c r="D757" s="10"/>
      <c r="G757" s="10"/>
      <c r="H757" s="10"/>
      <c r="I757" s="9"/>
      <c r="J757" s="10"/>
      <c r="L757" s="10"/>
      <c r="M757" s="10"/>
      <c r="N757" s="10"/>
      <c r="O757" s="8"/>
      <c r="P757" s="10"/>
    </row>
    <row r="758" spans="1:16" x14ac:dyDescent="0.45">
      <c r="A758" s="9"/>
      <c r="B758" t="b">
        <v>0</v>
      </c>
      <c r="D758" s="10"/>
      <c r="G758" s="10"/>
      <c r="H758" s="10"/>
      <c r="I758" s="9"/>
      <c r="J758" s="10"/>
      <c r="L758" s="10"/>
      <c r="M758" s="10"/>
      <c r="N758" s="10"/>
      <c r="O758" s="8"/>
      <c r="P758" s="10"/>
    </row>
    <row r="759" spans="1:16" x14ac:dyDescent="0.45">
      <c r="A759" s="9"/>
      <c r="B759" t="b">
        <v>0</v>
      </c>
      <c r="D759" s="10"/>
      <c r="G759" s="10"/>
      <c r="H759" s="10"/>
      <c r="I759" s="9"/>
      <c r="J759" s="10"/>
      <c r="L759" s="10"/>
      <c r="M759" s="10"/>
      <c r="N759" s="10"/>
      <c r="O759" s="8"/>
      <c r="P759" s="10"/>
    </row>
    <row r="760" spans="1:16" x14ac:dyDescent="0.45">
      <c r="A760" s="9"/>
      <c r="B760" t="b">
        <v>0</v>
      </c>
      <c r="D760" s="10"/>
      <c r="G760" s="10"/>
      <c r="H760" s="10"/>
      <c r="I760" s="9"/>
      <c r="J760" s="10"/>
      <c r="L760" s="10"/>
      <c r="M760" s="10"/>
      <c r="N760" s="10"/>
      <c r="O760" s="8"/>
      <c r="P760" s="10"/>
    </row>
    <row r="761" spans="1:16" x14ac:dyDescent="0.45">
      <c r="A761" s="9"/>
      <c r="B761" t="b">
        <v>0</v>
      </c>
      <c r="D761" s="10"/>
      <c r="G761" s="10"/>
      <c r="H761" s="10"/>
      <c r="I761" s="9"/>
      <c r="J761" s="10"/>
      <c r="L761" s="10"/>
      <c r="M761" s="10"/>
      <c r="N761" s="10"/>
      <c r="O761" s="8"/>
      <c r="P761" s="10"/>
    </row>
    <row r="762" spans="1:16" x14ac:dyDescent="0.45">
      <c r="A762" s="9"/>
      <c r="B762" t="b">
        <v>0</v>
      </c>
      <c r="D762" s="10"/>
      <c r="G762" s="10"/>
      <c r="H762" s="10"/>
      <c r="I762" s="9"/>
      <c r="J762" s="10"/>
      <c r="L762" s="10"/>
      <c r="M762" s="10"/>
      <c r="N762" s="10"/>
      <c r="O762" s="8"/>
      <c r="P762" s="10"/>
    </row>
    <row r="763" spans="1:16" x14ac:dyDescent="0.45">
      <c r="A763" s="9"/>
      <c r="B763" t="b">
        <v>0</v>
      </c>
      <c r="D763" s="10"/>
      <c r="G763" s="10"/>
      <c r="H763" s="10"/>
      <c r="I763" s="9"/>
      <c r="J763" s="10"/>
      <c r="L763" s="10"/>
      <c r="M763" s="10"/>
      <c r="N763" s="10"/>
      <c r="O763" s="8"/>
      <c r="P763" s="10"/>
    </row>
    <row r="764" spans="1:16" x14ac:dyDescent="0.45">
      <c r="A764" s="9"/>
      <c r="B764" t="b">
        <v>0</v>
      </c>
      <c r="D764" s="10"/>
      <c r="G764" s="10"/>
      <c r="H764" s="10"/>
      <c r="I764" s="9"/>
      <c r="J764" s="10"/>
      <c r="L764" s="10"/>
      <c r="M764" s="10"/>
      <c r="N764" s="10"/>
      <c r="O764" s="8"/>
      <c r="P764" s="10"/>
    </row>
    <row r="765" spans="1:16" x14ac:dyDescent="0.45">
      <c r="A765" s="9"/>
      <c r="B765" t="b">
        <v>0</v>
      </c>
      <c r="D765" s="10"/>
      <c r="G765" s="10"/>
      <c r="H765" s="10"/>
      <c r="I765" s="9"/>
      <c r="J765" s="10"/>
      <c r="L765" s="10"/>
      <c r="M765" s="10"/>
      <c r="N765" s="10"/>
      <c r="O765" s="8"/>
      <c r="P765" s="10"/>
    </row>
    <row r="766" spans="1:16" x14ac:dyDescent="0.45">
      <c r="A766" s="9"/>
      <c r="B766" t="b">
        <v>0</v>
      </c>
      <c r="D766" s="10"/>
      <c r="G766" s="10"/>
      <c r="H766" s="10"/>
      <c r="I766" s="9"/>
      <c r="J766" s="10"/>
      <c r="L766" s="10"/>
      <c r="M766" s="10"/>
      <c r="N766" s="10"/>
      <c r="O766" s="8"/>
      <c r="P766" s="10"/>
    </row>
    <row r="767" spans="1:16" x14ac:dyDescent="0.45">
      <c r="A767" s="9"/>
      <c r="B767" t="b">
        <v>0</v>
      </c>
      <c r="D767" s="10"/>
      <c r="G767" s="10"/>
      <c r="H767" s="10"/>
      <c r="I767" s="9"/>
      <c r="J767" s="10"/>
      <c r="L767" s="10"/>
      <c r="M767" s="10"/>
      <c r="N767" s="10"/>
      <c r="O767" s="8"/>
      <c r="P767" s="10"/>
    </row>
    <row r="768" spans="1:16" x14ac:dyDescent="0.45">
      <c r="A768" s="9"/>
      <c r="B768" t="b">
        <v>0</v>
      </c>
      <c r="D768" s="10"/>
      <c r="G768" s="10"/>
      <c r="H768" s="10"/>
      <c r="I768" s="9"/>
      <c r="J768" s="10"/>
      <c r="L768" s="10"/>
      <c r="M768" s="10"/>
      <c r="N768" s="10"/>
      <c r="O768" s="8"/>
      <c r="P768" s="10"/>
    </row>
    <row r="769" spans="1:16" x14ac:dyDescent="0.45">
      <c r="A769" s="9"/>
      <c r="B769" t="b">
        <v>0</v>
      </c>
      <c r="D769" s="10"/>
      <c r="G769" s="10"/>
      <c r="H769" s="10"/>
      <c r="I769" s="9"/>
      <c r="J769" s="10"/>
      <c r="L769" s="10"/>
      <c r="M769" s="10"/>
      <c r="N769" s="10"/>
      <c r="O769" s="8"/>
      <c r="P769" s="10"/>
    </row>
    <row r="770" spans="1:16" x14ac:dyDescent="0.45">
      <c r="A770" s="9"/>
      <c r="B770" t="b">
        <v>0</v>
      </c>
      <c r="D770" s="10"/>
      <c r="G770" s="10"/>
      <c r="H770" s="10"/>
      <c r="I770" s="9"/>
      <c r="J770" s="10"/>
      <c r="L770" s="10"/>
      <c r="M770" s="10"/>
      <c r="N770" s="10"/>
      <c r="O770" s="8"/>
      <c r="P770" s="10"/>
    </row>
    <row r="771" spans="1:16" x14ac:dyDescent="0.45">
      <c r="A771" s="9"/>
      <c r="B771" t="b">
        <v>0</v>
      </c>
      <c r="D771" s="10"/>
      <c r="G771" s="10"/>
      <c r="H771" s="10"/>
      <c r="I771" s="9"/>
      <c r="J771" s="10"/>
      <c r="L771" s="10"/>
      <c r="M771" s="10"/>
      <c r="N771" s="10"/>
      <c r="O771" s="8"/>
      <c r="P771" s="10"/>
    </row>
    <row r="772" spans="1:16" x14ac:dyDescent="0.45">
      <c r="A772" s="9"/>
      <c r="B772" t="b">
        <v>0</v>
      </c>
      <c r="D772" s="10"/>
      <c r="G772" s="10"/>
      <c r="H772" s="10"/>
      <c r="I772" s="9"/>
      <c r="J772" s="10"/>
      <c r="L772" s="10"/>
      <c r="M772" s="10"/>
      <c r="N772" s="10"/>
      <c r="O772" s="8"/>
      <c r="P772" s="10"/>
    </row>
    <row r="773" spans="1:16" x14ac:dyDescent="0.45">
      <c r="A773" s="9"/>
      <c r="B773" t="b">
        <v>0</v>
      </c>
      <c r="D773" s="10"/>
      <c r="G773" s="10"/>
      <c r="H773" s="10"/>
      <c r="I773" s="9"/>
      <c r="J773" s="10"/>
      <c r="L773" s="10"/>
      <c r="M773" s="10"/>
      <c r="N773" s="10"/>
      <c r="O773" s="8"/>
      <c r="P773" s="10"/>
    </row>
    <row r="774" spans="1:16" x14ac:dyDescent="0.45">
      <c r="A774" s="9"/>
      <c r="B774" t="b">
        <v>0</v>
      </c>
      <c r="D774" s="10"/>
      <c r="G774" s="10"/>
      <c r="H774" s="10"/>
      <c r="I774" s="9"/>
      <c r="J774" s="10"/>
      <c r="L774" s="10"/>
      <c r="M774" s="10"/>
      <c r="N774" s="10"/>
      <c r="O774" s="8"/>
      <c r="P774" s="10"/>
    </row>
    <row r="775" spans="1:16" x14ac:dyDescent="0.45">
      <c r="A775" s="9"/>
      <c r="B775" t="b">
        <v>0</v>
      </c>
      <c r="D775" s="10"/>
      <c r="G775" s="10"/>
      <c r="H775" s="10"/>
      <c r="I775" s="9"/>
      <c r="J775" s="10"/>
      <c r="L775" s="10"/>
      <c r="M775" s="10"/>
      <c r="N775" s="10"/>
      <c r="O775" s="8"/>
      <c r="P775" s="10"/>
    </row>
    <row r="776" spans="1:16" x14ac:dyDescent="0.45">
      <c r="A776" s="9"/>
      <c r="B776" t="b">
        <v>0</v>
      </c>
      <c r="D776" s="10"/>
      <c r="G776" s="10"/>
      <c r="H776" s="10"/>
      <c r="I776" s="9"/>
      <c r="J776" s="10"/>
      <c r="L776" s="10"/>
      <c r="M776" s="10"/>
      <c r="N776" s="10"/>
      <c r="O776" s="8"/>
      <c r="P776" s="10"/>
    </row>
    <row r="777" spans="1:16" x14ac:dyDescent="0.45">
      <c r="A777" s="9"/>
      <c r="B777" t="b">
        <v>0</v>
      </c>
      <c r="D777" s="10"/>
      <c r="G777" s="10"/>
      <c r="H777" s="10"/>
      <c r="I777" s="9"/>
      <c r="J777" s="10"/>
      <c r="L777" s="10"/>
      <c r="M777" s="10"/>
      <c r="N777" s="10"/>
      <c r="O777" s="8"/>
      <c r="P777" s="10"/>
    </row>
    <row r="778" spans="1:16" x14ac:dyDescent="0.45">
      <c r="A778" s="9"/>
      <c r="B778" t="b">
        <v>0</v>
      </c>
      <c r="D778" s="10"/>
      <c r="G778" s="10"/>
      <c r="H778" s="10"/>
      <c r="I778" s="9"/>
      <c r="J778" s="10"/>
      <c r="L778" s="10"/>
      <c r="M778" s="10"/>
      <c r="N778" s="10"/>
      <c r="O778" s="8"/>
      <c r="P778" s="10"/>
    </row>
    <row r="779" spans="1:16" x14ac:dyDescent="0.45">
      <c r="A779" s="9"/>
      <c r="B779" t="b">
        <v>0</v>
      </c>
      <c r="D779" s="10"/>
      <c r="G779" s="10"/>
      <c r="H779" s="10"/>
      <c r="I779" s="9"/>
      <c r="J779" s="10"/>
      <c r="L779" s="10"/>
      <c r="M779" s="10"/>
      <c r="N779" s="10"/>
      <c r="O779" s="8"/>
      <c r="P779" s="10"/>
    </row>
    <row r="780" spans="1:16" x14ac:dyDescent="0.45">
      <c r="A780" s="9"/>
      <c r="B780" t="b">
        <v>0</v>
      </c>
      <c r="D780" s="10"/>
      <c r="G780" s="10"/>
      <c r="H780" s="10"/>
      <c r="I780" s="9"/>
      <c r="J780" s="10"/>
      <c r="L780" s="10"/>
      <c r="M780" s="10"/>
      <c r="N780" s="10"/>
      <c r="O780" s="8"/>
      <c r="P780" s="10"/>
    </row>
    <row r="781" spans="1:16" x14ac:dyDescent="0.45">
      <c r="A781" s="9"/>
      <c r="B781" t="b">
        <v>0</v>
      </c>
      <c r="D781" s="10"/>
      <c r="G781" s="10"/>
      <c r="H781" s="10"/>
      <c r="I781" s="9"/>
      <c r="J781" s="10"/>
      <c r="L781" s="10"/>
      <c r="M781" s="10"/>
      <c r="N781" s="10"/>
      <c r="O781" s="8"/>
      <c r="P781" s="10"/>
    </row>
    <row r="782" spans="1:16" x14ac:dyDescent="0.45">
      <c r="A782" s="9"/>
      <c r="B782" t="b">
        <v>0</v>
      </c>
      <c r="D782" s="10"/>
      <c r="G782" s="10"/>
      <c r="H782" s="10"/>
      <c r="I782" s="9"/>
      <c r="J782" s="10"/>
      <c r="L782" s="10"/>
      <c r="M782" s="10"/>
      <c r="N782" s="10"/>
      <c r="O782" s="8"/>
      <c r="P782" s="10"/>
    </row>
    <row r="783" spans="1:16" x14ac:dyDescent="0.45">
      <c r="A783" s="9"/>
      <c r="B783" t="b">
        <v>0</v>
      </c>
      <c r="D783" s="10"/>
      <c r="G783" s="10"/>
      <c r="H783" s="10"/>
      <c r="I783" s="9"/>
      <c r="J783" s="10"/>
      <c r="L783" s="10"/>
      <c r="M783" s="10"/>
      <c r="N783" s="10"/>
      <c r="O783" s="8"/>
      <c r="P783" s="10"/>
    </row>
    <row r="784" spans="1:16" x14ac:dyDescent="0.45">
      <c r="A784" s="9"/>
      <c r="B784" t="b">
        <v>0</v>
      </c>
      <c r="D784" s="10"/>
      <c r="G784" s="10"/>
      <c r="H784" s="10"/>
      <c r="I784" s="9"/>
      <c r="J784" s="10"/>
      <c r="L784" s="10"/>
      <c r="M784" s="10"/>
      <c r="N784" s="10"/>
      <c r="O784" s="8"/>
      <c r="P784" s="10"/>
    </row>
    <row r="785" spans="1:16" x14ac:dyDescent="0.45">
      <c r="A785" s="9"/>
      <c r="B785" t="b">
        <v>0</v>
      </c>
      <c r="D785" s="10"/>
      <c r="G785" s="10"/>
      <c r="H785" s="10"/>
      <c r="I785" s="9"/>
      <c r="J785" s="10"/>
      <c r="L785" s="10"/>
      <c r="M785" s="10"/>
      <c r="N785" s="10"/>
      <c r="O785" s="8"/>
      <c r="P785" s="10"/>
    </row>
    <row r="786" spans="1:16" x14ac:dyDescent="0.45">
      <c r="A786" s="9"/>
      <c r="B786" t="b">
        <v>0</v>
      </c>
      <c r="D786" s="10"/>
      <c r="G786" s="10"/>
      <c r="H786" s="10"/>
      <c r="I786" s="9"/>
      <c r="J786" s="10"/>
      <c r="L786" s="10"/>
      <c r="M786" s="10"/>
      <c r="N786" s="10"/>
      <c r="O786" s="8"/>
      <c r="P786" s="10"/>
    </row>
    <row r="787" spans="1:16" x14ac:dyDescent="0.45">
      <c r="A787" s="9"/>
      <c r="B787" t="b">
        <v>0</v>
      </c>
      <c r="D787" s="10"/>
      <c r="G787" s="10"/>
      <c r="H787" s="10"/>
      <c r="I787" s="9"/>
      <c r="J787" s="10"/>
      <c r="L787" s="10"/>
      <c r="M787" s="10"/>
      <c r="N787" s="10"/>
      <c r="O787" s="8"/>
      <c r="P787" s="10"/>
    </row>
    <row r="788" spans="1:16" x14ac:dyDescent="0.45">
      <c r="A788" s="9"/>
      <c r="B788" t="b">
        <v>0</v>
      </c>
      <c r="D788" s="10"/>
      <c r="G788" s="10"/>
      <c r="H788" s="10"/>
      <c r="I788" s="9"/>
      <c r="J788" s="10"/>
      <c r="L788" s="10"/>
      <c r="M788" s="10"/>
      <c r="N788" s="10"/>
      <c r="O788" s="8"/>
      <c r="P788" s="10"/>
    </row>
    <row r="789" spans="1:16" x14ac:dyDescent="0.45">
      <c r="A789" s="9"/>
      <c r="B789" t="b">
        <v>0</v>
      </c>
      <c r="D789" s="10"/>
      <c r="G789" s="10"/>
      <c r="H789" s="10"/>
      <c r="I789" s="9"/>
      <c r="J789" s="10"/>
      <c r="L789" s="10"/>
      <c r="M789" s="10"/>
      <c r="N789" s="10"/>
      <c r="O789" s="8"/>
      <c r="P789" s="10"/>
    </row>
    <row r="790" spans="1:16" x14ac:dyDescent="0.45">
      <c r="A790" s="9"/>
      <c r="B790" t="b">
        <v>0</v>
      </c>
      <c r="D790" s="10"/>
      <c r="G790" s="10"/>
      <c r="H790" s="10"/>
      <c r="I790" s="9"/>
      <c r="J790" s="10"/>
      <c r="L790" s="10"/>
      <c r="M790" s="10"/>
      <c r="N790" s="10"/>
      <c r="O790" s="8"/>
      <c r="P790" s="10"/>
    </row>
    <row r="791" spans="1:16" x14ac:dyDescent="0.45">
      <c r="A791" s="9"/>
      <c r="B791" t="b">
        <v>0</v>
      </c>
      <c r="D791" s="10"/>
      <c r="G791" s="10"/>
      <c r="H791" s="10"/>
      <c r="I791" s="9"/>
      <c r="J791" s="10"/>
      <c r="L791" s="10"/>
      <c r="M791" s="10"/>
      <c r="N791" s="10"/>
      <c r="O791" s="8"/>
      <c r="P791" s="10"/>
    </row>
    <row r="792" spans="1:16" x14ac:dyDescent="0.45">
      <c r="A792" s="9"/>
      <c r="B792" t="b">
        <v>0</v>
      </c>
      <c r="D792" s="10"/>
      <c r="G792" s="10"/>
      <c r="H792" s="10"/>
      <c r="I792" s="9"/>
      <c r="J792" s="10"/>
      <c r="L792" s="10"/>
      <c r="M792" s="10"/>
      <c r="N792" s="10"/>
      <c r="O792" s="8"/>
      <c r="P792" s="10"/>
    </row>
    <row r="793" spans="1:16" x14ac:dyDescent="0.45">
      <c r="A793" s="9"/>
      <c r="B793" t="b">
        <v>0</v>
      </c>
      <c r="D793" s="10"/>
      <c r="G793" s="10"/>
      <c r="H793" s="10"/>
      <c r="I793" s="9"/>
      <c r="J793" s="10"/>
      <c r="L793" s="10"/>
      <c r="M793" s="10"/>
      <c r="N793" s="10"/>
      <c r="O793" s="8"/>
      <c r="P793" s="10"/>
    </row>
    <row r="794" spans="1:16" x14ac:dyDescent="0.45">
      <c r="A794" s="9"/>
      <c r="B794" t="b">
        <v>0</v>
      </c>
      <c r="D794" s="10"/>
      <c r="G794" s="10"/>
      <c r="H794" s="10"/>
      <c r="I794" s="9"/>
      <c r="J794" s="10"/>
      <c r="L794" s="10"/>
      <c r="M794" s="10"/>
      <c r="N794" s="10"/>
      <c r="O794" s="8"/>
      <c r="P794" s="10"/>
    </row>
    <row r="795" spans="1:16" x14ac:dyDescent="0.45">
      <c r="A795" s="9"/>
      <c r="B795" t="b">
        <v>0</v>
      </c>
      <c r="D795" s="10"/>
      <c r="G795" s="10"/>
      <c r="H795" s="10"/>
      <c r="I795" s="9"/>
      <c r="J795" s="10"/>
      <c r="L795" s="10"/>
      <c r="M795" s="10"/>
      <c r="N795" s="10"/>
      <c r="O795" s="8"/>
      <c r="P795" s="10"/>
    </row>
    <row r="796" spans="1:16" x14ac:dyDescent="0.45">
      <c r="A796" s="9"/>
      <c r="B796" t="b">
        <v>0</v>
      </c>
      <c r="D796" s="10"/>
      <c r="G796" s="10"/>
      <c r="H796" s="10"/>
      <c r="I796" s="9"/>
      <c r="J796" s="10"/>
      <c r="L796" s="10"/>
      <c r="M796" s="10"/>
      <c r="N796" s="10"/>
      <c r="O796" s="8"/>
      <c r="P796" s="10"/>
    </row>
    <row r="797" spans="1:16" x14ac:dyDescent="0.45">
      <c r="A797" s="9"/>
      <c r="B797" t="b">
        <v>0</v>
      </c>
      <c r="D797" s="10"/>
      <c r="G797" s="10"/>
      <c r="H797" s="10"/>
      <c r="I797" s="9"/>
      <c r="J797" s="10"/>
      <c r="L797" s="10"/>
      <c r="M797" s="10"/>
      <c r="N797" s="10"/>
      <c r="O797" s="8"/>
      <c r="P797" s="10"/>
    </row>
    <row r="798" spans="1:16" x14ac:dyDescent="0.45">
      <c r="A798" s="9"/>
      <c r="B798" t="b">
        <v>0</v>
      </c>
      <c r="D798" s="10"/>
      <c r="G798" s="10"/>
      <c r="H798" s="10"/>
      <c r="I798" s="9"/>
      <c r="J798" s="10"/>
      <c r="L798" s="10"/>
      <c r="M798" s="10"/>
      <c r="N798" s="10"/>
      <c r="O798" s="8"/>
      <c r="P798" s="10"/>
    </row>
    <row r="799" spans="1:16" x14ac:dyDescent="0.45">
      <c r="A799" s="9"/>
      <c r="B799" t="b">
        <v>0</v>
      </c>
      <c r="D799" s="10"/>
      <c r="G799" s="10"/>
      <c r="H799" s="10"/>
      <c r="I799" s="9"/>
      <c r="J799" s="10"/>
      <c r="L799" s="10"/>
      <c r="M799" s="10"/>
      <c r="N799" s="10"/>
      <c r="O799" s="8"/>
      <c r="P799" s="10"/>
    </row>
    <row r="800" spans="1:16" x14ac:dyDescent="0.45">
      <c r="A800" s="9"/>
      <c r="B800" t="b">
        <v>0</v>
      </c>
      <c r="D800" s="10"/>
      <c r="G800" s="10"/>
      <c r="H800" s="10"/>
      <c r="I800" s="9"/>
      <c r="J800" s="10"/>
      <c r="L800" s="10"/>
      <c r="M800" s="10"/>
      <c r="N800" s="10"/>
      <c r="O800" s="8"/>
      <c r="P800" s="10"/>
    </row>
    <row r="801" spans="1:16" x14ac:dyDescent="0.45">
      <c r="A801" s="9"/>
      <c r="B801" t="b">
        <v>0</v>
      </c>
      <c r="D801" s="10"/>
      <c r="G801" s="10"/>
      <c r="H801" s="10"/>
      <c r="I801" s="9"/>
      <c r="J801" s="10"/>
      <c r="L801" s="10"/>
      <c r="M801" s="10"/>
      <c r="N801" s="10"/>
      <c r="O801" s="8"/>
      <c r="P801" s="10"/>
    </row>
    <row r="802" spans="1:16" x14ac:dyDescent="0.45">
      <c r="A802" s="9"/>
      <c r="B802" t="b">
        <v>0</v>
      </c>
      <c r="D802" s="10"/>
      <c r="G802" s="10"/>
      <c r="H802" s="10"/>
      <c r="I802" s="9"/>
      <c r="J802" s="10"/>
      <c r="L802" s="10"/>
      <c r="M802" s="10"/>
      <c r="N802" s="10"/>
      <c r="O802" s="8"/>
      <c r="P802" s="10"/>
    </row>
    <row r="803" spans="1:16" x14ac:dyDescent="0.45">
      <c r="A803" s="9"/>
      <c r="B803" t="b">
        <v>0</v>
      </c>
      <c r="D803" s="10"/>
      <c r="G803" s="10"/>
      <c r="H803" s="10"/>
      <c r="I803" s="9"/>
      <c r="J803" s="10"/>
      <c r="L803" s="10"/>
      <c r="M803" s="10"/>
      <c r="N803" s="10"/>
      <c r="O803" s="8"/>
      <c r="P803" s="10"/>
    </row>
    <row r="804" spans="1:16" x14ac:dyDescent="0.45">
      <c r="A804" s="9"/>
      <c r="B804" t="b">
        <v>0</v>
      </c>
      <c r="D804" s="10"/>
      <c r="G804" s="10"/>
      <c r="H804" s="10"/>
      <c r="I804" s="9"/>
      <c r="J804" s="10"/>
      <c r="L804" s="10"/>
      <c r="M804" s="10"/>
      <c r="N804" s="10"/>
      <c r="O804" s="8"/>
      <c r="P804" s="10"/>
    </row>
    <row r="805" spans="1:16" x14ac:dyDescent="0.45">
      <c r="A805" s="9"/>
      <c r="B805" t="b">
        <v>0</v>
      </c>
      <c r="D805" s="10"/>
      <c r="G805" s="10"/>
      <c r="H805" s="10"/>
      <c r="I805" s="9"/>
      <c r="J805" s="10"/>
      <c r="L805" s="10"/>
      <c r="M805" s="10"/>
      <c r="N805" s="10"/>
      <c r="O805" s="8"/>
      <c r="P805" s="10"/>
    </row>
    <row r="806" spans="1:16" x14ac:dyDescent="0.45">
      <c r="A806" s="9"/>
      <c r="B806" t="b">
        <v>0</v>
      </c>
      <c r="D806" s="10"/>
      <c r="G806" s="10"/>
      <c r="H806" s="10"/>
      <c r="I806" s="9"/>
      <c r="J806" s="10"/>
      <c r="L806" s="10"/>
      <c r="M806" s="10"/>
      <c r="N806" s="10"/>
      <c r="O806" s="8"/>
      <c r="P806" s="10"/>
    </row>
    <row r="807" spans="1:16" x14ac:dyDescent="0.45">
      <c r="A807" s="9"/>
      <c r="B807" t="b">
        <v>0</v>
      </c>
      <c r="D807" s="10"/>
      <c r="G807" s="10"/>
      <c r="H807" s="10"/>
      <c r="I807" s="9"/>
      <c r="J807" s="10"/>
      <c r="L807" s="10"/>
      <c r="M807" s="10"/>
      <c r="N807" s="10"/>
      <c r="O807" s="8"/>
      <c r="P807" s="10"/>
    </row>
    <row r="808" spans="1:16" x14ac:dyDescent="0.45">
      <c r="A808" s="9"/>
      <c r="B808" t="b">
        <v>0</v>
      </c>
      <c r="D808" s="10"/>
      <c r="G808" s="10"/>
      <c r="H808" s="10"/>
      <c r="I808" s="9"/>
      <c r="J808" s="10"/>
      <c r="L808" s="10"/>
      <c r="M808" s="10"/>
      <c r="N808" s="10"/>
      <c r="O808" s="8"/>
      <c r="P808" s="10"/>
    </row>
    <row r="809" spans="1:16" x14ac:dyDescent="0.45">
      <c r="A809" s="9"/>
      <c r="B809" t="b">
        <v>0</v>
      </c>
      <c r="D809" s="10"/>
      <c r="G809" s="10"/>
      <c r="H809" s="10"/>
      <c r="I809" s="9"/>
      <c r="J809" s="10"/>
      <c r="L809" s="10"/>
      <c r="M809" s="10"/>
      <c r="N809" s="10"/>
      <c r="O809" s="8"/>
      <c r="P809" s="10"/>
    </row>
    <row r="810" spans="1:16" x14ac:dyDescent="0.45">
      <c r="A810" s="9"/>
      <c r="B810" t="b">
        <v>0</v>
      </c>
      <c r="D810" s="10"/>
      <c r="G810" s="10"/>
      <c r="H810" s="10"/>
      <c r="I810" s="9"/>
      <c r="J810" s="10"/>
      <c r="L810" s="10"/>
      <c r="M810" s="10"/>
      <c r="N810" s="10"/>
      <c r="O810" s="8"/>
      <c r="P810" s="10"/>
    </row>
    <row r="811" spans="1:16" x14ac:dyDescent="0.45">
      <c r="A811" s="9"/>
      <c r="B811" t="b">
        <v>0</v>
      </c>
      <c r="D811" s="10"/>
      <c r="G811" s="10"/>
      <c r="H811" s="10"/>
      <c r="I811" s="9"/>
      <c r="J811" s="10"/>
      <c r="L811" s="10"/>
      <c r="M811" s="10"/>
      <c r="N811" s="10"/>
      <c r="O811" s="8"/>
      <c r="P811" s="10"/>
    </row>
    <row r="812" spans="1:16" x14ac:dyDescent="0.45">
      <c r="A812" s="9"/>
      <c r="B812" t="b">
        <v>0</v>
      </c>
      <c r="D812" s="10"/>
      <c r="G812" s="10"/>
      <c r="H812" s="10"/>
      <c r="I812" s="9"/>
      <c r="J812" s="10"/>
      <c r="L812" s="10"/>
      <c r="M812" s="10"/>
      <c r="N812" s="10"/>
      <c r="O812" s="8"/>
      <c r="P812" s="10"/>
    </row>
    <row r="813" spans="1:16" x14ac:dyDescent="0.45">
      <c r="A813" s="9"/>
      <c r="B813" t="b">
        <v>0</v>
      </c>
      <c r="D813" s="10"/>
      <c r="G813" s="10"/>
      <c r="H813" s="10"/>
      <c r="I813" s="9"/>
      <c r="J813" s="10"/>
      <c r="L813" s="10"/>
      <c r="M813" s="10"/>
      <c r="N813" s="10"/>
      <c r="O813" s="8"/>
      <c r="P813" s="10"/>
    </row>
    <row r="814" spans="1:16" x14ac:dyDescent="0.45">
      <c r="A814" s="9"/>
      <c r="B814" t="b">
        <v>0</v>
      </c>
      <c r="D814" s="10"/>
      <c r="G814" s="10"/>
      <c r="H814" s="10"/>
      <c r="I814" s="9"/>
      <c r="J814" s="10"/>
      <c r="L814" s="10"/>
      <c r="M814" s="10"/>
      <c r="N814" s="10"/>
      <c r="O814" s="8"/>
      <c r="P814" s="10"/>
    </row>
    <row r="815" spans="1:16" x14ac:dyDescent="0.45">
      <c r="A815" s="9"/>
      <c r="B815" t="b">
        <v>0</v>
      </c>
      <c r="D815" s="10"/>
      <c r="G815" s="10"/>
      <c r="H815" s="10"/>
      <c r="I815" s="9"/>
      <c r="J815" s="10"/>
      <c r="L815" s="10"/>
      <c r="M815" s="10"/>
      <c r="N815" s="10"/>
      <c r="O815" s="8"/>
      <c r="P815" s="10"/>
    </row>
    <row r="816" spans="1:16" x14ac:dyDescent="0.45">
      <c r="A816" s="9"/>
      <c r="B816" t="b">
        <v>0</v>
      </c>
      <c r="D816" s="10"/>
      <c r="G816" s="10"/>
      <c r="H816" s="10"/>
      <c r="I816" s="9"/>
      <c r="J816" s="10"/>
      <c r="L816" s="10"/>
      <c r="M816" s="10"/>
      <c r="N816" s="10"/>
      <c r="O816" s="8"/>
      <c r="P816" s="10"/>
    </row>
    <row r="817" spans="1:16" x14ac:dyDescent="0.45">
      <c r="A817" s="9"/>
      <c r="B817" t="b">
        <v>0</v>
      </c>
      <c r="D817" s="10"/>
      <c r="G817" s="10"/>
      <c r="H817" s="10"/>
      <c r="I817" s="9"/>
      <c r="J817" s="10"/>
      <c r="L817" s="10"/>
      <c r="M817" s="10"/>
      <c r="N817" s="10"/>
      <c r="O817" s="8"/>
      <c r="P817" s="10"/>
    </row>
    <row r="818" spans="1:16" x14ac:dyDescent="0.45">
      <c r="A818" s="9"/>
      <c r="B818" t="b">
        <v>0</v>
      </c>
      <c r="D818" s="10"/>
      <c r="G818" s="10"/>
      <c r="H818" s="10"/>
      <c r="I818" s="9"/>
      <c r="J818" s="10"/>
      <c r="L818" s="10"/>
      <c r="M818" s="10"/>
      <c r="N818" s="10"/>
      <c r="O818" s="8"/>
      <c r="P818" s="10"/>
    </row>
    <row r="819" spans="1:16" x14ac:dyDescent="0.45">
      <c r="A819" s="9"/>
      <c r="B819" t="b">
        <v>0</v>
      </c>
      <c r="D819" s="10"/>
      <c r="G819" s="10"/>
      <c r="H819" s="10"/>
      <c r="I819" s="9"/>
      <c r="J819" s="10"/>
      <c r="L819" s="10"/>
      <c r="M819" s="10"/>
      <c r="N819" s="10"/>
      <c r="O819" s="8"/>
      <c r="P819" s="10"/>
    </row>
    <row r="820" spans="1:16" x14ac:dyDescent="0.45">
      <c r="A820" s="9"/>
      <c r="B820" t="b">
        <v>0</v>
      </c>
      <c r="D820" s="10"/>
      <c r="G820" s="10"/>
      <c r="H820" s="10"/>
      <c r="I820" s="9"/>
      <c r="J820" s="10"/>
      <c r="L820" s="10"/>
      <c r="M820" s="10"/>
      <c r="N820" s="10"/>
      <c r="O820" s="8"/>
      <c r="P820" s="10"/>
    </row>
    <row r="821" spans="1:16" x14ac:dyDescent="0.45">
      <c r="A821" s="9"/>
      <c r="B821" t="b">
        <v>0</v>
      </c>
      <c r="D821" s="10"/>
      <c r="G821" s="10"/>
      <c r="H821" s="10"/>
      <c r="I821" s="9"/>
      <c r="J821" s="10"/>
      <c r="L821" s="10"/>
      <c r="M821" s="10"/>
      <c r="N821" s="10"/>
      <c r="O821" s="8"/>
      <c r="P821" s="10"/>
    </row>
    <row r="822" spans="1:16" x14ac:dyDescent="0.45">
      <c r="A822" s="9"/>
      <c r="B822" t="b">
        <v>0</v>
      </c>
      <c r="D822" s="10"/>
      <c r="G822" s="10"/>
      <c r="H822" s="10"/>
      <c r="I822" s="9"/>
      <c r="J822" s="10"/>
      <c r="L822" s="10"/>
      <c r="M822" s="10"/>
      <c r="N822" s="10"/>
      <c r="O822" s="8"/>
      <c r="P822" s="10"/>
    </row>
    <row r="823" spans="1:16" x14ac:dyDescent="0.45">
      <c r="A823" s="9"/>
      <c r="B823" t="b">
        <v>0</v>
      </c>
      <c r="D823" s="10"/>
      <c r="G823" s="10"/>
      <c r="H823" s="10"/>
      <c r="I823" s="9"/>
      <c r="J823" s="10"/>
      <c r="L823" s="10"/>
      <c r="M823" s="10"/>
      <c r="N823" s="10"/>
      <c r="O823" s="8"/>
      <c r="P823" s="10"/>
    </row>
    <row r="824" spans="1:16" x14ac:dyDescent="0.45">
      <c r="A824" s="9"/>
      <c r="B824" t="b">
        <v>0</v>
      </c>
      <c r="D824" s="10"/>
      <c r="G824" s="10"/>
      <c r="H824" s="10"/>
      <c r="I824" s="9"/>
      <c r="J824" s="10"/>
      <c r="L824" s="10"/>
      <c r="M824" s="10"/>
      <c r="N824" s="10"/>
      <c r="O824" s="8"/>
      <c r="P824" s="10"/>
    </row>
    <row r="825" spans="1:16" x14ac:dyDescent="0.45">
      <c r="A825" s="9"/>
      <c r="B825" t="b">
        <v>0</v>
      </c>
      <c r="D825" s="10"/>
      <c r="G825" s="10"/>
      <c r="H825" s="10"/>
      <c r="I825" s="9"/>
      <c r="J825" s="10"/>
      <c r="L825" s="10"/>
      <c r="M825" s="10"/>
      <c r="N825" s="10"/>
      <c r="O825" s="8"/>
      <c r="P825" s="10"/>
    </row>
    <row r="826" spans="1:16" x14ac:dyDescent="0.45">
      <c r="A826" s="9"/>
      <c r="B826" t="b">
        <v>0</v>
      </c>
      <c r="D826" s="10"/>
      <c r="G826" s="10"/>
      <c r="H826" s="10"/>
      <c r="I826" s="9"/>
      <c r="J826" s="10"/>
      <c r="L826" s="10"/>
      <c r="M826" s="10"/>
      <c r="N826" s="10"/>
      <c r="O826" s="8"/>
      <c r="P826" s="10"/>
    </row>
    <row r="827" spans="1:16" x14ac:dyDescent="0.45">
      <c r="A827" s="9"/>
      <c r="B827" t="b">
        <v>0</v>
      </c>
      <c r="D827" s="10"/>
      <c r="G827" s="10"/>
      <c r="H827" s="10"/>
      <c r="I827" s="9"/>
      <c r="J827" s="10"/>
      <c r="L827" s="10"/>
      <c r="M827" s="10"/>
      <c r="N827" s="10"/>
      <c r="O827" s="8"/>
      <c r="P827" s="10"/>
    </row>
    <row r="828" spans="1:16" x14ac:dyDescent="0.45">
      <c r="A828" s="9"/>
      <c r="B828" t="b">
        <v>0</v>
      </c>
      <c r="D828" s="10"/>
      <c r="G828" s="10"/>
      <c r="H828" s="10"/>
      <c r="I828" s="9"/>
      <c r="J828" s="10"/>
      <c r="L828" s="10"/>
      <c r="M828" s="10"/>
      <c r="N828" s="10"/>
      <c r="O828" s="8"/>
      <c r="P828" s="10"/>
    </row>
    <row r="829" spans="1:16" x14ac:dyDescent="0.45">
      <c r="A829" s="9"/>
      <c r="B829" t="b">
        <v>0</v>
      </c>
      <c r="D829" s="10"/>
      <c r="G829" s="10"/>
      <c r="H829" s="10"/>
      <c r="I829" s="9"/>
      <c r="J829" s="10"/>
      <c r="L829" s="10"/>
      <c r="M829" s="10"/>
      <c r="N829" s="10"/>
      <c r="O829" s="8"/>
      <c r="P829" s="10"/>
    </row>
    <row r="830" spans="1:16" x14ac:dyDescent="0.45">
      <c r="A830" s="9"/>
      <c r="B830" t="b">
        <v>0</v>
      </c>
      <c r="D830" s="10"/>
      <c r="G830" s="10"/>
      <c r="H830" s="10"/>
      <c r="I830" s="9"/>
      <c r="J830" s="10"/>
      <c r="L830" s="10"/>
      <c r="M830" s="10"/>
      <c r="N830" s="10"/>
      <c r="O830" s="8"/>
      <c r="P830" s="10"/>
    </row>
    <row r="831" spans="1:16" x14ac:dyDescent="0.45">
      <c r="A831" s="9"/>
      <c r="B831" t="b">
        <v>0</v>
      </c>
      <c r="D831" s="10"/>
      <c r="G831" s="10"/>
      <c r="H831" s="10"/>
      <c r="I831" s="9"/>
      <c r="J831" s="10"/>
      <c r="L831" s="10"/>
      <c r="M831" s="10"/>
      <c r="N831" s="10"/>
      <c r="O831" s="8"/>
      <c r="P831" s="10"/>
    </row>
    <row r="832" spans="1:16" x14ac:dyDescent="0.45">
      <c r="A832" s="9"/>
      <c r="B832" t="b">
        <v>0</v>
      </c>
      <c r="D832" s="10"/>
      <c r="G832" s="10"/>
      <c r="H832" s="10"/>
      <c r="I832" s="9"/>
      <c r="J832" s="10"/>
      <c r="L832" s="10"/>
      <c r="M832" s="10"/>
      <c r="N832" s="10"/>
      <c r="O832" s="8"/>
      <c r="P832" s="10"/>
    </row>
    <row r="833" spans="1:16" x14ac:dyDescent="0.45">
      <c r="A833" s="9"/>
      <c r="B833" t="b">
        <v>0</v>
      </c>
      <c r="D833" s="10"/>
      <c r="G833" s="10"/>
      <c r="H833" s="10"/>
      <c r="I833" s="9"/>
      <c r="J833" s="10"/>
      <c r="L833" s="10"/>
      <c r="M833" s="10"/>
      <c r="N833" s="10"/>
      <c r="O833" s="8"/>
      <c r="P833" s="10"/>
    </row>
    <row r="834" spans="1:16" x14ac:dyDescent="0.45">
      <c r="A834" s="9"/>
      <c r="B834" t="b">
        <v>0</v>
      </c>
      <c r="D834" s="10"/>
      <c r="G834" s="10"/>
      <c r="H834" s="10"/>
      <c r="I834" s="9"/>
      <c r="J834" s="10"/>
      <c r="L834" s="10"/>
      <c r="M834" s="10"/>
      <c r="N834" s="10"/>
      <c r="O834" s="8"/>
      <c r="P834" s="10"/>
    </row>
    <row r="835" spans="1:16" x14ac:dyDescent="0.45">
      <c r="A835" s="9"/>
      <c r="B835" t="b">
        <v>0</v>
      </c>
      <c r="D835" s="10"/>
      <c r="G835" s="10"/>
      <c r="H835" s="10"/>
      <c r="I835" s="9"/>
      <c r="J835" s="10"/>
      <c r="L835" s="10"/>
      <c r="M835" s="10"/>
      <c r="N835" s="10"/>
      <c r="O835" s="8"/>
      <c r="P835" s="10"/>
    </row>
    <row r="836" spans="1:16" x14ac:dyDescent="0.45">
      <c r="A836" s="9"/>
      <c r="B836" t="b">
        <v>0</v>
      </c>
      <c r="D836" s="10"/>
      <c r="G836" s="10"/>
      <c r="H836" s="10"/>
      <c r="I836" s="9"/>
      <c r="J836" s="10"/>
      <c r="L836" s="10"/>
      <c r="M836" s="10"/>
      <c r="N836" s="10"/>
      <c r="O836" s="8"/>
      <c r="P836" s="10"/>
    </row>
    <row r="837" spans="1:16" x14ac:dyDescent="0.45">
      <c r="A837" s="9"/>
      <c r="B837" t="b">
        <v>0</v>
      </c>
      <c r="D837" s="10"/>
      <c r="G837" s="10"/>
      <c r="H837" s="10"/>
      <c r="I837" s="9"/>
      <c r="J837" s="10"/>
      <c r="L837" s="10"/>
      <c r="M837" s="10"/>
      <c r="N837" s="10"/>
      <c r="O837" s="8"/>
      <c r="P837" s="10"/>
    </row>
    <row r="838" spans="1:16" x14ac:dyDescent="0.45">
      <c r="A838" s="9"/>
      <c r="B838" t="b">
        <v>0</v>
      </c>
      <c r="D838" s="10"/>
      <c r="G838" s="10"/>
      <c r="H838" s="10"/>
      <c r="I838" s="9"/>
      <c r="J838" s="10"/>
      <c r="L838" s="10"/>
      <c r="M838" s="10"/>
      <c r="N838" s="10"/>
      <c r="O838" s="8"/>
      <c r="P838" s="10"/>
    </row>
    <row r="839" spans="1:16" x14ac:dyDescent="0.45">
      <c r="A839" s="9"/>
      <c r="B839" t="b">
        <v>0</v>
      </c>
      <c r="D839" s="10"/>
      <c r="G839" s="10"/>
      <c r="H839" s="10"/>
      <c r="I839" s="9"/>
      <c r="J839" s="10"/>
      <c r="L839" s="10"/>
      <c r="M839" s="10"/>
      <c r="N839" s="10"/>
      <c r="O839" s="8"/>
      <c r="P839" s="10"/>
    </row>
    <row r="840" spans="1:16" x14ac:dyDescent="0.45">
      <c r="A840" s="9"/>
      <c r="B840" t="b">
        <v>0</v>
      </c>
      <c r="D840" s="10"/>
      <c r="G840" s="10"/>
      <c r="H840" s="10"/>
      <c r="I840" s="9"/>
      <c r="J840" s="10"/>
      <c r="L840" s="10"/>
      <c r="M840" s="10"/>
      <c r="N840" s="10"/>
      <c r="O840" s="8"/>
      <c r="P840" s="10"/>
    </row>
    <row r="841" spans="1:16" x14ac:dyDescent="0.45">
      <c r="A841" s="9"/>
      <c r="B841" t="b">
        <v>0</v>
      </c>
      <c r="D841" s="10"/>
      <c r="G841" s="10"/>
      <c r="H841" s="10"/>
      <c r="I841" s="9"/>
      <c r="J841" s="10"/>
      <c r="L841" s="10"/>
      <c r="M841" s="10"/>
      <c r="N841" s="10"/>
      <c r="O841" s="8"/>
      <c r="P841" s="10"/>
    </row>
    <row r="842" spans="1:16" x14ac:dyDescent="0.45">
      <c r="A842" s="9"/>
      <c r="B842" t="b">
        <v>0</v>
      </c>
      <c r="D842" s="10"/>
      <c r="G842" s="10"/>
      <c r="H842" s="10"/>
      <c r="I842" s="9"/>
      <c r="J842" s="10"/>
      <c r="L842" s="10"/>
      <c r="M842" s="10"/>
      <c r="N842" s="10"/>
      <c r="O842" s="8"/>
      <c r="P842" s="10"/>
    </row>
    <row r="843" spans="1:16" x14ac:dyDescent="0.45">
      <c r="A843" s="9"/>
      <c r="B843" t="b">
        <v>0</v>
      </c>
      <c r="D843" s="10"/>
      <c r="G843" s="10"/>
      <c r="H843" s="10"/>
      <c r="I843" s="9"/>
      <c r="J843" s="10"/>
      <c r="L843" s="10"/>
      <c r="M843" s="10"/>
      <c r="N843" s="10"/>
      <c r="O843" s="8"/>
      <c r="P843" s="10"/>
    </row>
    <row r="844" spans="1:16" x14ac:dyDescent="0.45">
      <c r="A844" s="9"/>
      <c r="B844" t="b">
        <v>0</v>
      </c>
      <c r="D844" s="10"/>
      <c r="G844" s="10"/>
      <c r="H844" s="10"/>
      <c r="I844" s="9"/>
      <c r="J844" s="10"/>
      <c r="L844" s="10"/>
      <c r="M844" s="10"/>
      <c r="N844" s="10"/>
      <c r="O844" s="8"/>
      <c r="P844" s="10"/>
    </row>
    <row r="845" spans="1:16" x14ac:dyDescent="0.45">
      <c r="A845" s="9"/>
      <c r="B845" t="b">
        <v>0</v>
      </c>
      <c r="D845" s="10"/>
      <c r="G845" s="10"/>
      <c r="H845" s="10"/>
      <c r="I845" s="9"/>
      <c r="J845" s="10"/>
      <c r="L845" s="10"/>
      <c r="M845" s="10"/>
      <c r="N845" s="10"/>
      <c r="O845" s="8"/>
      <c r="P845" s="10"/>
    </row>
    <row r="846" spans="1:16" x14ac:dyDescent="0.45">
      <c r="A846" s="9"/>
      <c r="B846" t="b">
        <v>0</v>
      </c>
      <c r="D846" s="10"/>
      <c r="G846" s="10"/>
      <c r="H846" s="10"/>
      <c r="I846" s="9"/>
      <c r="J846" s="10"/>
      <c r="L846" s="10"/>
      <c r="M846" s="10"/>
      <c r="N846" s="10"/>
      <c r="O846" s="8"/>
      <c r="P846" s="10"/>
    </row>
    <row r="847" spans="1:16" x14ac:dyDescent="0.45">
      <c r="A847" s="9"/>
      <c r="B847" t="b">
        <v>0</v>
      </c>
      <c r="D847" s="10"/>
      <c r="G847" s="10"/>
      <c r="H847" s="10"/>
      <c r="I847" s="9"/>
      <c r="J847" s="10"/>
      <c r="L847" s="10"/>
      <c r="M847" s="10"/>
      <c r="N847" s="10"/>
      <c r="O847" s="8"/>
      <c r="P847" s="10"/>
    </row>
    <row r="848" spans="1:16" x14ac:dyDescent="0.45">
      <c r="A848" s="9"/>
      <c r="B848" t="b">
        <v>0</v>
      </c>
      <c r="D848" s="10"/>
      <c r="G848" s="10"/>
      <c r="H848" s="10"/>
      <c r="I848" s="9"/>
      <c r="J848" s="10"/>
      <c r="L848" s="10"/>
      <c r="M848" s="10"/>
      <c r="N848" s="10"/>
      <c r="O848" s="8"/>
      <c r="P848" s="10"/>
    </row>
    <row r="849" spans="1:16" x14ac:dyDescent="0.45">
      <c r="A849" s="9"/>
      <c r="B849" t="b">
        <v>0</v>
      </c>
      <c r="D849" s="10"/>
      <c r="G849" s="10"/>
      <c r="H849" s="10"/>
      <c r="I849" s="9"/>
      <c r="J849" s="10"/>
      <c r="L849" s="10"/>
      <c r="M849" s="10"/>
      <c r="N849" s="10"/>
      <c r="O849" s="8"/>
      <c r="P849" s="10"/>
    </row>
    <row r="850" spans="1:16" x14ac:dyDescent="0.45">
      <c r="A850" s="9"/>
      <c r="B850" t="b">
        <v>0</v>
      </c>
      <c r="D850" s="10"/>
      <c r="G850" s="10"/>
      <c r="H850" s="10"/>
      <c r="I850" s="9"/>
      <c r="J850" s="10"/>
      <c r="L850" s="10"/>
      <c r="M850" s="10"/>
      <c r="N850" s="10"/>
      <c r="O850" s="8"/>
      <c r="P850" s="10"/>
    </row>
    <row r="851" spans="1:16" x14ac:dyDescent="0.45">
      <c r="A851" s="9"/>
      <c r="B851" t="b">
        <v>0</v>
      </c>
      <c r="D851" s="10"/>
      <c r="G851" s="10"/>
      <c r="H851" s="10"/>
      <c r="I851" s="9"/>
      <c r="J851" s="10"/>
      <c r="L851" s="10"/>
      <c r="M851" s="10"/>
      <c r="N851" s="10"/>
      <c r="O851" s="8"/>
      <c r="P851" s="10"/>
    </row>
    <row r="852" spans="1:16" x14ac:dyDescent="0.45">
      <c r="A852" s="9"/>
      <c r="B852" t="b">
        <v>0</v>
      </c>
      <c r="D852" s="10"/>
      <c r="G852" s="10"/>
      <c r="H852" s="10"/>
      <c r="I852" s="9"/>
      <c r="J852" s="10"/>
      <c r="L852" s="10"/>
      <c r="M852" s="10"/>
      <c r="N852" s="10"/>
      <c r="O852" s="8"/>
      <c r="P852" s="10"/>
    </row>
    <row r="853" spans="1:16" x14ac:dyDescent="0.45">
      <c r="A853" s="9"/>
      <c r="B853" t="b">
        <v>0</v>
      </c>
      <c r="D853" s="10"/>
      <c r="G853" s="10"/>
      <c r="H853" s="10"/>
      <c r="I853" s="9"/>
      <c r="J853" s="10"/>
      <c r="L853" s="10"/>
      <c r="M853" s="10"/>
      <c r="N853" s="10"/>
      <c r="O853" s="8"/>
      <c r="P853" s="10"/>
    </row>
    <row r="854" spans="1:16" x14ac:dyDescent="0.45">
      <c r="A854" s="9"/>
      <c r="B854" t="b">
        <v>0</v>
      </c>
      <c r="D854" s="10"/>
      <c r="G854" s="10"/>
      <c r="H854" s="10"/>
      <c r="I854" s="9"/>
      <c r="J854" s="10"/>
      <c r="L854" s="10"/>
      <c r="M854" s="10"/>
      <c r="N854" s="10"/>
      <c r="O854" s="8"/>
      <c r="P854" s="10"/>
    </row>
    <row r="855" spans="1:16" x14ac:dyDescent="0.45">
      <c r="A855" s="9"/>
      <c r="B855" t="b">
        <v>0</v>
      </c>
      <c r="D855" s="10"/>
      <c r="G855" s="10"/>
      <c r="H855" s="10"/>
      <c r="I855" s="9"/>
      <c r="J855" s="10"/>
      <c r="L855" s="10"/>
      <c r="M855" s="10"/>
      <c r="N855" s="10"/>
      <c r="O855" s="8"/>
      <c r="P855" s="10"/>
    </row>
    <row r="856" spans="1:16" x14ac:dyDescent="0.45">
      <c r="A856" s="9"/>
      <c r="B856" t="b">
        <v>0</v>
      </c>
      <c r="D856" s="10"/>
      <c r="G856" s="10"/>
      <c r="H856" s="10"/>
      <c r="I856" s="9"/>
      <c r="J856" s="10"/>
      <c r="L856" s="10"/>
      <c r="M856" s="10"/>
      <c r="N856" s="10"/>
      <c r="O856" s="8"/>
      <c r="P856" s="10"/>
    </row>
    <row r="857" spans="1:16" x14ac:dyDescent="0.45">
      <c r="A857" s="9"/>
      <c r="B857" t="b">
        <v>0</v>
      </c>
      <c r="D857" s="10"/>
      <c r="G857" s="10"/>
      <c r="H857" s="10"/>
      <c r="I857" s="9"/>
      <c r="J857" s="10"/>
      <c r="L857" s="10"/>
      <c r="M857" s="10"/>
      <c r="N857" s="10"/>
      <c r="O857" s="8"/>
      <c r="P857" s="10"/>
    </row>
    <row r="858" spans="1:16" x14ac:dyDescent="0.45">
      <c r="A858" s="9"/>
      <c r="B858" t="b">
        <v>0</v>
      </c>
      <c r="D858" s="10"/>
      <c r="G858" s="10"/>
      <c r="H858" s="10"/>
      <c r="I858" s="9"/>
      <c r="J858" s="10"/>
      <c r="L858" s="10"/>
      <c r="M858" s="10"/>
      <c r="N858" s="10"/>
      <c r="O858" s="8"/>
      <c r="P858" s="10"/>
    </row>
    <row r="859" spans="1:16" x14ac:dyDescent="0.45">
      <c r="A859" s="9"/>
      <c r="B859" t="b">
        <v>0</v>
      </c>
      <c r="D859" s="10"/>
      <c r="G859" s="10"/>
      <c r="H859" s="10"/>
      <c r="I859" s="9"/>
      <c r="J859" s="10"/>
      <c r="L859" s="10"/>
      <c r="M859" s="10"/>
      <c r="N859" s="10"/>
      <c r="O859" s="8"/>
      <c r="P859" s="10"/>
    </row>
    <row r="860" spans="1:16" x14ac:dyDescent="0.45">
      <c r="A860" s="9"/>
      <c r="B860" t="b">
        <v>0</v>
      </c>
      <c r="D860" s="10"/>
      <c r="G860" s="10"/>
      <c r="H860" s="10"/>
      <c r="I860" s="9"/>
      <c r="J860" s="10"/>
      <c r="L860" s="10"/>
      <c r="M860" s="10"/>
      <c r="N860" s="10"/>
      <c r="O860" s="8"/>
      <c r="P860" s="10"/>
    </row>
    <row r="861" spans="1:16" x14ac:dyDescent="0.45">
      <c r="A861" s="9"/>
      <c r="B861" t="b">
        <v>0</v>
      </c>
      <c r="D861" s="10"/>
      <c r="G861" s="10"/>
      <c r="H861" s="10"/>
      <c r="I861" s="9"/>
      <c r="J861" s="10"/>
      <c r="L861" s="10"/>
      <c r="M861" s="10"/>
      <c r="N861" s="10"/>
      <c r="O861" s="8"/>
      <c r="P861" s="10"/>
    </row>
    <row r="862" spans="1:16" x14ac:dyDescent="0.45">
      <c r="A862" s="9"/>
      <c r="B862" t="b">
        <v>0</v>
      </c>
      <c r="D862" s="10"/>
      <c r="G862" s="10"/>
      <c r="H862" s="10"/>
      <c r="I862" s="9"/>
      <c r="J862" s="10"/>
      <c r="L862" s="10"/>
      <c r="M862" s="10"/>
      <c r="N862" s="10"/>
      <c r="O862" s="8"/>
      <c r="P862" s="10"/>
    </row>
    <row r="863" spans="1:16" x14ac:dyDescent="0.45">
      <c r="A863" s="9"/>
      <c r="B863" t="b">
        <v>0</v>
      </c>
      <c r="D863" s="10"/>
      <c r="G863" s="10"/>
      <c r="H863" s="10"/>
      <c r="I863" s="9"/>
      <c r="J863" s="10"/>
      <c r="L863" s="10"/>
      <c r="M863" s="10"/>
      <c r="N863" s="10"/>
      <c r="O863" s="8"/>
      <c r="P863" s="10"/>
    </row>
    <row r="864" spans="1:16" x14ac:dyDescent="0.45">
      <c r="A864" s="9"/>
      <c r="B864" t="b">
        <v>0</v>
      </c>
      <c r="D864" s="10"/>
      <c r="G864" s="10"/>
      <c r="H864" s="10"/>
      <c r="I864" s="9"/>
      <c r="J864" s="10"/>
      <c r="L864" s="10"/>
      <c r="M864" s="10"/>
      <c r="N864" s="10"/>
      <c r="O864" s="8"/>
      <c r="P864" s="10"/>
    </row>
    <row r="865" spans="1:16" x14ac:dyDescent="0.45">
      <c r="A865" s="9"/>
      <c r="B865" t="b">
        <v>0</v>
      </c>
      <c r="D865" s="10"/>
      <c r="G865" s="10"/>
      <c r="H865" s="10"/>
      <c r="I865" s="9"/>
      <c r="J865" s="10"/>
      <c r="L865" s="10"/>
      <c r="M865" s="10"/>
      <c r="N865" s="10"/>
      <c r="O865" s="8"/>
      <c r="P865" s="10"/>
    </row>
    <row r="866" spans="1:16" x14ac:dyDescent="0.45">
      <c r="A866" s="9"/>
      <c r="B866" t="b">
        <v>0</v>
      </c>
      <c r="D866" s="10"/>
      <c r="G866" s="10"/>
      <c r="H866" s="10"/>
      <c r="I866" s="9"/>
      <c r="J866" s="10"/>
      <c r="L866" s="10"/>
      <c r="M866" s="10"/>
      <c r="N866" s="10"/>
      <c r="O866" s="8"/>
      <c r="P866" s="10"/>
    </row>
    <row r="867" spans="1:16" x14ac:dyDescent="0.45">
      <c r="A867" s="9"/>
      <c r="B867" t="b">
        <v>0</v>
      </c>
      <c r="D867" s="10"/>
      <c r="G867" s="10"/>
      <c r="H867" s="10"/>
      <c r="I867" s="9"/>
      <c r="J867" s="10"/>
      <c r="L867" s="10"/>
      <c r="M867" s="10"/>
      <c r="N867" s="10"/>
      <c r="O867" s="8"/>
      <c r="P867" s="10"/>
    </row>
    <row r="868" spans="1:16" x14ac:dyDescent="0.45">
      <c r="A868" s="9"/>
      <c r="B868" t="b">
        <v>0</v>
      </c>
      <c r="D868" s="10"/>
      <c r="G868" s="10"/>
      <c r="H868" s="10"/>
      <c r="I868" s="9"/>
      <c r="J868" s="10"/>
      <c r="L868" s="10"/>
      <c r="M868" s="10"/>
      <c r="N868" s="10"/>
      <c r="O868" s="8"/>
      <c r="P868" s="10"/>
    </row>
    <row r="869" spans="1:16" x14ac:dyDescent="0.45">
      <c r="A869" s="9"/>
      <c r="B869" t="b">
        <v>0</v>
      </c>
      <c r="D869" s="10"/>
      <c r="G869" s="10"/>
      <c r="H869" s="10"/>
      <c r="I869" s="9"/>
      <c r="J869" s="10"/>
      <c r="L869" s="10"/>
      <c r="M869" s="10"/>
      <c r="N869" s="10"/>
      <c r="O869" s="8"/>
      <c r="P869" s="10"/>
    </row>
    <row r="870" spans="1:16" x14ac:dyDescent="0.45">
      <c r="A870" s="9"/>
      <c r="B870" t="b">
        <v>0</v>
      </c>
      <c r="D870" s="10"/>
      <c r="G870" s="10"/>
      <c r="H870" s="10"/>
      <c r="I870" s="9"/>
      <c r="J870" s="10"/>
      <c r="L870" s="10"/>
      <c r="M870" s="10"/>
      <c r="N870" s="10"/>
      <c r="O870" s="8"/>
      <c r="P870" s="10"/>
    </row>
    <row r="871" spans="1:16" x14ac:dyDescent="0.45">
      <c r="A871" s="9"/>
      <c r="B871" t="b">
        <v>0</v>
      </c>
      <c r="D871" s="10"/>
      <c r="G871" s="10"/>
      <c r="H871" s="10"/>
      <c r="I871" s="9"/>
      <c r="J871" s="10"/>
      <c r="L871" s="10"/>
      <c r="M871" s="10"/>
      <c r="N871" s="10"/>
      <c r="O871" s="8"/>
      <c r="P871" s="10"/>
    </row>
    <row r="872" spans="1:16" x14ac:dyDescent="0.45">
      <c r="A872" s="9"/>
      <c r="B872" t="b">
        <v>0</v>
      </c>
      <c r="D872" s="10"/>
      <c r="G872" s="10"/>
      <c r="H872" s="10"/>
      <c r="I872" s="9"/>
      <c r="J872" s="10"/>
      <c r="L872" s="10"/>
      <c r="M872" s="10"/>
      <c r="N872" s="10"/>
      <c r="O872" s="8"/>
      <c r="P872" s="10"/>
    </row>
    <row r="873" spans="1:16" x14ac:dyDescent="0.45">
      <c r="A873" s="9"/>
      <c r="B873" t="b">
        <v>0</v>
      </c>
      <c r="D873" s="10"/>
      <c r="G873" s="10"/>
      <c r="H873" s="10"/>
      <c r="I873" s="9"/>
      <c r="J873" s="10"/>
      <c r="L873" s="10"/>
      <c r="M873" s="10"/>
      <c r="N873" s="10"/>
      <c r="O873" s="8"/>
      <c r="P873" s="10"/>
    </row>
    <row r="874" spans="1:16" x14ac:dyDescent="0.45">
      <c r="A874" s="9"/>
      <c r="B874" t="b">
        <v>0</v>
      </c>
      <c r="D874" s="10"/>
      <c r="G874" s="10"/>
      <c r="H874" s="10"/>
      <c r="I874" s="9"/>
      <c r="J874" s="10"/>
      <c r="L874" s="10"/>
      <c r="M874" s="10"/>
      <c r="N874" s="10"/>
      <c r="O874" s="8"/>
      <c r="P874" s="10"/>
    </row>
    <row r="875" spans="1:16" x14ac:dyDescent="0.45">
      <c r="A875" s="9"/>
      <c r="B875" t="b">
        <v>0</v>
      </c>
      <c r="D875" s="10"/>
      <c r="G875" s="10"/>
      <c r="H875" s="10"/>
      <c r="I875" s="9"/>
      <c r="J875" s="10"/>
      <c r="L875" s="10"/>
      <c r="M875" s="10"/>
      <c r="N875" s="10"/>
      <c r="O875" s="8"/>
      <c r="P875" s="10"/>
    </row>
    <row r="876" spans="1:16" x14ac:dyDescent="0.45">
      <c r="A876" s="9"/>
      <c r="B876" t="b">
        <v>0</v>
      </c>
      <c r="D876" s="10"/>
      <c r="G876" s="10"/>
      <c r="H876" s="10"/>
      <c r="I876" s="9"/>
      <c r="J876" s="10"/>
      <c r="L876" s="10"/>
      <c r="M876" s="10"/>
      <c r="N876" s="10"/>
      <c r="O876" s="8"/>
      <c r="P876" s="10"/>
    </row>
    <row r="877" spans="1:16" x14ac:dyDescent="0.45">
      <c r="A877" s="9"/>
      <c r="B877" t="b">
        <v>0</v>
      </c>
      <c r="D877" s="10"/>
      <c r="G877" s="10"/>
      <c r="H877" s="10"/>
      <c r="I877" s="9"/>
      <c r="J877" s="10"/>
      <c r="L877" s="10"/>
      <c r="M877" s="10"/>
      <c r="N877" s="10"/>
      <c r="O877" s="8"/>
      <c r="P877" s="10"/>
    </row>
    <row r="878" spans="1:16" x14ac:dyDescent="0.45">
      <c r="A878" s="9"/>
      <c r="B878" t="b">
        <v>0</v>
      </c>
      <c r="D878" s="10"/>
      <c r="G878" s="10"/>
      <c r="H878" s="10"/>
      <c r="I878" s="9"/>
      <c r="J878" s="10"/>
      <c r="L878" s="10"/>
      <c r="M878" s="10"/>
      <c r="N878" s="10"/>
      <c r="O878" s="8"/>
      <c r="P878" s="10"/>
    </row>
    <row r="879" spans="1:16" x14ac:dyDescent="0.45">
      <c r="A879" s="9"/>
      <c r="B879" t="b">
        <v>0</v>
      </c>
      <c r="D879" s="10"/>
      <c r="G879" s="10"/>
      <c r="H879" s="10"/>
      <c r="I879" s="9"/>
      <c r="J879" s="10"/>
      <c r="L879" s="10"/>
      <c r="M879" s="10"/>
      <c r="N879" s="10"/>
      <c r="O879" s="8"/>
      <c r="P879" s="10"/>
    </row>
    <row r="880" spans="1:16" x14ac:dyDescent="0.45">
      <c r="A880" s="9"/>
      <c r="B880" t="b">
        <v>0</v>
      </c>
      <c r="D880" s="10"/>
      <c r="G880" s="10"/>
      <c r="H880" s="10"/>
      <c r="I880" s="9"/>
      <c r="J880" s="10"/>
      <c r="L880" s="10"/>
      <c r="M880" s="10"/>
      <c r="N880" s="10"/>
      <c r="O880" s="8"/>
      <c r="P880" s="10"/>
    </row>
    <row r="881" spans="1:16" x14ac:dyDescent="0.45">
      <c r="A881" s="9"/>
      <c r="B881" t="b">
        <v>0</v>
      </c>
      <c r="D881" s="10"/>
      <c r="G881" s="10"/>
      <c r="H881" s="10"/>
      <c r="I881" s="9"/>
      <c r="J881" s="10"/>
      <c r="L881" s="10"/>
      <c r="M881" s="10"/>
      <c r="N881" s="10"/>
      <c r="O881" s="8"/>
      <c r="P881" s="10"/>
    </row>
    <row r="882" spans="1:16" x14ac:dyDescent="0.45">
      <c r="A882" s="9"/>
      <c r="B882" t="b">
        <v>0</v>
      </c>
      <c r="D882" s="10"/>
      <c r="G882" s="10"/>
      <c r="H882" s="10"/>
      <c r="I882" s="9"/>
      <c r="J882" s="10"/>
      <c r="L882" s="10"/>
      <c r="M882" s="10"/>
      <c r="N882" s="10"/>
      <c r="O882" s="8"/>
      <c r="P882" s="10"/>
    </row>
    <row r="883" spans="1:16" x14ac:dyDescent="0.45">
      <c r="A883" s="9"/>
      <c r="B883" t="b">
        <v>0</v>
      </c>
      <c r="D883" s="10"/>
      <c r="G883" s="10"/>
      <c r="H883" s="10"/>
      <c r="I883" s="9"/>
      <c r="J883" s="10"/>
      <c r="L883" s="10"/>
      <c r="M883" s="10"/>
      <c r="N883" s="10"/>
      <c r="O883" s="8"/>
      <c r="P883" s="10"/>
    </row>
    <row r="884" spans="1:16" x14ac:dyDescent="0.45">
      <c r="A884" s="9"/>
      <c r="B884" t="b">
        <v>0</v>
      </c>
      <c r="D884" s="10"/>
      <c r="G884" s="10"/>
      <c r="H884" s="10"/>
      <c r="I884" s="9"/>
      <c r="J884" s="10"/>
      <c r="L884" s="10"/>
      <c r="M884" s="10"/>
      <c r="N884" s="10"/>
      <c r="O884" s="8"/>
      <c r="P884" s="10"/>
    </row>
    <row r="885" spans="1:16" x14ac:dyDescent="0.45">
      <c r="A885" s="9"/>
      <c r="B885" t="b">
        <v>0</v>
      </c>
      <c r="D885" s="10"/>
      <c r="G885" s="10"/>
      <c r="H885" s="10"/>
      <c r="I885" s="9"/>
      <c r="J885" s="10"/>
      <c r="L885" s="10"/>
      <c r="M885" s="10"/>
      <c r="N885" s="10"/>
      <c r="O885" s="8"/>
      <c r="P885" s="10"/>
    </row>
    <row r="886" spans="1:16" x14ac:dyDescent="0.45">
      <c r="A886" s="9"/>
      <c r="B886" t="b">
        <v>0</v>
      </c>
      <c r="D886" s="10"/>
      <c r="G886" s="10"/>
      <c r="H886" s="10"/>
      <c r="I886" s="9"/>
      <c r="J886" s="10"/>
      <c r="L886" s="10"/>
      <c r="M886" s="10"/>
      <c r="N886" s="10"/>
      <c r="O886" s="8"/>
      <c r="P886" s="10"/>
    </row>
    <row r="887" spans="1:16" x14ac:dyDescent="0.45">
      <c r="A887" s="9"/>
      <c r="B887" t="b">
        <v>0</v>
      </c>
      <c r="D887" s="10"/>
      <c r="G887" s="10"/>
      <c r="H887" s="10"/>
      <c r="I887" s="9"/>
      <c r="J887" s="10"/>
      <c r="L887" s="10"/>
      <c r="M887" s="10"/>
      <c r="N887" s="10"/>
      <c r="O887" s="8"/>
      <c r="P887" s="10"/>
    </row>
    <row r="888" spans="1:16" x14ac:dyDescent="0.45">
      <c r="A888" s="9"/>
      <c r="B888" t="b">
        <v>0</v>
      </c>
      <c r="D888" s="10"/>
      <c r="G888" s="10"/>
      <c r="H888" s="10"/>
      <c r="I888" s="9"/>
      <c r="J888" s="10"/>
      <c r="L888" s="10"/>
      <c r="M888" s="10"/>
      <c r="N888" s="10"/>
      <c r="O888" s="8"/>
      <c r="P888" s="10"/>
    </row>
    <row r="889" spans="1:16" x14ac:dyDescent="0.45">
      <c r="A889" s="9"/>
      <c r="B889" t="b">
        <v>0</v>
      </c>
      <c r="D889" s="10"/>
      <c r="G889" s="10"/>
      <c r="H889" s="10"/>
      <c r="I889" s="9"/>
      <c r="J889" s="10"/>
      <c r="L889" s="10"/>
      <c r="M889" s="10"/>
      <c r="N889" s="10"/>
      <c r="O889" s="8"/>
      <c r="P889" s="10"/>
    </row>
    <row r="890" spans="1:16" x14ac:dyDescent="0.45">
      <c r="A890" s="9"/>
      <c r="B890" t="b">
        <v>0</v>
      </c>
      <c r="D890" s="10"/>
      <c r="G890" s="10"/>
      <c r="H890" s="10"/>
      <c r="I890" s="9"/>
      <c r="J890" s="10"/>
      <c r="L890" s="10"/>
      <c r="M890" s="10"/>
      <c r="N890" s="10"/>
      <c r="O890" s="8"/>
      <c r="P890" s="10"/>
    </row>
    <row r="891" spans="1:16" x14ac:dyDescent="0.45">
      <c r="A891" s="9"/>
      <c r="B891" t="b">
        <v>0</v>
      </c>
      <c r="D891" s="10"/>
      <c r="G891" s="10"/>
      <c r="H891" s="10"/>
      <c r="I891" s="9"/>
      <c r="J891" s="10"/>
      <c r="L891" s="10"/>
      <c r="M891" s="10"/>
      <c r="N891" s="10"/>
      <c r="O891" s="8"/>
      <c r="P891" s="10"/>
    </row>
    <row r="892" spans="1:16" x14ac:dyDescent="0.45">
      <c r="A892" s="9"/>
      <c r="B892" t="b">
        <v>0</v>
      </c>
      <c r="D892" s="10"/>
      <c r="G892" s="10"/>
      <c r="H892" s="10"/>
      <c r="I892" s="9"/>
      <c r="J892" s="10"/>
      <c r="L892" s="10"/>
      <c r="M892" s="10"/>
      <c r="N892" s="10"/>
      <c r="O892" s="8"/>
      <c r="P892" s="10"/>
    </row>
    <row r="893" spans="1:16" x14ac:dyDescent="0.45">
      <c r="A893" s="9"/>
      <c r="B893" t="b">
        <v>0</v>
      </c>
      <c r="D893" s="10"/>
      <c r="G893" s="10"/>
      <c r="H893" s="10"/>
      <c r="I893" s="9"/>
      <c r="J893" s="10"/>
      <c r="L893" s="10"/>
      <c r="M893" s="10"/>
      <c r="N893" s="10"/>
      <c r="O893" s="8"/>
      <c r="P893" s="10"/>
    </row>
    <row r="894" spans="1:16" x14ac:dyDescent="0.45">
      <c r="A894" s="9"/>
      <c r="B894" t="b">
        <v>0</v>
      </c>
      <c r="D894" s="10"/>
      <c r="G894" s="10"/>
      <c r="H894" s="10"/>
      <c r="I894" s="9"/>
      <c r="J894" s="10"/>
      <c r="L894" s="10"/>
      <c r="M894" s="10"/>
      <c r="N894" s="10"/>
      <c r="O894" s="8"/>
      <c r="P894" s="10"/>
    </row>
    <row r="895" spans="1:16" x14ac:dyDescent="0.45">
      <c r="A895" s="9"/>
      <c r="B895" t="b">
        <v>0</v>
      </c>
      <c r="D895" s="10"/>
      <c r="G895" s="10"/>
      <c r="H895" s="10"/>
      <c r="I895" s="9"/>
      <c r="J895" s="10"/>
      <c r="L895" s="10"/>
      <c r="M895" s="10"/>
      <c r="N895" s="10"/>
      <c r="O895" s="8"/>
      <c r="P895" s="10"/>
    </row>
    <row r="896" spans="1:16" x14ac:dyDescent="0.45">
      <c r="A896" s="9"/>
      <c r="B896" t="b">
        <v>0</v>
      </c>
      <c r="D896" s="10"/>
      <c r="G896" s="10"/>
      <c r="H896" s="10"/>
      <c r="I896" s="9"/>
      <c r="J896" s="10"/>
      <c r="L896" s="10"/>
      <c r="M896" s="10"/>
      <c r="N896" s="10"/>
      <c r="O896" s="8"/>
      <c r="P896" s="10"/>
    </row>
    <row r="897" spans="1:16" x14ac:dyDescent="0.45">
      <c r="A897" s="9"/>
      <c r="B897" t="b">
        <v>0</v>
      </c>
      <c r="D897" s="10"/>
      <c r="G897" s="10"/>
      <c r="H897" s="10"/>
      <c r="I897" s="9"/>
      <c r="J897" s="10"/>
      <c r="L897" s="10"/>
      <c r="M897" s="10"/>
      <c r="N897" s="10"/>
      <c r="O897" s="8"/>
      <c r="P897" s="10"/>
    </row>
    <row r="898" spans="1:16" x14ac:dyDescent="0.45">
      <c r="A898" s="9"/>
      <c r="B898" t="b">
        <v>0</v>
      </c>
      <c r="D898" s="10"/>
      <c r="G898" s="10"/>
      <c r="H898" s="10"/>
      <c r="I898" s="9"/>
      <c r="J898" s="10"/>
      <c r="L898" s="10"/>
      <c r="M898" s="10"/>
      <c r="N898" s="10"/>
      <c r="O898" s="8"/>
      <c r="P898" s="10"/>
    </row>
    <row r="899" spans="1:16" x14ac:dyDescent="0.45">
      <c r="A899" s="9"/>
      <c r="B899" t="b">
        <v>0</v>
      </c>
      <c r="D899" s="10"/>
      <c r="G899" s="10"/>
      <c r="H899" s="10"/>
      <c r="I899" s="9"/>
      <c r="J899" s="10"/>
      <c r="L899" s="10"/>
      <c r="M899" s="10"/>
      <c r="N899" s="10"/>
      <c r="O899" s="8"/>
      <c r="P899" s="10"/>
    </row>
    <row r="900" spans="1:16" x14ac:dyDescent="0.45">
      <c r="A900" s="9"/>
      <c r="B900" t="b">
        <v>0</v>
      </c>
      <c r="D900" s="10"/>
      <c r="G900" s="10"/>
      <c r="H900" s="10"/>
      <c r="I900" s="9"/>
      <c r="J900" s="10"/>
      <c r="L900" s="10"/>
      <c r="M900" s="10"/>
      <c r="N900" s="10"/>
      <c r="O900" s="8"/>
      <c r="P900" s="10"/>
    </row>
    <row r="901" spans="1:16" x14ac:dyDescent="0.45">
      <c r="A901" s="9"/>
      <c r="B901" t="b">
        <v>0</v>
      </c>
      <c r="D901" s="10"/>
      <c r="G901" s="10"/>
      <c r="H901" s="10"/>
      <c r="I901" s="9"/>
      <c r="J901" s="10"/>
      <c r="L901" s="10"/>
      <c r="M901" s="10"/>
      <c r="N901" s="10"/>
      <c r="O901" s="8"/>
      <c r="P901" s="10"/>
    </row>
    <row r="902" spans="1:16" x14ac:dyDescent="0.45">
      <c r="A902" s="9"/>
      <c r="B902" t="b">
        <v>0</v>
      </c>
      <c r="D902" s="10"/>
      <c r="G902" s="10"/>
      <c r="H902" s="10"/>
      <c r="I902" s="9"/>
      <c r="J902" s="10"/>
      <c r="L902" s="10"/>
      <c r="M902" s="10"/>
      <c r="N902" s="10"/>
      <c r="O902" s="8"/>
      <c r="P902" s="10"/>
    </row>
    <row r="903" spans="1:16" x14ac:dyDescent="0.45">
      <c r="A903" s="9"/>
      <c r="B903" t="b">
        <v>0</v>
      </c>
      <c r="D903" s="10"/>
      <c r="G903" s="10"/>
      <c r="H903" s="10"/>
      <c r="I903" s="9"/>
      <c r="J903" s="10"/>
      <c r="L903" s="10"/>
      <c r="M903" s="10"/>
      <c r="N903" s="10"/>
      <c r="O903" s="8"/>
      <c r="P903" s="10"/>
    </row>
    <row r="904" spans="1:16" x14ac:dyDescent="0.45">
      <c r="A904" s="9"/>
      <c r="B904" t="b">
        <v>0</v>
      </c>
      <c r="D904" s="10"/>
      <c r="G904" s="10"/>
      <c r="H904" s="10"/>
      <c r="I904" s="9"/>
      <c r="J904" s="10"/>
      <c r="L904" s="10"/>
      <c r="M904" s="10"/>
      <c r="N904" s="10"/>
      <c r="O904" s="8"/>
      <c r="P904" s="10"/>
    </row>
    <row r="905" spans="1:16" x14ac:dyDescent="0.45">
      <c r="A905" s="9"/>
      <c r="B905" t="b">
        <v>0</v>
      </c>
      <c r="D905" s="10"/>
      <c r="G905" s="10"/>
      <c r="H905" s="10"/>
      <c r="I905" s="9"/>
      <c r="J905" s="10"/>
      <c r="L905" s="10"/>
      <c r="M905" s="10"/>
      <c r="N905" s="10"/>
      <c r="O905" s="8"/>
      <c r="P905" s="10"/>
    </row>
    <row r="906" spans="1:16" x14ac:dyDescent="0.45">
      <c r="A906" s="9"/>
      <c r="B906" t="b">
        <v>0</v>
      </c>
      <c r="D906" s="10"/>
      <c r="G906" s="10"/>
      <c r="H906" s="10"/>
      <c r="I906" s="9"/>
      <c r="J906" s="10"/>
      <c r="L906" s="10"/>
      <c r="M906" s="10"/>
      <c r="N906" s="10"/>
      <c r="O906" s="8"/>
      <c r="P906" s="10"/>
    </row>
    <row r="907" spans="1:16" x14ac:dyDescent="0.45">
      <c r="A907" s="9"/>
      <c r="B907" t="b">
        <v>0</v>
      </c>
      <c r="D907" s="10"/>
      <c r="G907" s="10"/>
      <c r="H907" s="10"/>
      <c r="I907" s="9"/>
      <c r="J907" s="10"/>
      <c r="L907" s="10"/>
      <c r="M907" s="10"/>
      <c r="N907" s="10"/>
      <c r="O907" s="8"/>
      <c r="P907" s="10"/>
    </row>
    <row r="908" spans="1:16" x14ac:dyDescent="0.45">
      <c r="A908" s="9"/>
      <c r="B908" t="b">
        <v>0</v>
      </c>
      <c r="D908" s="10"/>
      <c r="G908" s="10"/>
      <c r="H908" s="10"/>
      <c r="I908" s="9"/>
      <c r="J908" s="10"/>
      <c r="L908" s="10"/>
      <c r="M908" s="10"/>
      <c r="N908" s="10"/>
      <c r="O908" s="8"/>
      <c r="P908" s="10"/>
    </row>
    <row r="909" spans="1:16" x14ac:dyDescent="0.45">
      <c r="A909" s="9"/>
      <c r="B909" t="b">
        <v>0</v>
      </c>
      <c r="D909" s="10"/>
      <c r="G909" s="10"/>
      <c r="H909" s="10"/>
      <c r="I909" s="9"/>
      <c r="J909" s="10"/>
      <c r="L909" s="10"/>
      <c r="M909" s="10"/>
      <c r="N909" s="10"/>
      <c r="O909" s="8"/>
      <c r="P909" s="10"/>
    </row>
    <row r="910" spans="1:16" x14ac:dyDescent="0.45">
      <c r="A910" s="9"/>
      <c r="B910" t="b">
        <v>0</v>
      </c>
      <c r="D910" s="10"/>
      <c r="G910" s="10"/>
      <c r="H910" s="10"/>
      <c r="I910" s="9"/>
      <c r="J910" s="10"/>
      <c r="L910" s="10"/>
      <c r="M910" s="10"/>
      <c r="N910" s="10"/>
      <c r="O910" s="8"/>
      <c r="P910" s="10"/>
    </row>
    <row r="911" spans="1:16" x14ac:dyDescent="0.45">
      <c r="A911" s="9"/>
      <c r="B911" t="b">
        <v>0</v>
      </c>
      <c r="D911" s="10"/>
      <c r="G911" s="10"/>
      <c r="H911" s="10"/>
      <c r="I911" s="9"/>
      <c r="J911" s="10"/>
      <c r="L911" s="10"/>
      <c r="M911" s="10"/>
      <c r="N911" s="10"/>
      <c r="O911" s="8"/>
      <c r="P911" s="10"/>
    </row>
    <row r="912" spans="1:16" x14ac:dyDescent="0.45">
      <c r="A912" s="9"/>
      <c r="B912" t="b">
        <v>0</v>
      </c>
      <c r="D912" s="10"/>
      <c r="G912" s="10"/>
      <c r="H912" s="10"/>
      <c r="I912" s="9"/>
      <c r="J912" s="10"/>
      <c r="L912" s="10"/>
      <c r="M912" s="10"/>
      <c r="N912" s="10"/>
      <c r="O912" s="8"/>
      <c r="P912" s="10"/>
    </row>
    <row r="913" spans="1:16" x14ac:dyDescent="0.45">
      <c r="A913" s="9"/>
      <c r="B913" t="b">
        <v>0</v>
      </c>
      <c r="D913" s="10"/>
      <c r="G913" s="10"/>
      <c r="H913" s="10"/>
      <c r="I913" s="9"/>
      <c r="J913" s="10"/>
      <c r="L913" s="10"/>
      <c r="M913" s="10"/>
      <c r="N913" s="10"/>
      <c r="O913" s="8"/>
      <c r="P913" s="10"/>
    </row>
    <row r="914" spans="1:16" x14ac:dyDescent="0.45">
      <c r="A914" s="9"/>
      <c r="B914" t="b">
        <v>0</v>
      </c>
      <c r="D914" s="10"/>
      <c r="G914" s="10"/>
      <c r="H914" s="10"/>
      <c r="I914" s="9"/>
      <c r="J914" s="10"/>
      <c r="L914" s="10"/>
      <c r="M914" s="10"/>
      <c r="N914" s="10"/>
      <c r="O914" s="8"/>
      <c r="P914" s="10"/>
    </row>
    <row r="915" spans="1:16" x14ac:dyDescent="0.45">
      <c r="A915" s="9"/>
      <c r="B915" t="b">
        <v>0</v>
      </c>
      <c r="D915" s="10"/>
      <c r="G915" s="10"/>
      <c r="H915" s="10"/>
      <c r="I915" s="9"/>
      <c r="J915" s="10"/>
      <c r="L915" s="10"/>
      <c r="M915" s="10"/>
      <c r="N915" s="10"/>
      <c r="O915" s="8"/>
      <c r="P915" s="10"/>
    </row>
    <row r="916" spans="1:16" x14ac:dyDescent="0.45">
      <c r="A916" s="9"/>
      <c r="B916" t="b">
        <v>0</v>
      </c>
      <c r="D916" s="10"/>
      <c r="G916" s="10"/>
      <c r="H916" s="10"/>
      <c r="I916" s="9"/>
      <c r="J916" s="10"/>
      <c r="L916" s="10"/>
      <c r="M916" s="10"/>
      <c r="N916" s="10"/>
      <c r="O916" s="8"/>
      <c r="P916" s="10"/>
    </row>
    <row r="917" spans="1:16" x14ac:dyDescent="0.45">
      <c r="A917" s="9"/>
      <c r="B917" t="b">
        <v>0</v>
      </c>
      <c r="D917" s="10"/>
      <c r="G917" s="10"/>
      <c r="H917" s="10"/>
      <c r="I917" s="9"/>
      <c r="J917" s="10"/>
      <c r="L917" s="10"/>
      <c r="M917" s="10"/>
      <c r="N917" s="10"/>
      <c r="O917" s="8"/>
      <c r="P917" s="10"/>
    </row>
    <row r="918" spans="1:16" x14ac:dyDescent="0.45">
      <c r="A918" s="9"/>
      <c r="B918" t="b">
        <v>0</v>
      </c>
      <c r="D918" s="10"/>
      <c r="G918" s="10"/>
      <c r="H918" s="10"/>
      <c r="I918" s="9"/>
      <c r="J918" s="10"/>
      <c r="L918" s="10"/>
      <c r="M918" s="10"/>
      <c r="N918" s="10"/>
      <c r="O918" s="8"/>
      <c r="P918" s="10"/>
    </row>
    <row r="919" spans="1:16" x14ac:dyDescent="0.45">
      <c r="A919" s="9"/>
      <c r="B919" t="b">
        <v>0</v>
      </c>
      <c r="D919" s="10"/>
      <c r="G919" s="10"/>
      <c r="H919" s="10"/>
      <c r="I919" s="9"/>
      <c r="J919" s="10"/>
      <c r="L919" s="10"/>
      <c r="M919" s="10"/>
      <c r="N919" s="10"/>
      <c r="O919" s="8"/>
      <c r="P919" s="10"/>
    </row>
    <row r="920" spans="1:16" x14ac:dyDescent="0.45">
      <c r="A920" s="9"/>
      <c r="B920" t="b">
        <v>0</v>
      </c>
      <c r="D920" s="10"/>
      <c r="G920" s="10"/>
      <c r="H920" s="10"/>
      <c r="I920" s="9"/>
      <c r="J920" s="10"/>
      <c r="L920" s="10"/>
      <c r="M920" s="10"/>
      <c r="N920" s="10"/>
      <c r="O920" s="8"/>
      <c r="P920" s="10"/>
    </row>
    <row r="921" spans="1:16" x14ac:dyDescent="0.45">
      <c r="A921" s="9"/>
      <c r="B921" t="b">
        <v>0</v>
      </c>
      <c r="D921" s="10"/>
      <c r="G921" s="10"/>
      <c r="H921" s="10"/>
      <c r="I921" s="9"/>
      <c r="J921" s="10"/>
      <c r="L921" s="10"/>
      <c r="M921" s="10"/>
      <c r="N921" s="10"/>
      <c r="O921" s="8"/>
      <c r="P921" s="10"/>
    </row>
    <row r="922" spans="1:16" x14ac:dyDescent="0.45">
      <c r="A922" s="9"/>
      <c r="B922" t="b">
        <v>0</v>
      </c>
      <c r="D922" s="10"/>
      <c r="G922" s="10"/>
      <c r="H922" s="10"/>
      <c r="I922" s="9"/>
      <c r="J922" s="10"/>
      <c r="L922" s="10"/>
      <c r="M922" s="10"/>
      <c r="N922" s="10"/>
      <c r="O922" s="8"/>
      <c r="P922" s="10"/>
    </row>
    <row r="923" spans="1:16" x14ac:dyDescent="0.45">
      <c r="A923" s="9"/>
      <c r="B923" t="b">
        <v>0</v>
      </c>
      <c r="D923" s="10"/>
      <c r="G923" s="10"/>
      <c r="H923" s="10"/>
      <c r="I923" s="9"/>
      <c r="J923" s="10"/>
      <c r="L923" s="10"/>
      <c r="M923" s="10"/>
      <c r="N923" s="10"/>
      <c r="O923" s="8"/>
      <c r="P923" s="10"/>
    </row>
    <row r="924" spans="1:16" x14ac:dyDescent="0.45">
      <c r="A924" s="9"/>
      <c r="B924" t="b">
        <v>0</v>
      </c>
      <c r="D924" s="10"/>
      <c r="G924" s="10"/>
      <c r="H924" s="10"/>
      <c r="I924" s="9"/>
      <c r="J924" s="10"/>
      <c r="L924" s="10"/>
      <c r="M924" s="10"/>
      <c r="N924" s="10"/>
      <c r="O924" s="8"/>
      <c r="P924" s="10"/>
    </row>
    <row r="925" spans="1:16" x14ac:dyDescent="0.45">
      <c r="A925" s="9"/>
      <c r="B925" t="b">
        <v>0</v>
      </c>
      <c r="D925" s="10"/>
      <c r="G925" s="10"/>
      <c r="H925" s="10"/>
      <c r="I925" s="9"/>
      <c r="J925" s="10"/>
      <c r="L925" s="10"/>
      <c r="M925" s="10"/>
      <c r="N925" s="10"/>
      <c r="O925" s="8"/>
      <c r="P925" s="10"/>
    </row>
    <row r="926" spans="1:16" x14ac:dyDescent="0.45">
      <c r="A926" s="9"/>
      <c r="B926" t="b">
        <v>0</v>
      </c>
      <c r="D926" s="10"/>
      <c r="G926" s="10"/>
      <c r="H926" s="10"/>
      <c r="I926" s="9"/>
      <c r="J926" s="10"/>
      <c r="L926" s="10"/>
      <c r="M926" s="10"/>
      <c r="N926" s="10"/>
      <c r="O926" s="8"/>
      <c r="P926" s="10"/>
    </row>
    <row r="927" spans="1:16" x14ac:dyDescent="0.45">
      <c r="A927" s="9"/>
      <c r="B927" t="b">
        <v>0</v>
      </c>
      <c r="D927" s="10"/>
      <c r="G927" s="10"/>
      <c r="H927" s="10"/>
      <c r="I927" s="9"/>
      <c r="J927" s="10"/>
      <c r="L927" s="10"/>
      <c r="M927" s="10"/>
      <c r="N927" s="10"/>
      <c r="O927" s="8"/>
      <c r="P927" s="10"/>
    </row>
    <row r="928" spans="1:16" x14ac:dyDescent="0.45">
      <c r="A928" s="9"/>
      <c r="B928" t="b">
        <v>0</v>
      </c>
      <c r="D928" s="10"/>
      <c r="G928" s="10"/>
      <c r="H928" s="10"/>
      <c r="I928" s="9"/>
      <c r="J928" s="10"/>
      <c r="L928" s="10"/>
      <c r="M928" s="10"/>
      <c r="N928" s="10"/>
      <c r="O928" s="8"/>
      <c r="P928" s="10"/>
    </row>
    <row r="929" spans="1:16" x14ac:dyDescent="0.45">
      <c r="A929" s="9"/>
      <c r="B929" t="b">
        <v>0</v>
      </c>
      <c r="D929" s="10"/>
      <c r="G929" s="10"/>
      <c r="H929" s="10"/>
      <c r="I929" s="9"/>
      <c r="J929" s="10"/>
      <c r="L929" s="10"/>
      <c r="M929" s="10"/>
      <c r="N929" s="10"/>
      <c r="O929" s="8"/>
      <c r="P929" s="10"/>
    </row>
    <row r="930" spans="1:16" x14ac:dyDescent="0.45">
      <c r="A930" s="9"/>
      <c r="B930" t="b">
        <v>0</v>
      </c>
      <c r="D930" s="10"/>
      <c r="G930" s="10"/>
      <c r="H930" s="10"/>
      <c r="I930" s="9"/>
      <c r="J930" s="10"/>
      <c r="L930" s="10"/>
      <c r="M930" s="10"/>
      <c r="N930" s="10"/>
      <c r="O930" s="8"/>
      <c r="P930" s="10"/>
    </row>
    <row r="931" spans="1:16" x14ac:dyDescent="0.45">
      <c r="A931" s="9"/>
      <c r="B931" t="b">
        <v>0</v>
      </c>
      <c r="D931" s="10"/>
      <c r="G931" s="10"/>
      <c r="H931" s="10"/>
      <c r="I931" s="9"/>
      <c r="J931" s="10"/>
      <c r="L931" s="10"/>
      <c r="M931" s="10"/>
      <c r="N931" s="10"/>
      <c r="O931" s="8"/>
      <c r="P931" s="10"/>
    </row>
    <row r="932" spans="1:16" x14ac:dyDescent="0.45">
      <c r="A932" s="9"/>
      <c r="B932" t="b">
        <v>0</v>
      </c>
      <c r="D932" s="10"/>
      <c r="G932" s="10"/>
      <c r="H932" s="10"/>
      <c r="I932" s="9"/>
      <c r="J932" s="10"/>
      <c r="L932" s="10"/>
      <c r="M932" s="10"/>
      <c r="N932" s="10"/>
      <c r="O932" s="8"/>
      <c r="P932" s="10"/>
    </row>
    <row r="933" spans="1:16" x14ac:dyDescent="0.45">
      <c r="A933" s="9"/>
      <c r="B933" t="b">
        <v>0</v>
      </c>
      <c r="D933" s="10"/>
      <c r="G933" s="10"/>
      <c r="H933" s="10"/>
      <c r="I933" s="9"/>
      <c r="J933" s="10"/>
      <c r="L933" s="10"/>
      <c r="M933" s="10"/>
      <c r="N933" s="10"/>
      <c r="O933" s="8"/>
      <c r="P933" s="10"/>
    </row>
    <row r="934" spans="1:16" x14ac:dyDescent="0.45">
      <c r="A934" s="9"/>
      <c r="B934" t="b">
        <v>0</v>
      </c>
      <c r="D934" s="10"/>
      <c r="G934" s="10"/>
      <c r="H934" s="10"/>
      <c r="I934" s="9"/>
      <c r="J934" s="10"/>
      <c r="L934" s="10"/>
      <c r="M934" s="10"/>
      <c r="N934" s="10"/>
      <c r="O934" s="8"/>
      <c r="P934" s="10"/>
    </row>
    <row r="935" spans="1:16" x14ac:dyDescent="0.45">
      <c r="A935" s="9"/>
      <c r="B935" t="b">
        <v>0</v>
      </c>
      <c r="D935" s="10"/>
      <c r="G935" s="10"/>
      <c r="H935" s="10"/>
      <c r="I935" s="9"/>
      <c r="J935" s="10"/>
      <c r="L935" s="10"/>
      <c r="M935" s="10"/>
      <c r="N935" s="10"/>
      <c r="O935" s="8"/>
      <c r="P935" s="10"/>
    </row>
    <row r="936" spans="1:16" x14ac:dyDescent="0.45">
      <c r="A936" s="9"/>
      <c r="B936" t="b">
        <v>0</v>
      </c>
      <c r="D936" s="10"/>
      <c r="G936" s="10"/>
      <c r="H936" s="10"/>
      <c r="I936" s="9"/>
      <c r="J936" s="10"/>
      <c r="L936" s="10"/>
      <c r="M936" s="10"/>
      <c r="N936" s="10"/>
      <c r="O936" s="8"/>
      <c r="P936" s="10"/>
    </row>
    <row r="937" spans="1:16" x14ac:dyDescent="0.45">
      <c r="A937" s="9"/>
      <c r="B937" t="b">
        <v>0</v>
      </c>
      <c r="D937" s="10"/>
      <c r="G937" s="10"/>
      <c r="H937" s="10"/>
      <c r="I937" s="9"/>
      <c r="J937" s="10"/>
      <c r="L937" s="10"/>
      <c r="M937" s="10"/>
      <c r="N937" s="10"/>
      <c r="O937" s="8"/>
      <c r="P937" s="10"/>
    </row>
    <row r="938" spans="1:16" x14ac:dyDescent="0.45">
      <c r="A938" s="9"/>
      <c r="B938" t="b">
        <v>0</v>
      </c>
      <c r="D938" s="10"/>
      <c r="G938" s="10"/>
      <c r="H938" s="10"/>
      <c r="I938" s="9"/>
      <c r="J938" s="10"/>
      <c r="L938" s="10"/>
      <c r="M938" s="10"/>
      <c r="N938" s="10"/>
      <c r="O938" s="8"/>
      <c r="P938" s="10"/>
    </row>
    <row r="939" spans="1:16" x14ac:dyDescent="0.45">
      <c r="A939" s="9"/>
      <c r="B939" t="b">
        <v>0</v>
      </c>
      <c r="D939" s="10"/>
      <c r="G939" s="10"/>
      <c r="H939" s="10"/>
      <c r="I939" s="9"/>
      <c r="J939" s="10"/>
      <c r="L939" s="10"/>
      <c r="M939" s="10"/>
      <c r="N939" s="10"/>
      <c r="O939" s="8"/>
      <c r="P939" s="10"/>
    </row>
    <row r="940" spans="1:16" x14ac:dyDescent="0.45">
      <c r="A940" s="9"/>
      <c r="B940" t="b">
        <v>0</v>
      </c>
      <c r="D940" s="10"/>
      <c r="G940" s="10"/>
      <c r="H940" s="10"/>
      <c r="I940" s="9"/>
      <c r="J940" s="10"/>
      <c r="L940" s="10"/>
      <c r="M940" s="10"/>
      <c r="N940" s="10"/>
      <c r="O940" s="8"/>
      <c r="P940" s="10"/>
    </row>
    <row r="941" spans="1:16" x14ac:dyDescent="0.45">
      <c r="A941" s="9"/>
      <c r="B941" t="b">
        <v>0</v>
      </c>
      <c r="D941" s="10"/>
      <c r="G941" s="10"/>
      <c r="H941" s="10"/>
      <c r="I941" s="9"/>
      <c r="J941" s="10"/>
      <c r="L941" s="10"/>
      <c r="M941" s="10"/>
      <c r="N941" s="10"/>
      <c r="O941" s="8"/>
      <c r="P941" s="10"/>
    </row>
    <row r="942" spans="1:16" x14ac:dyDescent="0.45">
      <c r="A942" s="9"/>
      <c r="B942" t="b">
        <v>0</v>
      </c>
      <c r="D942" s="10"/>
      <c r="G942" s="10"/>
      <c r="H942" s="10"/>
      <c r="I942" s="9"/>
      <c r="J942" s="10"/>
      <c r="L942" s="10"/>
      <c r="M942" s="10"/>
      <c r="N942" s="10"/>
      <c r="O942" s="8"/>
      <c r="P942" s="10"/>
    </row>
    <row r="943" spans="1:16" x14ac:dyDescent="0.45">
      <c r="A943" s="9"/>
      <c r="B943" t="b">
        <v>0</v>
      </c>
      <c r="D943" s="10"/>
      <c r="G943" s="10"/>
      <c r="H943" s="10"/>
      <c r="I943" s="9"/>
      <c r="J943" s="10"/>
      <c r="L943" s="10"/>
      <c r="M943" s="10"/>
      <c r="N943" s="10"/>
      <c r="O943" s="8"/>
      <c r="P943" s="10"/>
    </row>
    <row r="944" spans="1:16" x14ac:dyDescent="0.45">
      <c r="A944" s="9"/>
      <c r="B944" t="b">
        <v>0</v>
      </c>
      <c r="D944" s="10"/>
      <c r="G944" s="10"/>
      <c r="H944" s="10"/>
      <c r="I944" s="9"/>
      <c r="J944" s="10"/>
      <c r="L944" s="10"/>
      <c r="M944" s="10"/>
      <c r="N944" s="10"/>
      <c r="O944" s="8"/>
      <c r="P944" s="10"/>
    </row>
    <row r="945" spans="1:16" x14ac:dyDescent="0.45">
      <c r="A945" s="9"/>
      <c r="B945" t="b">
        <v>0</v>
      </c>
      <c r="D945" s="10"/>
      <c r="G945" s="10"/>
      <c r="H945" s="10"/>
      <c r="I945" s="9"/>
      <c r="J945" s="10"/>
      <c r="L945" s="10"/>
      <c r="M945" s="10"/>
      <c r="N945" s="10"/>
      <c r="O945" s="8"/>
      <c r="P945" s="10"/>
    </row>
    <row r="946" spans="1:16" x14ac:dyDescent="0.45">
      <c r="A946" s="9"/>
      <c r="B946" t="b">
        <v>0</v>
      </c>
      <c r="D946" s="10"/>
      <c r="G946" s="10"/>
      <c r="H946" s="10"/>
      <c r="I946" s="9"/>
      <c r="J946" s="10"/>
      <c r="L946" s="10"/>
      <c r="M946" s="10"/>
      <c r="N946" s="10"/>
      <c r="O946" s="8"/>
      <c r="P946" s="10"/>
    </row>
    <row r="947" spans="1:16" x14ac:dyDescent="0.45">
      <c r="A947" s="9"/>
      <c r="B947" t="b">
        <v>0</v>
      </c>
      <c r="D947" s="10"/>
      <c r="G947" s="10"/>
      <c r="H947" s="10"/>
      <c r="I947" s="9"/>
      <c r="J947" s="10"/>
      <c r="L947" s="10"/>
      <c r="M947" s="10"/>
      <c r="N947" s="10"/>
      <c r="O947" s="8"/>
      <c r="P947" s="10"/>
    </row>
    <row r="948" spans="1:16" x14ac:dyDescent="0.45">
      <c r="A948" s="9"/>
      <c r="B948" t="b">
        <v>0</v>
      </c>
      <c r="D948" s="10"/>
      <c r="G948" s="10"/>
      <c r="H948" s="10"/>
      <c r="I948" s="9"/>
      <c r="J948" s="10"/>
      <c r="L948" s="10"/>
      <c r="M948" s="10"/>
      <c r="N948" s="10"/>
      <c r="O948" s="8"/>
      <c r="P948" s="10"/>
    </row>
    <row r="949" spans="1:16" x14ac:dyDescent="0.45">
      <c r="A949" s="9"/>
      <c r="B949" t="b">
        <v>0</v>
      </c>
      <c r="D949" s="10"/>
      <c r="G949" s="10"/>
      <c r="H949" s="10"/>
      <c r="I949" s="9"/>
      <c r="J949" s="10"/>
      <c r="L949" s="10"/>
      <c r="M949" s="10"/>
      <c r="N949" s="10"/>
      <c r="O949" s="8"/>
      <c r="P949" s="10"/>
    </row>
    <row r="950" spans="1:16" x14ac:dyDescent="0.45">
      <c r="A950" s="9"/>
      <c r="B950" t="b">
        <v>0</v>
      </c>
      <c r="D950" s="10"/>
      <c r="G950" s="10"/>
      <c r="H950" s="10"/>
      <c r="I950" s="9"/>
      <c r="J950" s="10"/>
      <c r="L950" s="10"/>
      <c r="M950" s="10"/>
      <c r="N950" s="10"/>
      <c r="O950" s="8"/>
      <c r="P950" s="10"/>
    </row>
    <row r="951" spans="1:16" x14ac:dyDescent="0.45">
      <c r="A951" s="9"/>
      <c r="B951" t="b">
        <v>0</v>
      </c>
      <c r="D951" s="10"/>
      <c r="G951" s="10"/>
      <c r="H951" s="10"/>
      <c r="I951" s="9"/>
      <c r="J951" s="10"/>
      <c r="L951" s="10"/>
      <c r="M951" s="10"/>
      <c r="N951" s="10"/>
      <c r="O951" s="8"/>
      <c r="P951" s="10"/>
    </row>
    <row r="952" spans="1:16" x14ac:dyDescent="0.45">
      <c r="A952" s="9"/>
      <c r="B952" t="b">
        <v>0</v>
      </c>
      <c r="D952" s="10"/>
      <c r="G952" s="10"/>
      <c r="H952" s="10"/>
      <c r="I952" s="9"/>
      <c r="J952" s="10"/>
      <c r="L952" s="10"/>
      <c r="M952" s="10"/>
      <c r="N952" s="10"/>
      <c r="O952" s="8"/>
      <c r="P952" s="10"/>
    </row>
    <row r="953" spans="1:16" x14ac:dyDescent="0.45">
      <c r="A953" s="9"/>
      <c r="B953" t="b">
        <v>0</v>
      </c>
      <c r="D953" s="10"/>
      <c r="G953" s="10"/>
      <c r="H953" s="10"/>
      <c r="I953" s="9"/>
      <c r="J953" s="10"/>
      <c r="L953" s="10"/>
      <c r="M953" s="10"/>
      <c r="N953" s="10"/>
      <c r="O953" s="8"/>
      <c r="P953" s="10"/>
    </row>
    <row r="954" spans="1:16" x14ac:dyDescent="0.45">
      <c r="A954" s="9"/>
      <c r="B954" t="b">
        <v>0</v>
      </c>
      <c r="D954" s="10"/>
      <c r="G954" s="10"/>
      <c r="H954" s="10"/>
      <c r="I954" s="9"/>
      <c r="J954" s="10"/>
      <c r="L954" s="10"/>
      <c r="M954" s="10"/>
      <c r="N954" s="10"/>
      <c r="O954" s="8"/>
      <c r="P954" s="10"/>
    </row>
    <row r="955" spans="1:16" x14ac:dyDescent="0.45">
      <c r="A955" s="9"/>
      <c r="B955" t="b">
        <v>0</v>
      </c>
      <c r="D955" s="10"/>
      <c r="G955" s="10"/>
      <c r="H955" s="10"/>
      <c r="I955" s="9"/>
      <c r="J955" s="10"/>
      <c r="L955" s="10"/>
      <c r="M955" s="10"/>
      <c r="N955" s="10"/>
      <c r="O955" s="8"/>
      <c r="P955" s="10"/>
    </row>
    <row r="956" spans="1:16" x14ac:dyDescent="0.45">
      <c r="A956" s="9"/>
      <c r="B956" t="b">
        <v>0</v>
      </c>
      <c r="D956" s="10"/>
      <c r="G956" s="10"/>
      <c r="H956" s="10"/>
      <c r="I956" s="9"/>
      <c r="J956" s="10"/>
      <c r="L956" s="10"/>
      <c r="M956" s="10"/>
      <c r="N956" s="10"/>
      <c r="O956" s="8"/>
      <c r="P956" s="10"/>
    </row>
    <row r="957" spans="1:16" x14ac:dyDescent="0.45">
      <c r="A957" s="9"/>
      <c r="B957" t="b">
        <v>0</v>
      </c>
      <c r="D957" s="10"/>
      <c r="G957" s="10"/>
      <c r="H957" s="10"/>
      <c r="I957" s="9"/>
      <c r="J957" s="10"/>
      <c r="L957" s="10"/>
      <c r="M957" s="10"/>
      <c r="N957" s="10"/>
      <c r="O957" s="8"/>
      <c r="P957" s="10"/>
    </row>
    <row r="958" spans="1:16" x14ac:dyDescent="0.45">
      <c r="A958" s="9"/>
      <c r="B958" t="b">
        <v>0</v>
      </c>
      <c r="D958" s="10"/>
      <c r="G958" s="10"/>
      <c r="H958" s="10"/>
      <c r="I958" s="9"/>
      <c r="J958" s="10"/>
      <c r="L958" s="10"/>
      <c r="M958" s="10"/>
      <c r="N958" s="10"/>
      <c r="O958" s="8"/>
      <c r="P958" s="10"/>
    </row>
    <row r="959" spans="1:16" x14ac:dyDescent="0.45">
      <c r="A959" s="9"/>
      <c r="B959" t="b">
        <v>0</v>
      </c>
      <c r="D959" s="10"/>
      <c r="G959" s="10"/>
      <c r="H959" s="10"/>
      <c r="I959" s="9"/>
      <c r="J959" s="10"/>
      <c r="L959" s="10"/>
      <c r="M959" s="10"/>
      <c r="N959" s="10"/>
      <c r="O959" s="8"/>
      <c r="P959" s="10"/>
    </row>
    <row r="960" spans="1:16" x14ac:dyDescent="0.45">
      <c r="A960" s="9"/>
      <c r="B960" t="b">
        <v>0</v>
      </c>
      <c r="D960" s="10"/>
      <c r="G960" s="10"/>
      <c r="H960" s="10"/>
      <c r="I960" s="9"/>
      <c r="J960" s="10"/>
      <c r="L960" s="10"/>
      <c r="M960" s="10"/>
      <c r="N960" s="10"/>
      <c r="O960" s="8"/>
      <c r="P960" s="10"/>
    </row>
    <row r="961" spans="1:16" x14ac:dyDescent="0.45">
      <c r="A961" s="9"/>
      <c r="B961" t="b">
        <v>0</v>
      </c>
      <c r="D961" s="10"/>
      <c r="G961" s="10"/>
      <c r="H961" s="10"/>
      <c r="I961" s="9"/>
      <c r="J961" s="10"/>
      <c r="L961" s="10"/>
      <c r="M961" s="10"/>
      <c r="N961" s="10"/>
      <c r="O961" s="8"/>
      <c r="P961" s="10"/>
    </row>
    <row r="962" spans="1:16" x14ac:dyDescent="0.45">
      <c r="A962" s="9"/>
      <c r="B962" t="b">
        <v>0</v>
      </c>
      <c r="D962" s="10"/>
      <c r="G962" s="10"/>
      <c r="H962" s="10"/>
      <c r="I962" s="9"/>
      <c r="J962" s="10"/>
      <c r="L962" s="10"/>
      <c r="M962" s="10"/>
      <c r="N962" s="10"/>
      <c r="O962" s="8"/>
      <c r="P962" s="10"/>
    </row>
    <row r="963" spans="1:16" x14ac:dyDescent="0.45">
      <c r="A963" s="9"/>
      <c r="B963" t="b">
        <v>0</v>
      </c>
      <c r="D963" s="10"/>
      <c r="G963" s="10"/>
      <c r="H963" s="10"/>
      <c r="I963" s="9"/>
      <c r="J963" s="10"/>
      <c r="L963" s="10"/>
      <c r="M963" s="10"/>
      <c r="N963" s="10"/>
      <c r="O963" s="8"/>
      <c r="P963" s="10"/>
    </row>
    <row r="964" spans="1:16" x14ac:dyDescent="0.45">
      <c r="A964" s="9"/>
      <c r="B964" t="b">
        <v>0</v>
      </c>
      <c r="D964" s="10"/>
      <c r="G964" s="10"/>
      <c r="H964" s="10"/>
      <c r="I964" s="9"/>
      <c r="J964" s="10"/>
      <c r="L964" s="10"/>
      <c r="M964" s="10"/>
      <c r="N964" s="10"/>
      <c r="O964" s="8"/>
      <c r="P964" s="10"/>
    </row>
    <row r="965" spans="1:16" x14ac:dyDescent="0.45">
      <c r="A965" s="9"/>
      <c r="B965" t="b">
        <v>0</v>
      </c>
      <c r="D965" s="10"/>
      <c r="G965" s="10"/>
      <c r="H965" s="10"/>
      <c r="I965" s="9"/>
      <c r="J965" s="10"/>
      <c r="L965" s="10"/>
      <c r="M965" s="10"/>
      <c r="N965" s="10"/>
      <c r="O965" s="8"/>
      <c r="P965" s="10"/>
    </row>
    <row r="966" spans="1:16" x14ac:dyDescent="0.45">
      <c r="A966" s="9"/>
      <c r="B966" t="b">
        <v>0</v>
      </c>
      <c r="D966" s="10"/>
      <c r="G966" s="10"/>
      <c r="H966" s="10"/>
      <c r="I966" s="9"/>
      <c r="J966" s="10"/>
      <c r="L966" s="10"/>
      <c r="M966" s="10"/>
      <c r="N966" s="10"/>
      <c r="O966" s="8"/>
      <c r="P966" s="10"/>
    </row>
    <row r="967" spans="1:16" x14ac:dyDescent="0.45">
      <c r="A967" s="9"/>
      <c r="B967" t="b">
        <v>0</v>
      </c>
      <c r="D967" s="10"/>
      <c r="G967" s="10"/>
      <c r="H967" s="10"/>
      <c r="I967" s="9"/>
      <c r="J967" s="10"/>
      <c r="L967" s="10"/>
      <c r="M967" s="10"/>
      <c r="N967" s="10"/>
      <c r="O967" s="8"/>
      <c r="P967" s="10"/>
    </row>
    <row r="968" spans="1:16" x14ac:dyDescent="0.45">
      <c r="A968" s="9"/>
      <c r="B968" t="b">
        <v>0</v>
      </c>
      <c r="D968" s="10"/>
      <c r="G968" s="10"/>
      <c r="H968" s="10"/>
      <c r="I968" s="9"/>
      <c r="J968" s="10"/>
      <c r="L968" s="10"/>
      <c r="M968" s="10"/>
      <c r="N968" s="10"/>
      <c r="O968" s="8"/>
      <c r="P968" s="10"/>
    </row>
    <row r="969" spans="1:16" x14ac:dyDescent="0.45">
      <c r="A969" s="9"/>
      <c r="B969" t="b">
        <v>0</v>
      </c>
      <c r="D969" s="10"/>
      <c r="G969" s="10"/>
      <c r="H969" s="10"/>
      <c r="I969" s="9"/>
      <c r="J969" s="10"/>
      <c r="L969" s="10"/>
      <c r="M969" s="10"/>
      <c r="N969" s="10"/>
      <c r="O969" s="8"/>
      <c r="P969" s="10"/>
    </row>
    <row r="970" spans="1:16" x14ac:dyDescent="0.45">
      <c r="A970" s="9"/>
      <c r="B970" t="b">
        <v>0</v>
      </c>
      <c r="D970" s="10"/>
      <c r="G970" s="10"/>
      <c r="H970" s="10"/>
      <c r="I970" s="9"/>
      <c r="J970" s="10"/>
      <c r="L970" s="10"/>
      <c r="M970" s="10"/>
      <c r="N970" s="10"/>
      <c r="O970" s="8"/>
      <c r="P970" s="10"/>
    </row>
    <row r="971" spans="1:16" x14ac:dyDescent="0.45">
      <c r="A971" s="9"/>
      <c r="B971" t="b">
        <v>0</v>
      </c>
      <c r="D971" s="10"/>
      <c r="G971" s="10"/>
      <c r="H971" s="10"/>
      <c r="I971" s="9"/>
      <c r="J971" s="10"/>
      <c r="L971" s="10"/>
      <c r="M971" s="10"/>
      <c r="N971" s="10"/>
      <c r="O971" s="8"/>
      <c r="P971" s="10"/>
    </row>
    <row r="972" spans="1:16" x14ac:dyDescent="0.45">
      <c r="A972" s="9"/>
      <c r="B972" t="b">
        <v>0</v>
      </c>
      <c r="D972" s="10"/>
      <c r="G972" s="10"/>
      <c r="H972" s="10"/>
      <c r="I972" s="9"/>
      <c r="J972" s="10"/>
      <c r="L972" s="10"/>
      <c r="M972" s="10"/>
      <c r="N972" s="10"/>
      <c r="O972" s="8"/>
      <c r="P972" s="10"/>
    </row>
    <row r="973" spans="1:16" x14ac:dyDescent="0.45">
      <c r="A973" s="9"/>
      <c r="B973" t="b">
        <v>0</v>
      </c>
      <c r="D973" s="10"/>
      <c r="G973" s="10"/>
      <c r="H973" s="10"/>
      <c r="I973" s="9"/>
      <c r="J973" s="10"/>
      <c r="L973" s="10"/>
      <c r="M973" s="10"/>
      <c r="N973" s="10"/>
      <c r="O973" s="8"/>
      <c r="P973" s="10"/>
    </row>
    <row r="974" spans="1:16" x14ac:dyDescent="0.45">
      <c r="A974" s="9"/>
      <c r="B974" t="b">
        <v>0</v>
      </c>
      <c r="D974" s="10"/>
      <c r="G974" s="10"/>
      <c r="H974" s="10"/>
      <c r="I974" s="9"/>
      <c r="J974" s="10"/>
      <c r="L974" s="10"/>
      <c r="M974" s="10"/>
      <c r="N974" s="10"/>
      <c r="O974" s="8"/>
      <c r="P974" s="10"/>
    </row>
    <row r="975" spans="1:16" x14ac:dyDescent="0.45">
      <c r="A975" s="9"/>
      <c r="B975" t="b">
        <v>0</v>
      </c>
      <c r="D975" s="10"/>
      <c r="G975" s="10"/>
      <c r="H975" s="10"/>
      <c r="I975" s="9"/>
      <c r="J975" s="10"/>
      <c r="L975" s="10"/>
      <c r="M975" s="10"/>
      <c r="N975" s="10"/>
      <c r="O975" s="8"/>
      <c r="P975" s="10"/>
    </row>
    <row r="976" spans="1:16" x14ac:dyDescent="0.45">
      <c r="A976" s="9"/>
      <c r="B976" t="b">
        <v>0</v>
      </c>
      <c r="D976" s="10"/>
      <c r="G976" s="10"/>
      <c r="H976" s="10"/>
      <c r="I976" s="9"/>
      <c r="J976" s="10"/>
      <c r="L976" s="10"/>
      <c r="M976" s="10"/>
      <c r="N976" s="10"/>
      <c r="O976" s="8"/>
      <c r="P976" s="10"/>
    </row>
    <row r="977" spans="1:16" x14ac:dyDescent="0.45">
      <c r="A977" s="9"/>
      <c r="B977" t="b">
        <v>0</v>
      </c>
      <c r="D977" s="10"/>
      <c r="G977" s="10"/>
      <c r="H977" s="10"/>
      <c r="I977" s="9"/>
      <c r="J977" s="10"/>
      <c r="L977" s="10"/>
      <c r="M977" s="10"/>
      <c r="N977" s="10"/>
      <c r="O977" s="8"/>
      <c r="P977" s="10"/>
    </row>
    <row r="978" spans="1:16" x14ac:dyDescent="0.45">
      <c r="A978" s="9"/>
      <c r="B978" t="b">
        <v>0</v>
      </c>
      <c r="D978" s="10"/>
      <c r="G978" s="10"/>
      <c r="H978" s="10"/>
      <c r="I978" s="9"/>
      <c r="J978" s="10"/>
      <c r="L978" s="10"/>
      <c r="M978" s="10"/>
      <c r="N978" s="10"/>
      <c r="O978" s="8"/>
      <c r="P978" s="10"/>
    </row>
    <row r="979" spans="1:16" x14ac:dyDescent="0.45">
      <c r="A979" s="9"/>
      <c r="B979" t="b">
        <v>0</v>
      </c>
      <c r="D979" s="10"/>
      <c r="G979" s="10"/>
      <c r="H979" s="10"/>
      <c r="I979" s="9"/>
      <c r="J979" s="10"/>
      <c r="L979" s="10"/>
      <c r="M979" s="10"/>
      <c r="N979" s="10"/>
      <c r="O979" s="8"/>
      <c r="P979" s="10"/>
    </row>
    <row r="980" spans="1:16" x14ac:dyDescent="0.45">
      <c r="A980" s="9"/>
      <c r="B980" t="b">
        <v>0</v>
      </c>
      <c r="D980" s="10"/>
      <c r="G980" s="10"/>
      <c r="H980" s="10"/>
      <c r="I980" s="9"/>
      <c r="J980" s="10"/>
      <c r="L980" s="10"/>
      <c r="M980" s="10"/>
      <c r="N980" s="10"/>
      <c r="O980" s="8"/>
      <c r="P980" s="10"/>
    </row>
    <row r="981" spans="1:16" x14ac:dyDescent="0.45">
      <c r="A981" s="9"/>
      <c r="B981" t="b">
        <v>0</v>
      </c>
      <c r="D981" s="10"/>
      <c r="G981" s="10"/>
      <c r="H981" s="10"/>
      <c r="I981" s="9"/>
      <c r="J981" s="10"/>
      <c r="L981" s="10"/>
      <c r="M981" s="10"/>
      <c r="N981" s="10"/>
      <c r="O981" s="8"/>
      <c r="P981" s="10"/>
    </row>
    <row r="982" spans="1:16" x14ac:dyDescent="0.45">
      <c r="A982" s="9"/>
      <c r="B982" t="b">
        <v>0</v>
      </c>
      <c r="D982" s="10"/>
      <c r="G982" s="10"/>
      <c r="H982" s="10"/>
      <c r="I982" s="9"/>
      <c r="J982" s="10"/>
      <c r="L982" s="10"/>
      <c r="M982" s="10"/>
      <c r="N982" s="10"/>
      <c r="O982" s="8"/>
      <c r="P982" s="10"/>
    </row>
    <row r="983" spans="1:16" x14ac:dyDescent="0.45">
      <c r="A983" s="9"/>
      <c r="B983" t="b">
        <v>0</v>
      </c>
      <c r="D983" s="10"/>
      <c r="G983" s="10"/>
      <c r="H983" s="10"/>
      <c r="I983" s="9"/>
      <c r="J983" s="10"/>
      <c r="L983" s="10"/>
      <c r="M983" s="10"/>
      <c r="N983" s="10"/>
      <c r="O983" s="8"/>
      <c r="P983" s="10"/>
    </row>
    <row r="984" spans="1:16" x14ac:dyDescent="0.45">
      <c r="A984" s="9"/>
      <c r="B984" t="b">
        <v>0</v>
      </c>
      <c r="D984" s="10"/>
      <c r="G984" s="10"/>
      <c r="H984" s="10"/>
      <c r="I984" s="9"/>
      <c r="J984" s="10"/>
      <c r="L984" s="10"/>
      <c r="M984" s="10"/>
      <c r="N984" s="10"/>
      <c r="O984" s="8"/>
      <c r="P984" s="10"/>
    </row>
    <row r="985" spans="1:16" x14ac:dyDescent="0.45">
      <c r="A985" s="9"/>
      <c r="B985" t="b">
        <v>0</v>
      </c>
      <c r="D985" s="10"/>
      <c r="G985" s="10"/>
      <c r="H985" s="10"/>
      <c r="I985" s="9"/>
      <c r="J985" s="10"/>
      <c r="L985" s="10"/>
      <c r="M985" s="10"/>
      <c r="N985" s="10"/>
      <c r="O985" s="8"/>
      <c r="P985" s="10"/>
    </row>
    <row r="986" spans="1:16" x14ac:dyDescent="0.45">
      <c r="A986" s="9"/>
      <c r="B986" t="b">
        <v>0</v>
      </c>
      <c r="D986" s="10"/>
      <c r="G986" s="10"/>
      <c r="H986" s="10"/>
      <c r="I986" s="9"/>
      <c r="J986" s="10"/>
      <c r="L986" s="10"/>
      <c r="M986" s="10"/>
      <c r="N986" s="10"/>
      <c r="O986" s="8"/>
      <c r="P986" s="10"/>
    </row>
    <row r="987" spans="1:16" x14ac:dyDescent="0.45">
      <c r="A987" s="9"/>
      <c r="B987" t="b">
        <v>0</v>
      </c>
      <c r="D987" s="10"/>
      <c r="G987" s="10"/>
      <c r="H987" s="10"/>
      <c r="I987" s="9"/>
      <c r="J987" s="10"/>
      <c r="L987" s="10"/>
      <c r="M987" s="10"/>
      <c r="N987" s="10"/>
      <c r="O987" s="8"/>
      <c r="P987" s="10"/>
    </row>
    <row r="988" spans="1:16" x14ac:dyDescent="0.45">
      <c r="A988" s="9"/>
      <c r="B988" t="b">
        <v>0</v>
      </c>
      <c r="D988" s="10"/>
      <c r="G988" s="10"/>
      <c r="H988" s="10"/>
      <c r="I988" s="9"/>
      <c r="J988" s="10"/>
      <c r="L988" s="10"/>
      <c r="M988" s="10"/>
      <c r="N988" s="10"/>
      <c r="O988" s="8"/>
      <c r="P988" s="10"/>
    </row>
    <row r="989" spans="1:16" x14ac:dyDescent="0.45">
      <c r="A989" s="9"/>
      <c r="B989" t="b">
        <v>0</v>
      </c>
      <c r="D989" s="10"/>
      <c r="G989" s="10"/>
      <c r="H989" s="10"/>
      <c r="I989" s="9"/>
      <c r="J989" s="10"/>
      <c r="L989" s="10"/>
      <c r="M989" s="10"/>
      <c r="N989" s="10"/>
      <c r="O989" s="8"/>
      <c r="P989" s="10"/>
    </row>
    <row r="990" spans="1:16" x14ac:dyDescent="0.45">
      <c r="A990" s="9"/>
      <c r="B990" t="b">
        <v>0</v>
      </c>
      <c r="D990" s="10"/>
      <c r="G990" s="10"/>
      <c r="H990" s="10"/>
      <c r="I990" s="9"/>
      <c r="J990" s="10"/>
      <c r="L990" s="10"/>
      <c r="M990" s="10"/>
      <c r="N990" s="10"/>
      <c r="O990" s="8"/>
      <c r="P990" s="10"/>
    </row>
    <row r="991" spans="1:16" x14ac:dyDescent="0.45">
      <c r="A991" s="9"/>
      <c r="B991" t="b">
        <v>0</v>
      </c>
      <c r="D991" s="10"/>
      <c r="G991" s="10"/>
      <c r="H991" s="10"/>
      <c r="I991" s="9"/>
      <c r="J991" s="10"/>
      <c r="L991" s="10"/>
      <c r="M991" s="10"/>
      <c r="N991" s="10"/>
      <c r="O991" s="8"/>
      <c r="P991" s="10"/>
    </row>
    <row r="992" spans="1:16" x14ac:dyDescent="0.45">
      <c r="A992" s="9"/>
      <c r="B992" t="b">
        <v>0</v>
      </c>
      <c r="D992" s="10"/>
      <c r="G992" s="10"/>
      <c r="H992" s="10"/>
      <c r="I992" s="9"/>
      <c r="J992" s="10"/>
      <c r="L992" s="10"/>
      <c r="M992" s="10"/>
      <c r="N992" s="10"/>
      <c r="O992" s="8"/>
      <c r="P992" s="10"/>
    </row>
    <row r="993" spans="1:16" x14ac:dyDescent="0.45">
      <c r="A993" s="9"/>
      <c r="B993" t="b">
        <v>0</v>
      </c>
      <c r="D993" s="10"/>
      <c r="G993" s="10"/>
      <c r="H993" s="10"/>
      <c r="I993" s="9"/>
      <c r="J993" s="10"/>
      <c r="L993" s="10"/>
      <c r="M993" s="10"/>
      <c r="N993" s="10"/>
      <c r="O993" s="8"/>
      <c r="P993" s="10"/>
    </row>
    <row r="994" spans="1:16" x14ac:dyDescent="0.45">
      <c r="A994" s="9"/>
      <c r="B994" t="b">
        <v>0</v>
      </c>
      <c r="D994" s="10"/>
      <c r="G994" s="10"/>
      <c r="H994" s="10"/>
      <c r="I994" s="9"/>
      <c r="J994" s="10"/>
      <c r="L994" s="10"/>
      <c r="M994" s="10"/>
      <c r="N994" s="10"/>
      <c r="O994" s="8"/>
      <c r="P994" s="10"/>
    </row>
    <row r="995" spans="1:16" x14ac:dyDescent="0.45">
      <c r="A995" s="9"/>
      <c r="B995" t="b">
        <v>0</v>
      </c>
      <c r="D995" s="10"/>
      <c r="G995" s="10"/>
      <c r="H995" s="10"/>
      <c r="I995" s="9"/>
      <c r="J995" s="10"/>
      <c r="L995" s="10"/>
      <c r="M995" s="10"/>
      <c r="N995" s="10"/>
      <c r="O995" s="8"/>
      <c r="P995" s="10"/>
    </row>
    <row r="996" spans="1:16" x14ac:dyDescent="0.45">
      <c r="A996" s="9"/>
      <c r="B996" t="b">
        <v>0</v>
      </c>
      <c r="D996" s="10"/>
      <c r="G996" s="10"/>
      <c r="H996" s="10"/>
      <c r="I996" s="9"/>
      <c r="J996" s="10"/>
      <c r="L996" s="10"/>
      <c r="M996" s="10"/>
      <c r="N996" s="10"/>
      <c r="O996" s="8"/>
      <c r="P996" s="10"/>
    </row>
    <row r="997" spans="1:16" x14ac:dyDescent="0.45">
      <c r="A997" s="9"/>
      <c r="B997" t="b">
        <v>0</v>
      </c>
      <c r="D997" s="10"/>
      <c r="G997" s="10"/>
      <c r="H997" s="10"/>
      <c r="I997" s="9"/>
      <c r="J997" s="10"/>
      <c r="L997" s="10"/>
      <c r="M997" s="10"/>
      <c r="N997" s="10"/>
      <c r="O997" s="8"/>
      <c r="P997" s="10"/>
    </row>
    <row r="998" spans="1:16" x14ac:dyDescent="0.45">
      <c r="A998" s="9"/>
      <c r="B998" t="b">
        <v>0</v>
      </c>
      <c r="D998" s="10"/>
      <c r="G998" s="10"/>
      <c r="H998" s="10"/>
      <c r="I998" s="9"/>
      <c r="J998" s="10"/>
      <c r="L998" s="10"/>
      <c r="M998" s="10"/>
      <c r="N998" s="10"/>
      <c r="O998" s="8"/>
      <c r="P998" s="10"/>
    </row>
    <row r="999" spans="1:16" x14ac:dyDescent="0.45">
      <c r="A999" s="9"/>
      <c r="B999" t="b">
        <v>0</v>
      </c>
      <c r="D999" s="10"/>
      <c r="G999" s="10"/>
      <c r="H999" s="10"/>
      <c r="I999" s="9"/>
      <c r="J999" s="10"/>
      <c r="L999" s="10"/>
      <c r="M999" s="10"/>
      <c r="N999" s="10"/>
      <c r="O999" s="8"/>
      <c r="P999" s="10"/>
    </row>
    <row r="1000" spans="1:16" x14ac:dyDescent="0.45">
      <c r="A1000" s="9"/>
      <c r="B1000" t="b">
        <v>0</v>
      </c>
      <c r="D1000" s="10"/>
      <c r="G1000" s="10"/>
      <c r="H1000" s="10"/>
      <c r="I1000" s="9"/>
      <c r="J1000" s="10"/>
      <c r="L1000" s="10"/>
      <c r="M1000" s="10"/>
      <c r="N1000" s="10"/>
      <c r="O1000" s="8"/>
      <c r="P1000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9"/>
  <sheetViews>
    <sheetView workbookViewId="0">
      <selection activeCell="N20" sqref="N20"/>
    </sheetView>
  </sheetViews>
  <sheetFormatPr defaultRowHeight="14.25" x14ac:dyDescent="0.45"/>
  <cols>
    <col min="1" max="1" width="10" customWidth="1"/>
    <col min="2" max="2" width="3.6640625" bestFit="1" customWidth="1"/>
    <col min="3" max="3" width="10.3984375" bestFit="1" customWidth="1"/>
    <col min="4" max="4" width="12.46484375" bestFit="1" customWidth="1"/>
    <col min="5" max="5" width="8.73046875" bestFit="1" customWidth="1"/>
    <col min="6" max="6" width="10" customWidth="1"/>
    <col min="7" max="7" width="8.73046875" bestFit="1" customWidth="1"/>
    <col min="8" max="8" width="7.6640625" bestFit="1" customWidth="1"/>
    <col min="9" max="9" width="7.19921875" bestFit="1" customWidth="1"/>
    <col min="10" max="10" width="13.53125" bestFit="1" customWidth="1"/>
    <col min="11" max="11" width="7.19921875" bestFit="1" customWidth="1"/>
    <col min="12" max="12" width="7.59765625" bestFit="1" customWidth="1"/>
    <col min="13" max="14" width="8.59765625" bestFit="1" customWidth="1"/>
    <col min="15" max="15" width="5.6640625" bestFit="1" customWidth="1"/>
    <col min="16" max="16" width="7.6640625" bestFit="1" customWidth="1"/>
    <col min="17" max="17" width="8.33203125" bestFit="1" customWidth="1"/>
    <col min="18" max="18" width="5.46484375" bestFit="1" customWidth="1"/>
    <col min="19" max="19" width="12" customWidth="1"/>
    <col min="20" max="20" width="6" bestFit="1" customWidth="1"/>
    <col min="21" max="21" width="40" customWidth="1"/>
    <col min="22" max="22" width="17" customWidth="1"/>
    <col min="23" max="23" width="11" customWidth="1"/>
    <col min="24" max="24" width="24" customWidth="1"/>
    <col min="25" max="25" width="13" hidden="1" customWidth="1"/>
    <col min="26" max="26" width="15" customWidth="1"/>
    <col min="27" max="27" width="13" customWidth="1"/>
  </cols>
  <sheetData>
    <row r="1" spans="1:27" x14ac:dyDescent="0.45">
      <c r="A1" s="13" t="s">
        <v>0</v>
      </c>
      <c r="B1" s="13" t="s">
        <v>2572</v>
      </c>
      <c r="C1" s="13" t="s">
        <v>2573</v>
      </c>
      <c r="D1" s="13" t="s">
        <v>2574</v>
      </c>
      <c r="E1" s="13" t="s">
        <v>2575</v>
      </c>
      <c r="F1" s="13" t="s">
        <v>2576</v>
      </c>
      <c r="G1" s="13" t="s">
        <v>2577</v>
      </c>
      <c r="H1" s="13" t="s">
        <v>2567</v>
      </c>
      <c r="I1" s="13" t="s">
        <v>2568</v>
      </c>
      <c r="J1" s="13" t="s">
        <v>2578</v>
      </c>
      <c r="K1" s="13" t="s">
        <v>2548</v>
      </c>
      <c r="L1" s="13" t="s">
        <v>2549</v>
      </c>
      <c r="M1" s="13" t="s">
        <v>2550</v>
      </c>
      <c r="N1" s="13" t="s">
        <v>2551</v>
      </c>
      <c r="O1" s="13" t="s">
        <v>2579</v>
      </c>
      <c r="P1" s="13" t="s">
        <v>2580</v>
      </c>
      <c r="Q1" s="13" t="s">
        <v>2581</v>
      </c>
      <c r="R1" s="13" t="s">
        <v>2582</v>
      </c>
      <c r="S1" s="13" t="s">
        <v>2583</v>
      </c>
      <c r="T1" s="13" t="s">
        <v>2584</v>
      </c>
      <c r="U1" s="13" t="s">
        <v>2585</v>
      </c>
      <c r="V1" s="13" t="s">
        <v>2586</v>
      </c>
      <c r="W1" s="13" t="s">
        <v>2587</v>
      </c>
      <c r="X1" s="13" t="s">
        <v>2588</v>
      </c>
      <c r="Y1" s="13" t="s">
        <v>2569</v>
      </c>
      <c r="Z1" s="13" t="s">
        <v>2589</v>
      </c>
      <c r="AA1" s="13" t="s">
        <v>2590</v>
      </c>
    </row>
    <row r="2" spans="1:27" x14ac:dyDescent="0.45">
      <c r="A2" t="s">
        <v>375</v>
      </c>
      <c r="B2">
        <v>2</v>
      </c>
      <c r="C2" s="9">
        <v>45884</v>
      </c>
      <c r="D2" s="10">
        <v>1311.2967020000001</v>
      </c>
      <c r="E2" s="10">
        <v>88.51</v>
      </c>
      <c r="F2" s="10">
        <v>9.3771500000000003</v>
      </c>
      <c r="G2" s="10">
        <v>1659.9430930000001</v>
      </c>
      <c r="H2" s="10">
        <v>348.64639110000002</v>
      </c>
      <c r="I2" s="8">
        <v>0.26783378610000003</v>
      </c>
      <c r="J2" s="10">
        <v>62.15</v>
      </c>
      <c r="K2" s="8">
        <v>0.16200603912301431</v>
      </c>
      <c r="L2" s="8">
        <v>0.53636521437250484</v>
      </c>
      <c r="M2" s="8">
        <v>1.0033952014486189</v>
      </c>
      <c r="N2" s="8">
        <v>0.63907407407407413</v>
      </c>
      <c r="O2">
        <v>0</v>
      </c>
      <c r="P2" s="15">
        <v>1</v>
      </c>
      <c r="Q2" s="15">
        <v>0</v>
      </c>
      <c r="R2" s="16">
        <v>0</v>
      </c>
      <c r="S2" s="17" t="s">
        <v>2570</v>
      </c>
      <c r="T2" t="s">
        <v>2591</v>
      </c>
      <c r="U2" t="s">
        <v>2592</v>
      </c>
      <c r="V2" s="10">
        <v>62.15</v>
      </c>
      <c r="W2" s="10">
        <v>136.06</v>
      </c>
      <c r="X2" s="10">
        <v>1301.7267019999999</v>
      </c>
      <c r="Y2">
        <v>9.5672990000000002</v>
      </c>
      <c r="Z2" s="10">
        <v>68.03</v>
      </c>
      <c r="AA2" s="10">
        <v>1693.603269</v>
      </c>
    </row>
    <row r="3" spans="1:27" x14ac:dyDescent="0.45">
      <c r="A3" t="s">
        <v>507</v>
      </c>
      <c r="B3">
        <v>2</v>
      </c>
      <c r="C3" s="9">
        <v>45884</v>
      </c>
      <c r="D3" s="10">
        <v>1453.4667649999999</v>
      </c>
      <c r="E3" s="10">
        <v>125.28</v>
      </c>
      <c r="F3" s="10">
        <v>9.3771500000000003</v>
      </c>
      <c r="G3" s="10">
        <v>2349.5387040000001</v>
      </c>
      <c r="H3" s="10">
        <v>896.07193889999996</v>
      </c>
      <c r="I3" s="8">
        <v>0.62059280179999998</v>
      </c>
      <c r="J3" s="10">
        <v>70.8</v>
      </c>
      <c r="K3" s="8">
        <v>0.36114732724902199</v>
      </c>
      <c r="L3" s="8">
        <v>0.95688847235239005</v>
      </c>
      <c r="M3" s="8">
        <v>3.1021611001964642</v>
      </c>
      <c r="N3" s="8">
        <v>0.88334335538184017</v>
      </c>
      <c r="O3">
        <v>0</v>
      </c>
      <c r="P3" s="15">
        <v>1</v>
      </c>
      <c r="Q3" s="15">
        <v>1</v>
      </c>
      <c r="R3" s="16">
        <v>1</v>
      </c>
      <c r="S3" s="17" t="s">
        <v>2570</v>
      </c>
      <c r="T3" t="s">
        <v>2593</v>
      </c>
      <c r="U3" t="s">
        <v>2594</v>
      </c>
      <c r="V3" s="10">
        <v>70.8</v>
      </c>
      <c r="W3" s="10">
        <v>150.91999999999999</v>
      </c>
      <c r="X3" s="10">
        <v>1443.896765</v>
      </c>
      <c r="Y3">
        <v>9.5672990000000002</v>
      </c>
      <c r="Z3" s="10">
        <v>75.459999999999994</v>
      </c>
      <c r="AA3" s="10">
        <v>2397.1824369999999</v>
      </c>
    </row>
    <row r="4" spans="1:27" x14ac:dyDescent="0.45">
      <c r="A4" t="s">
        <v>199</v>
      </c>
      <c r="B4">
        <v>2</v>
      </c>
      <c r="C4" s="9">
        <v>45884</v>
      </c>
      <c r="D4" s="10">
        <v>1251.309737</v>
      </c>
      <c r="E4" s="10">
        <v>85.34</v>
      </c>
      <c r="F4" s="10">
        <v>9.3771500000000003</v>
      </c>
      <c r="G4" s="10">
        <v>1600.4919620000001</v>
      </c>
      <c r="H4" s="10">
        <v>349.18222479999997</v>
      </c>
      <c r="I4" s="8">
        <v>0.28120403519999998</v>
      </c>
      <c r="J4" s="10">
        <v>59</v>
      </c>
      <c r="K4" s="8">
        <v>0.19876387133024309</v>
      </c>
      <c r="L4" s="8">
        <v>0.61843352930020878</v>
      </c>
      <c r="M4" s="8">
        <v>1.184284617353468</v>
      </c>
      <c r="N4" s="8">
        <v>0.90024493431307073</v>
      </c>
      <c r="O4">
        <v>0</v>
      </c>
      <c r="P4" s="15">
        <v>1</v>
      </c>
      <c r="Q4" s="15">
        <v>1</v>
      </c>
      <c r="R4" s="16">
        <v>1</v>
      </c>
      <c r="S4" s="17" t="s">
        <v>2570</v>
      </c>
      <c r="T4" t="s">
        <v>2593</v>
      </c>
      <c r="U4" t="s">
        <v>2594</v>
      </c>
      <c r="V4" s="10">
        <v>59</v>
      </c>
      <c r="W4" s="10">
        <v>129.79</v>
      </c>
      <c r="X4" s="10">
        <v>1241.7397370000001</v>
      </c>
      <c r="Y4">
        <v>9.5672990000000002</v>
      </c>
      <c r="Z4" s="10">
        <v>64.894999999999996</v>
      </c>
      <c r="AA4" s="10">
        <v>1632.9465929999999</v>
      </c>
    </row>
    <row r="5" spans="1:27" x14ac:dyDescent="0.45">
      <c r="A5" t="s">
        <v>118</v>
      </c>
      <c r="B5">
        <v>2</v>
      </c>
      <c r="C5" s="9">
        <v>45884</v>
      </c>
      <c r="D5" s="10">
        <v>1263.4602070000001</v>
      </c>
      <c r="E5" s="10">
        <v>65.37</v>
      </c>
      <c r="F5" s="10">
        <v>9.3771500000000003</v>
      </c>
      <c r="G5" s="10">
        <v>1225.9685910000001</v>
      </c>
      <c r="H5" s="10">
        <v>-37.491615940000003</v>
      </c>
      <c r="I5" s="8">
        <v>-2.990023826E-2</v>
      </c>
      <c r="J5" s="10">
        <v>59</v>
      </c>
      <c r="K5" s="8">
        <v>-1.773102930127712E-2</v>
      </c>
      <c r="L5" s="8">
        <v>9.7917366476318435E-2</v>
      </c>
      <c r="M5" s="8">
        <v>0.16586409844836811</v>
      </c>
      <c r="N5" s="8">
        <v>0.29215259932793042</v>
      </c>
      <c r="O5">
        <v>0</v>
      </c>
      <c r="P5" s="15">
        <v>1</v>
      </c>
      <c r="Q5" s="15">
        <v>1</v>
      </c>
      <c r="R5" s="16">
        <v>1</v>
      </c>
      <c r="S5" s="17" t="s">
        <v>2570</v>
      </c>
      <c r="T5" t="s">
        <v>2593</v>
      </c>
      <c r="U5" t="s">
        <v>2594</v>
      </c>
      <c r="V5" s="10">
        <v>59</v>
      </c>
      <c r="W5" s="10">
        <v>131.06</v>
      </c>
      <c r="X5" s="10">
        <v>1253.8902069999999</v>
      </c>
      <c r="Y5">
        <v>9.5672990000000002</v>
      </c>
      <c r="Z5" s="10">
        <v>65.53</v>
      </c>
      <c r="AA5" s="10">
        <v>1250.828671</v>
      </c>
    </row>
    <row r="6" spans="1:27" x14ac:dyDescent="0.45">
      <c r="A6" t="s">
        <v>726</v>
      </c>
      <c r="B6">
        <v>2</v>
      </c>
      <c r="C6" s="9">
        <v>45894</v>
      </c>
      <c r="D6" s="10">
        <v>939.526431</v>
      </c>
      <c r="E6" s="10">
        <v>86.97</v>
      </c>
      <c r="F6" s="10">
        <v>9.3771500000000003</v>
      </c>
      <c r="G6" s="10">
        <v>1631.061471</v>
      </c>
      <c r="H6" s="10">
        <v>691.53503999999998</v>
      </c>
      <c r="I6" s="8">
        <v>0.74365288860000001</v>
      </c>
      <c r="J6" s="10">
        <v>44.509599999999999</v>
      </c>
      <c r="K6" s="8">
        <v>0.52391799544419126</v>
      </c>
      <c r="L6" s="8">
        <v>2.5790123456790122</v>
      </c>
      <c r="M6" s="8">
        <v>4.2391566265060234</v>
      </c>
      <c r="N6" s="8">
        <v>7.1053122087604841</v>
      </c>
      <c r="O6">
        <v>0</v>
      </c>
      <c r="P6" s="15">
        <v>1</v>
      </c>
      <c r="Q6" s="15">
        <v>1</v>
      </c>
      <c r="R6" s="16">
        <v>1</v>
      </c>
      <c r="S6" s="17" t="s">
        <v>2570</v>
      </c>
      <c r="T6" t="s">
        <v>2593</v>
      </c>
      <c r="U6" t="s">
        <v>2594</v>
      </c>
      <c r="V6" s="10">
        <v>44.509599999999999</v>
      </c>
      <c r="W6" s="10">
        <v>96.76</v>
      </c>
      <c r="X6" s="10">
        <v>929.91643099999999</v>
      </c>
      <c r="Y6">
        <v>9.6105459999999994</v>
      </c>
      <c r="Z6" s="10">
        <v>48.38</v>
      </c>
      <c r="AA6" s="10">
        <v>1671.658371</v>
      </c>
    </row>
    <row r="7" spans="1:27" x14ac:dyDescent="0.45">
      <c r="A7" t="s">
        <v>1022</v>
      </c>
      <c r="B7">
        <v>3</v>
      </c>
      <c r="C7" s="9">
        <v>45894</v>
      </c>
      <c r="D7" s="10">
        <v>898.20108319999997</v>
      </c>
      <c r="E7" s="10">
        <v>39.76</v>
      </c>
      <c r="F7" s="10">
        <v>9.3771500000000003</v>
      </c>
      <c r="G7" s="10">
        <v>1118.5064520000001</v>
      </c>
      <c r="H7" s="10">
        <v>220.3053688</v>
      </c>
      <c r="I7" s="8">
        <v>0.24792660320000001</v>
      </c>
      <c r="J7" s="10">
        <v>28.354399999999998</v>
      </c>
      <c r="K7" s="8">
        <v>0.1541364296081276</v>
      </c>
      <c r="L7" s="8">
        <v>0.63218390804597702</v>
      </c>
      <c r="M7" s="8">
        <v>1.776536312849162</v>
      </c>
      <c r="N7" s="8">
        <v>2.2090395480225991</v>
      </c>
      <c r="O7">
        <v>0</v>
      </c>
      <c r="P7" s="15">
        <v>1</v>
      </c>
      <c r="Q7" s="15">
        <v>1</v>
      </c>
      <c r="R7" s="16">
        <v>1</v>
      </c>
      <c r="S7" s="17" t="s">
        <v>2570</v>
      </c>
      <c r="T7" t="s">
        <v>2593</v>
      </c>
      <c r="U7" t="s">
        <v>2594</v>
      </c>
      <c r="V7" s="10">
        <v>28.354399999999998</v>
      </c>
      <c r="W7" s="10">
        <v>92.46</v>
      </c>
      <c r="X7" s="10">
        <v>888.59108319999996</v>
      </c>
      <c r="Y7">
        <v>9.6105459999999994</v>
      </c>
      <c r="Z7" s="10">
        <v>30.82</v>
      </c>
      <c r="AA7" s="10">
        <v>1146.3459270000001</v>
      </c>
    </row>
    <row r="8" spans="1:27" x14ac:dyDescent="0.45">
      <c r="A8" t="s">
        <v>2369</v>
      </c>
      <c r="B8">
        <v>2</v>
      </c>
      <c r="C8" s="9">
        <v>45894</v>
      </c>
      <c r="D8" s="10">
        <v>752.69741669999996</v>
      </c>
      <c r="E8" s="10">
        <v>37.53</v>
      </c>
      <c r="F8" s="10">
        <v>9.3771500000000003</v>
      </c>
      <c r="G8" s="10">
        <v>703.84887900000001</v>
      </c>
      <c r="H8" s="10">
        <v>-48.848537720000003</v>
      </c>
      <c r="I8" s="8">
        <v>-6.5737269429999995E-2</v>
      </c>
      <c r="J8" s="10">
        <v>35.5672</v>
      </c>
      <c r="K8" s="8">
        <v>-0.14354176175262429</v>
      </c>
      <c r="L8" s="8">
        <v>0.27653061224489811</v>
      </c>
      <c r="M8" s="8">
        <v>1.218085106382979</v>
      </c>
      <c r="N8" s="8">
        <v>0.78374524714828908</v>
      </c>
      <c r="O8">
        <v>0</v>
      </c>
      <c r="P8" s="15">
        <v>1</v>
      </c>
      <c r="Q8" s="15">
        <v>1</v>
      </c>
      <c r="R8" s="16">
        <v>1</v>
      </c>
      <c r="S8" s="17" t="s">
        <v>2570</v>
      </c>
      <c r="T8" t="s">
        <v>2593</v>
      </c>
      <c r="U8" t="s">
        <v>2594</v>
      </c>
      <c r="V8" s="10">
        <v>35.5672</v>
      </c>
      <c r="W8" s="10">
        <v>77.319999999999993</v>
      </c>
      <c r="X8" s="10">
        <v>743.08741669999995</v>
      </c>
      <c r="Y8">
        <v>9.6105459999999994</v>
      </c>
      <c r="Z8" s="10">
        <v>38.659999999999997</v>
      </c>
      <c r="AA8" s="10">
        <v>721.36758280000004</v>
      </c>
    </row>
    <row r="9" spans="1:27" x14ac:dyDescent="0.45">
      <c r="A9" t="s">
        <v>2094</v>
      </c>
      <c r="B9">
        <v>5</v>
      </c>
      <c r="C9" s="9">
        <v>45894</v>
      </c>
      <c r="D9" s="10">
        <v>1003.58072</v>
      </c>
      <c r="E9" s="10">
        <v>18.690000000000001</v>
      </c>
      <c r="F9" s="10">
        <v>9.3771500000000003</v>
      </c>
      <c r="G9" s="10">
        <v>876.29466749999995</v>
      </c>
      <c r="H9" s="10">
        <v>-127.2860526</v>
      </c>
      <c r="I9" s="8">
        <v>-0.12805815100000001</v>
      </c>
      <c r="J9" s="10">
        <v>19.030200000000001</v>
      </c>
      <c r="K9" s="8">
        <v>-0.11798017932987261</v>
      </c>
      <c r="L9" s="8">
        <v>0.21049222797927469</v>
      </c>
      <c r="M9" s="8">
        <v>0.82876712328767121</v>
      </c>
      <c r="N9" s="8">
        <v>0.78339694656488557</v>
      </c>
      <c r="O9">
        <v>0</v>
      </c>
      <c r="P9" s="15">
        <v>1</v>
      </c>
      <c r="Q9" s="15">
        <v>1</v>
      </c>
      <c r="R9" s="16">
        <v>1</v>
      </c>
      <c r="S9" s="17" t="s">
        <v>2570</v>
      </c>
      <c r="T9" t="s">
        <v>2595</v>
      </c>
      <c r="U9" t="s">
        <v>2596</v>
      </c>
      <c r="V9" s="10">
        <v>19.030200000000001</v>
      </c>
      <c r="W9" s="10">
        <v>103.425</v>
      </c>
      <c r="X9" s="10">
        <v>993.97072009999999</v>
      </c>
      <c r="Y9">
        <v>9.6105459999999994</v>
      </c>
      <c r="Z9" s="10">
        <v>20.684999999999999</v>
      </c>
      <c r="AA9" s="10">
        <v>898.10552370000005</v>
      </c>
    </row>
    <row r="10" spans="1:27" x14ac:dyDescent="0.45">
      <c r="A10" t="s">
        <v>1400</v>
      </c>
      <c r="B10">
        <v>2</v>
      </c>
      <c r="C10" s="9">
        <v>45894</v>
      </c>
      <c r="D10" s="10">
        <v>1046.9723349999999</v>
      </c>
      <c r="E10" s="10">
        <v>52.18</v>
      </c>
      <c r="F10" s="10">
        <v>9.3771500000000003</v>
      </c>
      <c r="G10" s="10">
        <v>978.59937400000001</v>
      </c>
      <c r="H10" s="10">
        <v>-68.372961239999995</v>
      </c>
      <c r="I10" s="8">
        <v>-6.5910394969999994E-2</v>
      </c>
      <c r="J10" s="10">
        <v>49.6524</v>
      </c>
      <c r="K10" s="8">
        <v>-6.0666066606660629E-2</v>
      </c>
      <c r="L10" s="8">
        <v>0.46985915492957742</v>
      </c>
      <c r="M10" s="8">
        <v>0.97427166099129781</v>
      </c>
      <c r="N10" s="8">
        <v>9.1860221803724551E-2</v>
      </c>
      <c r="O10">
        <v>0</v>
      </c>
      <c r="P10" s="15">
        <v>1</v>
      </c>
      <c r="Q10" s="15">
        <v>1</v>
      </c>
      <c r="R10" s="16">
        <v>1</v>
      </c>
      <c r="S10" s="17" t="s">
        <v>2570</v>
      </c>
      <c r="T10" t="s">
        <v>2593</v>
      </c>
      <c r="U10" t="s">
        <v>2594</v>
      </c>
      <c r="V10" s="10">
        <v>49.6524</v>
      </c>
      <c r="W10" s="10">
        <v>107.94</v>
      </c>
      <c r="X10" s="10">
        <v>1037.362335</v>
      </c>
      <c r="Y10">
        <v>9.6105459999999994</v>
      </c>
      <c r="Z10" s="10">
        <v>53.97</v>
      </c>
      <c r="AA10" s="10">
        <v>1002.956581</v>
      </c>
    </row>
    <row r="11" spans="1:27" x14ac:dyDescent="0.45">
      <c r="A11" t="s">
        <v>2529</v>
      </c>
      <c r="B11">
        <v>3</v>
      </c>
      <c r="C11" s="9">
        <v>45902</v>
      </c>
      <c r="D11" s="10">
        <v>1359.8729189999999</v>
      </c>
      <c r="E11" s="10">
        <v>56.12</v>
      </c>
      <c r="F11" s="10">
        <v>9.3771500000000003</v>
      </c>
      <c r="G11" s="10">
        <v>1578.7369739999999</v>
      </c>
      <c r="H11" s="10">
        <v>218.8640546</v>
      </c>
      <c r="I11" s="8">
        <v>0.16207435000000001</v>
      </c>
      <c r="J11" s="10">
        <v>43.7</v>
      </c>
      <c r="K11" s="8">
        <v>0.1228491396558624</v>
      </c>
      <c r="L11" s="8">
        <v>9.9609375</v>
      </c>
      <c r="M11" s="8">
        <v>20.501915708812259</v>
      </c>
      <c r="N11" s="8">
        <v>13.352941176470591</v>
      </c>
      <c r="O11">
        <v>0</v>
      </c>
      <c r="P11" s="15">
        <v>1</v>
      </c>
      <c r="Q11" s="15">
        <v>1</v>
      </c>
      <c r="R11" s="16">
        <v>1</v>
      </c>
      <c r="S11" s="17" t="s">
        <v>2570</v>
      </c>
      <c r="T11" t="s">
        <v>2593</v>
      </c>
      <c r="U11" t="s">
        <v>2594</v>
      </c>
      <c r="V11" s="10">
        <v>43.7</v>
      </c>
      <c r="W11" s="10">
        <v>142.47</v>
      </c>
      <c r="X11" s="10">
        <v>1350.3929189999999</v>
      </c>
      <c r="Y11">
        <v>9.4784369999999996</v>
      </c>
      <c r="Z11" s="10">
        <v>47.49</v>
      </c>
      <c r="AA11" s="10">
        <v>1595.789653</v>
      </c>
    </row>
    <row r="12" spans="1:27" x14ac:dyDescent="0.45">
      <c r="C12" s="9"/>
      <c r="D12" s="10"/>
      <c r="E12" s="10"/>
      <c r="F12" s="10"/>
      <c r="G12" s="10"/>
      <c r="H12" s="10"/>
      <c r="I12" s="8"/>
      <c r="J12" s="10"/>
      <c r="K12" s="8"/>
      <c r="L12" s="8"/>
      <c r="M12" s="8"/>
      <c r="N12" s="8"/>
      <c r="P12" s="15"/>
      <c r="Q12" s="15"/>
      <c r="R12" s="16"/>
      <c r="S12" s="17"/>
      <c r="V12" s="10"/>
      <c r="W12" s="10"/>
      <c r="X12" s="10"/>
      <c r="Z12" s="10"/>
      <c r="AA12" s="10"/>
    </row>
    <row r="13" spans="1:27" x14ac:dyDescent="0.45">
      <c r="C13" s="9"/>
      <c r="D13" s="10"/>
      <c r="E13" s="10"/>
      <c r="F13" s="10"/>
      <c r="G13" s="10"/>
      <c r="H13" s="10"/>
      <c r="I13" s="8"/>
      <c r="J13" s="10"/>
      <c r="K13" s="8"/>
      <c r="L13" s="8"/>
      <c r="M13" s="8"/>
      <c r="N13" s="8"/>
      <c r="P13" s="15"/>
      <c r="Q13" s="15"/>
      <c r="R13" s="16"/>
      <c r="S13" s="17"/>
      <c r="V13" s="10"/>
      <c r="W13" s="10"/>
      <c r="X13" s="10"/>
      <c r="Z13" s="10"/>
      <c r="AA13" s="10"/>
    </row>
    <row r="14" spans="1:27" x14ac:dyDescent="0.45">
      <c r="C14" s="9"/>
      <c r="D14" s="10"/>
      <c r="E14" s="10"/>
      <c r="F14" s="10"/>
      <c r="G14" s="10"/>
      <c r="H14" s="10"/>
      <c r="I14" s="8"/>
      <c r="J14" s="10"/>
      <c r="K14" s="8"/>
      <c r="L14" s="8"/>
      <c r="M14" s="8"/>
      <c r="N14" s="8"/>
      <c r="P14" s="15"/>
      <c r="Q14" s="15"/>
      <c r="R14" s="16"/>
      <c r="S14" s="17"/>
      <c r="V14" s="10"/>
      <c r="W14" s="10"/>
      <c r="X14" s="10"/>
      <c r="Z14" s="10"/>
      <c r="AA14" s="10"/>
    </row>
    <row r="15" spans="1:27" x14ac:dyDescent="0.45">
      <c r="C15" s="9"/>
      <c r="D15" s="10"/>
      <c r="E15" s="10"/>
      <c r="F15" s="10"/>
      <c r="G15" s="10"/>
      <c r="H15" s="10"/>
      <c r="I15" s="8"/>
      <c r="J15" s="10"/>
      <c r="K15" s="8"/>
      <c r="L15" s="8"/>
      <c r="M15" s="8"/>
      <c r="N15" s="8"/>
      <c r="P15" s="15"/>
      <c r="Q15" s="15"/>
      <c r="R15" s="16"/>
      <c r="S15" s="17"/>
      <c r="V15" s="10"/>
      <c r="W15" s="10"/>
      <c r="X15" s="10"/>
      <c r="Z15" s="10"/>
      <c r="AA15" s="10"/>
    </row>
    <row r="16" spans="1:27" x14ac:dyDescent="0.45">
      <c r="C16" s="9"/>
      <c r="D16" s="10"/>
      <c r="E16" s="10"/>
      <c r="F16" s="10"/>
      <c r="G16" s="10"/>
      <c r="H16" s="10"/>
      <c r="I16" s="8"/>
      <c r="J16" s="10"/>
      <c r="K16" s="8"/>
      <c r="L16" s="8"/>
      <c r="M16" s="8"/>
      <c r="N16" s="8"/>
      <c r="P16" s="15"/>
      <c r="Q16" s="15"/>
      <c r="R16" s="16"/>
      <c r="S16" s="17"/>
      <c r="V16" s="10"/>
      <c r="W16" s="10"/>
      <c r="X16" s="10"/>
      <c r="Z16" s="10"/>
      <c r="AA16" s="10"/>
    </row>
    <row r="17" spans="3:27" x14ac:dyDescent="0.45">
      <c r="C17" s="9"/>
      <c r="D17" s="10"/>
      <c r="E17" s="10"/>
      <c r="F17" s="10"/>
      <c r="G17" s="10"/>
      <c r="H17" s="10"/>
      <c r="I17" s="8"/>
      <c r="J17" s="10"/>
      <c r="K17" s="8"/>
      <c r="L17" s="8"/>
      <c r="M17" s="8"/>
      <c r="N17" s="8"/>
      <c r="P17" s="15"/>
      <c r="Q17" s="15"/>
      <c r="R17" s="16"/>
      <c r="S17" s="17"/>
      <c r="V17" s="10"/>
      <c r="W17" s="10"/>
      <c r="X17" s="10"/>
      <c r="Z17" s="10"/>
      <c r="AA17" s="10"/>
    </row>
    <row r="18" spans="3:27" x14ac:dyDescent="0.45">
      <c r="C18" s="9"/>
      <c r="D18" s="10"/>
      <c r="E18" s="10"/>
      <c r="F18" s="10"/>
      <c r="G18" s="10"/>
      <c r="H18" s="10"/>
      <c r="I18" s="8"/>
      <c r="J18" s="10"/>
      <c r="K18" s="8"/>
      <c r="L18" s="8"/>
      <c r="M18" s="8"/>
      <c r="N18" s="8"/>
      <c r="P18" s="15"/>
      <c r="Q18" s="15"/>
      <c r="R18" s="16"/>
      <c r="S18" s="17"/>
      <c r="V18" s="10"/>
      <c r="W18" s="10"/>
      <c r="X18" s="10"/>
      <c r="Z18" s="10"/>
      <c r="AA18" s="10"/>
    </row>
    <row r="19" spans="3:27" x14ac:dyDescent="0.45">
      <c r="C19" s="9"/>
      <c r="D19" s="10" t="s">
        <v>2597</v>
      </c>
      <c r="E19" s="10">
        <v>11280.384319999999</v>
      </c>
      <c r="F19" s="10"/>
      <c r="G19" s="10"/>
      <c r="H19" s="10">
        <v>2442.6058509999998</v>
      </c>
      <c r="I19" s="8">
        <v>0.21653569440000001</v>
      </c>
      <c r="J19" s="10"/>
      <c r="K19" s="8"/>
      <c r="L19" s="8"/>
      <c r="M19" s="8"/>
      <c r="N19" s="8"/>
      <c r="P19" s="15"/>
      <c r="Q19" s="15"/>
      <c r="R19" s="16"/>
      <c r="S19" s="17"/>
      <c r="V19" s="10"/>
      <c r="W19" s="10"/>
      <c r="X19" s="10"/>
      <c r="Z19" s="10"/>
      <c r="AA19" s="10"/>
    </row>
  </sheetData>
  <conditionalFormatting sqref="H22">
    <cfRule type="cellIs" dxfId="7" priority="8" operator="greaterThan">
      <formula>0</formula>
    </cfRule>
  </conditionalFormatting>
  <conditionalFormatting sqref="H22:H1048576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6" priority="14" operator="lessThan">
      <formula>0</formula>
    </cfRule>
    <cfRule type="cellIs" dxfId="5" priority="15" operator="greaterThan">
      <formula>0</formula>
    </cfRule>
  </conditionalFormatting>
  <conditionalFormatting sqref="H2:I20">
    <cfRule type="cellIs" dxfId="4" priority="4" operator="greaterThan">
      <formula>0</formula>
    </cfRule>
  </conditionalFormatting>
  <conditionalFormatting sqref="H2:I21">
    <cfRule type="cellIs" dxfId="3" priority="3" operator="lessThan">
      <formula>0</formula>
    </cfRule>
  </conditionalFormatting>
  <conditionalFormatting sqref="H22:I22">
    <cfRule type="cellIs" dxfId="2" priority="7" operator="greater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2"/>
  <sheetViews>
    <sheetView workbookViewId="0"/>
  </sheetViews>
  <sheetFormatPr defaultColWidth="14.3984375" defaultRowHeight="15" customHeight="1" x14ac:dyDescent="0.45"/>
  <cols>
    <col min="6" max="8" width="14.86328125" customWidth="1"/>
    <col min="9" max="9" width="17" customWidth="1"/>
    <col min="10" max="10" width="19.3984375" customWidth="1"/>
    <col min="11" max="11" width="11.265625" customWidth="1"/>
    <col min="12" max="12" width="11.73046875" customWidth="1"/>
  </cols>
  <sheetData>
    <row r="1" spans="1:13" ht="15" customHeight="1" x14ac:dyDescent="0.45">
      <c r="A1" s="4" t="s">
        <v>2598</v>
      </c>
      <c r="B1" s="4" t="s">
        <v>2599</v>
      </c>
      <c r="C1" s="4" t="s">
        <v>2600</v>
      </c>
      <c r="D1" s="4" t="s">
        <v>2601</v>
      </c>
      <c r="E1" s="4" t="s">
        <v>2602</v>
      </c>
      <c r="F1" s="4" t="s">
        <v>2603</v>
      </c>
      <c r="G1" s="4" t="s">
        <v>2604</v>
      </c>
      <c r="H1" s="4" t="s">
        <v>2605</v>
      </c>
      <c r="I1" s="4" t="s">
        <v>2606</v>
      </c>
      <c r="J1" s="4" t="s">
        <v>2607</v>
      </c>
      <c r="K1" s="4" t="s">
        <v>2608</v>
      </c>
      <c r="L1" s="4" t="s">
        <v>2609</v>
      </c>
      <c r="M1" s="4" t="s">
        <v>2610</v>
      </c>
    </row>
    <row r="2" spans="1:13" ht="15" customHeight="1" x14ac:dyDescent="0.45">
      <c r="A2" s="5">
        <v>45901</v>
      </c>
      <c r="B2" s="3">
        <f>Holdings!I19</f>
        <v>0.21653569440000001</v>
      </c>
      <c r="C2" s="3">
        <f ca="1">IFERROR(__xludf.DUMMYFUNCTION("IFERROR(
 (INDEX(GOOGLEFINANCE("".IXIC"",""close"",EOMONTH(TODAY(),-1)+1,TODAY()), ROWS(GOOGLEFINANCE("".IXIC"",""close"",EOMONTH(TODAY(),-1)+1,TODAY())), 2) /
  INDEX(GOOGLEFINANCE("".IXIC"",""close"",EOMONTH(TODAY(),-1)+1,TODAY()), 2, 2) - 1),
0)
"),0.00111403303690238)</f>
        <v>1.11403303690238E-3</v>
      </c>
      <c r="D2" s="3" t="str">
        <f ca="1">IFERROR(__xludf.DUMMYFUNCTION("INDEX(IMPORTXML(""https://finance.yahoo.com/quote/%5EOMXSPI?p=%5EOMXSPI"",""//fin-streamer[@data-field='regularMarketPrice']""),1,1)
"),"#N/A")</f>
        <v>#N/A</v>
      </c>
      <c r="E2" s="3">
        <f ca="1">IFERROR(B2-C2,"")</f>
        <v>0.21542166136309762</v>
      </c>
      <c r="F2" s="3" t="str">
        <f ca="1">IFERROR(B2-D2,"")</f>
        <v/>
      </c>
      <c r="G2" s="3"/>
      <c r="H2" s="3"/>
      <c r="I2" s="2" t="s">
        <v>2611</v>
      </c>
      <c r="J2" s="2" t="s">
        <v>2612</v>
      </c>
      <c r="K2" s="2">
        <v>2</v>
      </c>
      <c r="L2" s="2">
        <v>4</v>
      </c>
      <c r="M2" s="2" t="s">
        <v>2613</v>
      </c>
    </row>
    <row r="9" spans="1:13" ht="15" customHeight="1" x14ac:dyDescent="0.45">
      <c r="G9" s="2" t="str">
        <f>IFERROR(AVERAGE(B2:B100)/STDEV(B2:B100),"")</f>
        <v/>
      </c>
    </row>
    <row r="10" spans="1:13" ht="15" customHeight="1" x14ac:dyDescent="0.45">
      <c r="C10" s="2" t="str">
        <f ca="1">IFERROR(__xludf.DUMMYFUNCTION("GOOGLEFINANCE(""INDEXNASDAQ:.IXIC"",""close"",EOMONTH(TODAY(),-1)+1,TODAY())
"),"#REF!")</f>
        <v>#REF!</v>
      </c>
      <c r="D10" s="2">
        <f ca="1">IFERROR(__xludf.DUMMYFUNCTION("INDEX(GoogleFinance(""OMXSPI"",""close"", EOMONTH(TODAY(),-1)+1, TODAY()), 2, 2)
"),988.81)</f>
        <v>988.81</v>
      </c>
      <c r="H10" s="2" t="str">
        <f ca="1">IFERROR(__xludf.DUMMYFUNCTION("IFERROR(AVERAGE(B2:B100)/STDEV(FILTER(B2:B100,B2:B100&lt;0)),"""")
"),"")</f>
        <v/>
      </c>
    </row>
    <row r="11" spans="1:13" ht="15" customHeight="1" x14ac:dyDescent="0.45">
      <c r="C11" s="2">
        <f ca="1">IFERROR(__xludf.DUMMYFUNCTION("INDEX(GoogleFinance(""INDEXNASDAQ:.IXIC"",""close"", EOMONTH(TODAY(),-1)+1, TODAY()), ROWS(GoogleFinance(""INDEXNASDAQ:.IXIC"",""close"", EOMONTH(TODAY(),-1)+1, TODAY())), 2)
"),22780.51)</f>
        <v>22780.51</v>
      </c>
      <c r="D11" s="2">
        <f ca="1">IFERROR(__xludf.DUMMYFUNCTION("INDEX(GoogleFinance(""OMXSPI"",""close"", EOMONTH(TODAY(),-1)+1, TODAY()), ROWS(GoogleFinance(""OMXSPI"",""close"", EOMONTH(TODAY(),-1)+1, TODAY())), 2)
"),1007.16)</f>
        <v>1007.16</v>
      </c>
    </row>
    <row r="20" spans="1:10" ht="15" customHeight="1" x14ac:dyDescent="0.45">
      <c r="A20" s="1" t="s">
        <v>2598</v>
      </c>
      <c r="B20" s="1" t="s">
        <v>2599</v>
      </c>
      <c r="C20" s="1" t="s">
        <v>2614</v>
      </c>
      <c r="D20" s="1" t="s">
        <v>2615</v>
      </c>
      <c r="E20" s="1" t="s">
        <v>2616</v>
      </c>
      <c r="F20" s="1"/>
      <c r="G20" s="1"/>
      <c r="H20" s="1"/>
      <c r="I20" s="1" t="s">
        <v>2617</v>
      </c>
      <c r="J20" s="1" t="s">
        <v>2618</v>
      </c>
    </row>
    <row r="21" spans="1:10" ht="15" customHeight="1" x14ac:dyDescent="0.45">
      <c r="A21" s="6">
        <v>45901</v>
      </c>
      <c r="B21" s="3">
        <f>Holdings!I19</f>
        <v>0.21653569440000001</v>
      </c>
      <c r="C21" s="3">
        <f ca="1">Review!C2</f>
        <v>1.11403303690238E-3</v>
      </c>
      <c r="D21" s="3" t="str">
        <f ca="1">Review!D2</f>
        <v>#N/A</v>
      </c>
      <c r="E21" s="3">
        <f>B21</f>
        <v>0.21653569440000001</v>
      </c>
      <c r="I21" s="3">
        <f ca="1">C21</f>
        <v>1.11403303690238E-3</v>
      </c>
      <c r="J21" s="3" t="str">
        <f ca="1">D21</f>
        <v>#N/A</v>
      </c>
    </row>
    <row r="22" spans="1:10" ht="15" customHeight="1" x14ac:dyDescent="0.45">
      <c r="E22" s="3">
        <f>(1+B22)*(1+E21)-1</f>
        <v>0.21653569440000009</v>
      </c>
      <c r="F22" s="3"/>
      <c r="G22" s="3"/>
      <c r="H22" s="3"/>
      <c r="I22" s="3">
        <f ca="1">(1+C22)*(1+I21)-1</f>
        <v>1.1140330369023843E-3</v>
      </c>
      <c r="J22" s="3" t="e">
        <f ca="1">(1+D22)*(1+J21)-
1</f>
        <v>#VALUE!</v>
      </c>
    </row>
  </sheetData>
  <conditionalFormatting sqref="E2:H8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"/>
  <sheetViews>
    <sheetView workbookViewId="0"/>
  </sheetViews>
  <sheetFormatPr defaultColWidth="14.3984375" defaultRowHeight="15" customHeight="1" x14ac:dyDescent="0.45"/>
  <sheetData>
    <row r="1" spans="1:6" ht="15" customHeight="1" x14ac:dyDescent="0.45">
      <c r="A1" s="2" t="s">
        <v>2598</v>
      </c>
      <c r="B1" s="2" t="s">
        <v>2599</v>
      </c>
      <c r="C1" s="2" t="s">
        <v>2619</v>
      </c>
      <c r="D1" s="2" t="s">
        <v>2620</v>
      </c>
      <c r="E1" s="2" t="s">
        <v>2604</v>
      </c>
      <c r="F1" s="2" t="s">
        <v>2605</v>
      </c>
    </row>
    <row r="2" spans="1:6" ht="15" customHeight="1" x14ac:dyDescent="0.45">
      <c r="A2" s="2" t="s">
        <v>2621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9"/>
  <sheetViews>
    <sheetView workbookViewId="0">
      <selection activeCell="D6" sqref="D6"/>
    </sheetView>
  </sheetViews>
  <sheetFormatPr defaultColWidth="14.3984375" defaultRowHeight="15" customHeight="1" x14ac:dyDescent="0.45"/>
  <cols>
    <col min="1" max="1" width="21.73046875" customWidth="1"/>
  </cols>
  <sheetData>
    <row r="1" spans="1:2" ht="15" customHeight="1" x14ac:dyDescent="0.45">
      <c r="A1" s="2" t="s">
        <v>2622</v>
      </c>
      <c r="B1" s="2">
        <v>65750</v>
      </c>
    </row>
    <row r="2" spans="1:2" ht="15" customHeight="1" x14ac:dyDescent="0.45">
      <c r="A2" s="2" t="s">
        <v>2623</v>
      </c>
      <c r="B2" s="2">
        <v>10</v>
      </c>
    </row>
    <row r="3" spans="1:2" ht="15" customHeight="1" x14ac:dyDescent="0.45">
      <c r="A3" s="2" t="s">
        <v>2624</v>
      </c>
      <c r="B3" s="2">
        <v>0.08</v>
      </c>
    </row>
    <row r="4" spans="1:2" ht="15" customHeight="1" x14ac:dyDescent="0.45">
      <c r="A4" s="2" t="s">
        <v>2625</v>
      </c>
      <c r="B4" s="2">
        <v>5</v>
      </c>
    </row>
    <row r="5" spans="1:2" ht="15" customHeight="1" x14ac:dyDescent="0.45">
      <c r="A5" s="2" t="s">
        <v>2626</v>
      </c>
      <c r="B5" s="2">
        <v>0.5</v>
      </c>
    </row>
    <row r="6" spans="1:2" ht="15" customHeight="1" x14ac:dyDescent="0.45">
      <c r="A6" s="2" t="s">
        <v>2627</v>
      </c>
      <c r="B6" s="2">
        <v>10</v>
      </c>
    </row>
    <row r="7" spans="1:2" ht="15" customHeight="1" x14ac:dyDescent="0.45">
      <c r="A7" s="2" t="s">
        <v>2628</v>
      </c>
      <c r="B7" s="7" t="s">
        <v>2629</v>
      </c>
    </row>
    <row r="8" spans="1:2" ht="15" customHeight="1" x14ac:dyDescent="0.45">
      <c r="A8" s="2" t="s">
        <v>2630</v>
      </c>
      <c r="B8" s="2">
        <v>300</v>
      </c>
    </row>
    <row r="9" spans="1:2" ht="15" customHeight="1" x14ac:dyDescent="0.45">
      <c r="A9" s="2" t="s">
        <v>2631</v>
      </c>
      <c r="B9" s="2" t="s">
        <v>2632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4.3984375" defaultRowHeight="15" customHeight="1" x14ac:dyDescent="0.45"/>
  <sheetData>
    <row r="1" spans="1:1" ht="15" customHeight="1" x14ac:dyDescent="0.45">
      <c r="A1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1"/>
  <sheetViews>
    <sheetView workbookViewId="0"/>
  </sheetViews>
  <sheetFormatPr defaultRowHeight="14.25" x14ac:dyDescent="0.45"/>
  <cols>
    <col min="1" max="5" width="10" customWidth="1"/>
    <col min="6" max="6" width="11" customWidth="1"/>
    <col min="7" max="8" width="19" customWidth="1"/>
    <col min="9" max="10" width="21" customWidth="1"/>
    <col min="11" max="11" width="20" customWidth="1"/>
    <col min="12" max="12" width="21" customWidth="1"/>
    <col min="13" max="13" width="20" customWidth="1"/>
  </cols>
  <sheetData>
    <row r="1" spans="1:13" x14ac:dyDescent="0.45">
      <c r="A1" s="11" t="s">
        <v>0</v>
      </c>
      <c r="B1" s="11" t="s">
        <v>2541</v>
      </c>
      <c r="C1" s="11" t="s">
        <v>2542</v>
      </c>
      <c r="D1" s="11" t="s">
        <v>2543</v>
      </c>
      <c r="E1" s="11" t="s">
        <v>2544</v>
      </c>
      <c r="F1" s="11" t="s">
        <v>2545</v>
      </c>
      <c r="G1" s="11" t="s">
        <v>2546</v>
      </c>
      <c r="H1" s="11" t="s">
        <v>2547</v>
      </c>
      <c r="I1" s="11" t="s">
        <v>2548</v>
      </c>
      <c r="J1" s="11" t="s">
        <v>2549</v>
      </c>
      <c r="K1" s="11" t="s">
        <v>2550</v>
      </c>
      <c r="L1" s="11" t="s">
        <v>2551</v>
      </c>
      <c r="M1" s="11" t="s">
        <v>2552</v>
      </c>
    </row>
    <row r="2" spans="1:13" x14ac:dyDescent="0.45">
      <c r="A2" t="s">
        <v>770</v>
      </c>
      <c r="B2">
        <v>41</v>
      </c>
      <c r="C2">
        <v>8.52</v>
      </c>
      <c r="D2">
        <v>17.53</v>
      </c>
      <c r="E2">
        <v>8.16</v>
      </c>
      <c r="F2">
        <v>9.07</v>
      </c>
      <c r="G2">
        <v>13.6014</v>
      </c>
      <c r="H2">
        <v>15.1334</v>
      </c>
      <c r="I2" s="8">
        <v>381.22065727699533</v>
      </c>
      <c r="J2" s="8">
        <v>133.88476896748429</v>
      </c>
      <c r="K2" s="8">
        <v>402.45098039215702</v>
      </c>
      <c r="L2" s="8">
        <v>352.03969128996692</v>
      </c>
      <c r="M2" s="8">
        <v>317.39902448165083</v>
      </c>
    </row>
    <row r="3" spans="1:13" x14ac:dyDescent="0.45">
      <c r="A3" t="s">
        <v>2433</v>
      </c>
      <c r="B3">
        <v>3.28</v>
      </c>
      <c r="C3">
        <v>1.51</v>
      </c>
      <c r="D3">
        <v>1.54</v>
      </c>
      <c r="E3">
        <v>1.6830000000000001</v>
      </c>
      <c r="F3">
        <v>2</v>
      </c>
      <c r="G3">
        <v>2.0857139999999998</v>
      </c>
      <c r="H3">
        <v>2.2150435000000002</v>
      </c>
      <c r="I3" s="8">
        <v>117.2185430463576</v>
      </c>
      <c r="J3" s="8">
        <v>112.987012987013</v>
      </c>
      <c r="K3" s="8">
        <v>94.890077243018411</v>
      </c>
      <c r="L3" s="8">
        <v>63.999999999999993</v>
      </c>
      <c r="M3" s="8">
        <v>97.273908319097245</v>
      </c>
    </row>
    <row r="4" spans="1:13" x14ac:dyDescent="0.45">
      <c r="A4" t="s">
        <v>2228</v>
      </c>
      <c r="B4">
        <v>3.18</v>
      </c>
      <c r="C4">
        <v>1.53</v>
      </c>
      <c r="D4">
        <v>1.71</v>
      </c>
      <c r="E4">
        <v>1.89</v>
      </c>
      <c r="F4">
        <v>2.77</v>
      </c>
      <c r="G4">
        <v>1.6379999999999999</v>
      </c>
      <c r="H4">
        <v>2.088425</v>
      </c>
      <c r="I4" s="8">
        <v>107.843137254902</v>
      </c>
      <c r="J4" s="8">
        <v>85.964912280701782</v>
      </c>
      <c r="K4" s="8">
        <v>68.253968253968281</v>
      </c>
      <c r="L4" s="8">
        <v>14.801444043321309</v>
      </c>
      <c r="M4" s="8">
        <v>69.215865458223334</v>
      </c>
    </row>
    <row r="5" spans="1:13" x14ac:dyDescent="0.45">
      <c r="A5" t="s">
        <v>1036</v>
      </c>
      <c r="B5">
        <v>3.17</v>
      </c>
      <c r="C5">
        <v>2.12</v>
      </c>
      <c r="D5">
        <v>1.77</v>
      </c>
      <c r="E5">
        <v>1.89</v>
      </c>
      <c r="F5">
        <v>2.82</v>
      </c>
      <c r="G5">
        <v>2.2517999999999998</v>
      </c>
      <c r="H5">
        <v>2.47485</v>
      </c>
      <c r="I5" s="8">
        <v>49.528301886792448</v>
      </c>
      <c r="J5" s="8">
        <v>79.096045197740111</v>
      </c>
      <c r="K5" s="8">
        <v>67.724867724867721</v>
      </c>
      <c r="L5" s="8">
        <v>12.411347517730499</v>
      </c>
      <c r="M5" s="8">
        <v>52.190140581782693</v>
      </c>
    </row>
    <row r="6" spans="1:13" x14ac:dyDescent="0.45">
      <c r="A6" t="s">
        <v>2277</v>
      </c>
      <c r="B6">
        <v>30.44</v>
      </c>
      <c r="C6">
        <v>21.73</v>
      </c>
      <c r="D6">
        <v>18.16</v>
      </c>
      <c r="E6">
        <v>22.05</v>
      </c>
      <c r="F6">
        <v>20.010000000000002</v>
      </c>
      <c r="G6">
        <v>21.7315</v>
      </c>
      <c r="H6">
        <v>21.836378</v>
      </c>
      <c r="I6" s="8">
        <v>40.082834790612047</v>
      </c>
      <c r="J6" s="8">
        <v>67.621145374449341</v>
      </c>
      <c r="K6" s="8">
        <v>38.049886621315189</v>
      </c>
      <c r="L6" s="8">
        <v>52.123938030984498</v>
      </c>
      <c r="M6" s="8">
        <v>49.469451204340267</v>
      </c>
    </row>
    <row r="7" spans="1:13" x14ac:dyDescent="0.45">
      <c r="A7" t="s">
        <v>702</v>
      </c>
      <c r="B7">
        <v>4.8</v>
      </c>
      <c r="C7">
        <v>3.88</v>
      </c>
      <c r="D7">
        <v>4.21</v>
      </c>
      <c r="E7">
        <v>3.01</v>
      </c>
      <c r="F7">
        <v>2.4300000000000002</v>
      </c>
      <c r="G7">
        <v>3.9813999999999998</v>
      </c>
      <c r="H7">
        <v>4.0791499999999994</v>
      </c>
      <c r="I7" s="8">
        <v>23.711340206185572</v>
      </c>
      <c r="J7" s="8">
        <v>14.014251781472691</v>
      </c>
      <c r="K7" s="8">
        <v>59.46843853820598</v>
      </c>
      <c r="L7" s="8">
        <v>97.53086419753086</v>
      </c>
      <c r="M7" s="8">
        <v>48.681223680848767</v>
      </c>
    </row>
    <row r="8" spans="1:13" x14ac:dyDescent="0.45">
      <c r="A8" t="s">
        <v>1089</v>
      </c>
      <c r="B8">
        <v>29.06</v>
      </c>
      <c r="C8">
        <v>25.82</v>
      </c>
      <c r="D8">
        <v>36.979999999999997</v>
      </c>
      <c r="E8">
        <v>32.51</v>
      </c>
      <c r="F8">
        <v>9.98</v>
      </c>
      <c r="G8">
        <v>27.729399999999998</v>
      </c>
      <c r="H8">
        <v>39.288899999999998</v>
      </c>
      <c r="I8" s="8">
        <v>12.54841208365607</v>
      </c>
      <c r="J8" s="8">
        <v>-21.416982152514869</v>
      </c>
      <c r="K8" s="8">
        <v>-10.612119347892961</v>
      </c>
      <c r="L8" s="8">
        <v>191.1823647294589</v>
      </c>
      <c r="M8" s="8">
        <v>42.925418828176802</v>
      </c>
    </row>
    <row r="9" spans="1:13" x14ac:dyDescent="0.45">
      <c r="A9" t="s">
        <v>2221</v>
      </c>
      <c r="B9">
        <v>13.29</v>
      </c>
      <c r="C9">
        <v>8.8699999999999992</v>
      </c>
      <c r="D9">
        <v>12.33</v>
      </c>
      <c r="E9">
        <v>7.52</v>
      </c>
      <c r="F9">
        <v>9.73</v>
      </c>
      <c r="G9">
        <v>10.055999999999999</v>
      </c>
      <c r="H9">
        <v>11.349</v>
      </c>
      <c r="I9" s="8">
        <v>49.830890642615572</v>
      </c>
      <c r="J9" s="8">
        <v>7.7858880778588713</v>
      </c>
      <c r="K9" s="8">
        <v>76.728723404255319</v>
      </c>
      <c r="L9" s="8">
        <v>36.587872559095572</v>
      </c>
      <c r="M9" s="8">
        <v>42.73334367095633</v>
      </c>
    </row>
    <row r="10" spans="1:13" x14ac:dyDescent="0.45">
      <c r="A10" t="s">
        <v>65</v>
      </c>
      <c r="B10">
        <v>88.92</v>
      </c>
      <c r="C10">
        <v>63.33</v>
      </c>
      <c r="D10">
        <v>71.95</v>
      </c>
      <c r="E10">
        <v>49.43</v>
      </c>
      <c r="F10">
        <v>72.040000000000006</v>
      </c>
      <c r="G10">
        <v>74.786900000000003</v>
      </c>
      <c r="H10">
        <v>79.333875000000006</v>
      </c>
      <c r="I10" s="8">
        <v>40.407389862624349</v>
      </c>
      <c r="J10" s="8">
        <v>23.585823488533709</v>
      </c>
      <c r="K10" s="8">
        <v>79.890754602468149</v>
      </c>
      <c r="L10" s="8">
        <v>23.431426985008329</v>
      </c>
      <c r="M10" s="8">
        <v>41.828848734658642</v>
      </c>
    </row>
    <row r="11" spans="1:13" x14ac:dyDescent="0.45">
      <c r="A11" t="s">
        <v>737</v>
      </c>
      <c r="B11">
        <v>2.56</v>
      </c>
      <c r="C11">
        <v>1.56</v>
      </c>
      <c r="D11">
        <v>1.93</v>
      </c>
      <c r="E11">
        <v>2.04</v>
      </c>
      <c r="F11">
        <v>1.78</v>
      </c>
      <c r="G11">
        <v>1.663</v>
      </c>
      <c r="H11">
        <v>2.5322499999999999</v>
      </c>
      <c r="I11" s="8">
        <v>64.102564102564102</v>
      </c>
      <c r="J11" s="8">
        <v>32.642487046632127</v>
      </c>
      <c r="K11" s="8">
        <v>25.490196078431371</v>
      </c>
      <c r="L11" s="8">
        <v>43.82022471910112</v>
      </c>
      <c r="M11" s="8">
        <v>41.513867986682179</v>
      </c>
    </row>
    <row r="12" spans="1:13" x14ac:dyDescent="0.45">
      <c r="A12" t="s">
        <v>1997</v>
      </c>
      <c r="B12">
        <v>22.96</v>
      </c>
      <c r="C12">
        <v>15.5</v>
      </c>
      <c r="D12">
        <v>16.510000000000002</v>
      </c>
      <c r="E12">
        <v>16.68</v>
      </c>
      <c r="F12">
        <v>18.059999999999999</v>
      </c>
      <c r="G12">
        <v>16.9132</v>
      </c>
      <c r="H12">
        <v>19.070450000000001</v>
      </c>
      <c r="I12" s="8">
        <v>48.129032258064527</v>
      </c>
      <c r="J12" s="8">
        <v>39.067231980617791</v>
      </c>
      <c r="K12" s="8">
        <v>37.649880095923272</v>
      </c>
      <c r="L12" s="8">
        <v>27.13178294573644</v>
      </c>
      <c r="M12" s="8">
        <v>37.994481820085497</v>
      </c>
    </row>
    <row r="13" spans="1:13" x14ac:dyDescent="0.45">
      <c r="A13" t="s">
        <v>2398</v>
      </c>
      <c r="B13">
        <v>31.81</v>
      </c>
      <c r="C13">
        <v>26.93</v>
      </c>
      <c r="D13">
        <v>31.46</v>
      </c>
      <c r="E13">
        <v>25.25</v>
      </c>
      <c r="F13">
        <v>15.7</v>
      </c>
      <c r="G13">
        <v>28.684799999999999</v>
      </c>
      <c r="H13">
        <v>29.14405</v>
      </c>
      <c r="I13" s="8">
        <v>18.121054585963599</v>
      </c>
      <c r="J13" s="8">
        <v>1.112523839796564</v>
      </c>
      <c r="K13" s="8">
        <v>25.980198019801978</v>
      </c>
      <c r="L13" s="8">
        <v>102.6114649681529</v>
      </c>
      <c r="M13" s="8">
        <v>36.956310353428762</v>
      </c>
    </row>
    <row r="14" spans="1:13" x14ac:dyDescent="0.45">
      <c r="A14" t="s">
        <v>2444</v>
      </c>
      <c r="B14">
        <v>29.2</v>
      </c>
      <c r="C14">
        <v>26.25</v>
      </c>
      <c r="D14">
        <v>19.98</v>
      </c>
      <c r="E14">
        <v>16.95</v>
      </c>
      <c r="F14">
        <v>25.39</v>
      </c>
      <c r="G14">
        <v>23.939399999999999</v>
      </c>
      <c r="H14">
        <v>24.788650000000001</v>
      </c>
      <c r="I14" s="8">
        <v>11.238095238095219</v>
      </c>
      <c r="J14" s="8">
        <v>46.146146146146137</v>
      </c>
      <c r="K14" s="8">
        <v>72.271386430678476</v>
      </c>
      <c r="L14" s="8">
        <v>15.005907837731391</v>
      </c>
      <c r="M14" s="8">
        <v>36.165383913162813</v>
      </c>
    </row>
    <row r="15" spans="1:13" x14ac:dyDescent="0.45">
      <c r="A15" t="s">
        <v>1198</v>
      </c>
      <c r="B15">
        <v>6.29</v>
      </c>
      <c r="C15">
        <v>4.6100000000000003</v>
      </c>
      <c r="D15">
        <v>6.95</v>
      </c>
      <c r="E15">
        <v>3</v>
      </c>
      <c r="F15">
        <v>6.15</v>
      </c>
      <c r="G15">
        <v>5.3715999999999999</v>
      </c>
      <c r="H15">
        <v>5.5338500000000002</v>
      </c>
      <c r="I15" s="8">
        <v>36.442516268980469</v>
      </c>
      <c r="J15" s="8">
        <v>-9.4964028776978395</v>
      </c>
      <c r="K15" s="8">
        <v>109.6666666666667</v>
      </c>
      <c r="L15" s="8">
        <v>2.2764227642276369</v>
      </c>
      <c r="M15" s="8">
        <v>34.722300705544228</v>
      </c>
    </row>
    <row r="16" spans="1:13" x14ac:dyDescent="0.45">
      <c r="A16" t="s">
        <v>980</v>
      </c>
      <c r="B16">
        <v>21.26</v>
      </c>
      <c r="C16">
        <v>15.9</v>
      </c>
      <c r="D16">
        <v>23.12</v>
      </c>
      <c r="E16">
        <v>17.12</v>
      </c>
      <c r="F16">
        <v>11.33</v>
      </c>
      <c r="G16">
        <v>17.191199999999991</v>
      </c>
      <c r="H16">
        <v>19.985849999999999</v>
      </c>
      <c r="I16" s="8">
        <v>33.710691823899388</v>
      </c>
      <c r="J16" s="8">
        <v>-8.0449826989619329</v>
      </c>
      <c r="K16" s="8">
        <v>24.18224299065421</v>
      </c>
      <c r="L16" s="8">
        <v>87.64342453662843</v>
      </c>
      <c r="M16" s="8">
        <v>34.372844163055028</v>
      </c>
    </row>
    <row r="17" spans="1:13" x14ac:dyDescent="0.45">
      <c r="A17" t="s">
        <v>1886</v>
      </c>
      <c r="B17">
        <v>10.51</v>
      </c>
      <c r="C17">
        <v>10.46</v>
      </c>
      <c r="D17">
        <v>14.25</v>
      </c>
      <c r="E17">
        <v>8.27</v>
      </c>
      <c r="F17">
        <v>4.6900000000000004</v>
      </c>
      <c r="G17">
        <v>10.761799999999999</v>
      </c>
      <c r="H17">
        <v>11.01</v>
      </c>
      <c r="I17" s="8">
        <v>0.47801147227533042</v>
      </c>
      <c r="J17" s="8">
        <v>-26.245614035087719</v>
      </c>
      <c r="K17" s="8">
        <v>27.08585247883919</v>
      </c>
      <c r="L17" s="8">
        <v>124.0938166311301</v>
      </c>
      <c r="M17" s="8">
        <v>31.353016636789221</v>
      </c>
    </row>
    <row r="18" spans="1:13" x14ac:dyDescent="0.45">
      <c r="A18" t="s">
        <v>2047</v>
      </c>
      <c r="B18">
        <v>11.22</v>
      </c>
      <c r="C18">
        <v>8.32</v>
      </c>
      <c r="D18">
        <v>15.15</v>
      </c>
      <c r="E18">
        <v>7.51</v>
      </c>
      <c r="F18">
        <v>6.8</v>
      </c>
      <c r="G18">
        <v>9.817400000000001</v>
      </c>
      <c r="H18">
        <v>13.706799999999999</v>
      </c>
      <c r="I18" s="8">
        <v>34.855769230769234</v>
      </c>
      <c r="J18" s="8">
        <v>-25.940594059405939</v>
      </c>
      <c r="K18" s="8">
        <v>49.400798934753659</v>
      </c>
      <c r="L18" s="8">
        <v>65.000000000000014</v>
      </c>
      <c r="M18" s="8">
        <v>30.828993526529239</v>
      </c>
    </row>
    <row r="19" spans="1:13" x14ac:dyDescent="0.45">
      <c r="A19" t="s">
        <v>1815</v>
      </c>
      <c r="B19">
        <v>3.75</v>
      </c>
      <c r="C19">
        <v>2.2000000000000002</v>
      </c>
      <c r="D19">
        <v>3.18</v>
      </c>
      <c r="E19">
        <v>2.15</v>
      </c>
      <c r="F19">
        <v>6.73</v>
      </c>
      <c r="G19">
        <v>2.6234000000000002</v>
      </c>
      <c r="H19">
        <v>4.1907500000000004</v>
      </c>
      <c r="I19" s="8">
        <v>70.454545454545439</v>
      </c>
      <c r="J19" s="8">
        <v>17.924528301886781</v>
      </c>
      <c r="K19" s="8">
        <v>74.418604651162795</v>
      </c>
      <c r="L19" s="8">
        <v>-44.279346210995541</v>
      </c>
      <c r="M19" s="8">
        <v>29.629583049149868</v>
      </c>
    </row>
    <row r="20" spans="1:13" x14ac:dyDescent="0.45">
      <c r="A20" t="s">
        <v>2539</v>
      </c>
      <c r="B20">
        <v>2.36</v>
      </c>
      <c r="C20">
        <v>2.58</v>
      </c>
      <c r="D20">
        <v>3.02</v>
      </c>
      <c r="E20">
        <v>2.08</v>
      </c>
      <c r="F20">
        <v>1.04</v>
      </c>
      <c r="G20">
        <v>2.7744</v>
      </c>
      <c r="H20">
        <v>2.94265</v>
      </c>
      <c r="I20" s="8">
        <v>-8.5271317829457409</v>
      </c>
      <c r="J20" s="8">
        <v>-21.85430463576159</v>
      </c>
      <c r="K20" s="8">
        <v>13.46153846153846</v>
      </c>
      <c r="L20" s="8">
        <v>126.92307692307691</v>
      </c>
      <c r="M20" s="8">
        <v>27.500794741477009</v>
      </c>
    </row>
    <row r="21" spans="1:13" x14ac:dyDescent="0.45">
      <c r="A21" t="s">
        <v>1190</v>
      </c>
      <c r="B21">
        <v>5.0599999999999996</v>
      </c>
      <c r="C21">
        <v>3.92</v>
      </c>
      <c r="D21">
        <v>7.39</v>
      </c>
      <c r="E21">
        <v>3.33</v>
      </c>
      <c r="F21">
        <v>3.16</v>
      </c>
      <c r="G21">
        <v>4.6202000000000014</v>
      </c>
      <c r="H21">
        <v>4.7266500000000002</v>
      </c>
      <c r="I21" s="8">
        <v>29.081632653061209</v>
      </c>
      <c r="J21" s="8">
        <v>-31.529093369418138</v>
      </c>
      <c r="K21" s="8">
        <v>51.951951951951948</v>
      </c>
      <c r="L21" s="8">
        <v>60.126582278481003</v>
      </c>
      <c r="M21" s="8">
        <v>27.407768378518998</v>
      </c>
    </row>
    <row r="22" spans="1:13" x14ac:dyDescent="0.45">
      <c r="A22" t="s">
        <v>1904</v>
      </c>
      <c r="B22">
        <v>5.7</v>
      </c>
      <c r="C22">
        <v>5.16</v>
      </c>
      <c r="D22">
        <v>3.63</v>
      </c>
      <c r="E22">
        <v>4.05</v>
      </c>
      <c r="F22">
        <v>6.21</v>
      </c>
      <c r="G22">
        <v>4.7320000000000002</v>
      </c>
      <c r="H22">
        <v>4.9939999999999998</v>
      </c>
      <c r="I22" s="8">
        <v>10.465116279069759</v>
      </c>
      <c r="J22" s="8">
        <v>57.024793388429757</v>
      </c>
      <c r="K22" s="8">
        <v>40.74074074074074</v>
      </c>
      <c r="L22" s="8">
        <v>-8.212560386473422</v>
      </c>
      <c r="M22" s="8">
        <v>25.00452250544171</v>
      </c>
    </row>
    <row r="23" spans="1:13" x14ac:dyDescent="0.45">
      <c r="A23" t="s">
        <v>1912</v>
      </c>
      <c r="B23">
        <v>14.52</v>
      </c>
      <c r="C23">
        <v>11.49</v>
      </c>
      <c r="D23">
        <v>13.22</v>
      </c>
      <c r="E23">
        <v>10.039999999999999</v>
      </c>
      <c r="F23">
        <v>12.33</v>
      </c>
      <c r="G23">
        <v>11.6332</v>
      </c>
      <c r="H23">
        <v>12.281750000000001</v>
      </c>
      <c r="I23" s="8">
        <v>26.370757180156652</v>
      </c>
      <c r="J23" s="8">
        <v>9.8335854765506667</v>
      </c>
      <c r="K23" s="8">
        <v>44.621513944223111</v>
      </c>
      <c r="L23" s="8">
        <v>17.761557177615561</v>
      </c>
      <c r="M23" s="8">
        <v>24.646853444636498</v>
      </c>
    </row>
    <row r="24" spans="1:13" x14ac:dyDescent="0.45">
      <c r="A24" t="s">
        <v>238</v>
      </c>
      <c r="B24">
        <v>57.19</v>
      </c>
      <c r="C24">
        <v>51.6</v>
      </c>
      <c r="D24">
        <v>54.86</v>
      </c>
      <c r="E24">
        <v>46.11</v>
      </c>
      <c r="F24">
        <v>36.770000000000003</v>
      </c>
      <c r="G24">
        <v>52.077599999999997</v>
      </c>
      <c r="H24">
        <v>52.293100000000003</v>
      </c>
      <c r="I24" s="8">
        <v>10.83333333333332</v>
      </c>
      <c r="J24" s="8">
        <v>4.2471746263215371</v>
      </c>
      <c r="K24" s="8">
        <v>24.02949468661895</v>
      </c>
      <c r="L24" s="8">
        <v>55.534403045961348</v>
      </c>
      <c r="M24" s="8">
        <v>23.661101423058788</v>
      </c>
    </row>
    <row r="25" spans="1:13" x14ac:dyDescent="0.45">
      <c r="A25" t="s">
        <v>2217</v>
      </c>
      <c r="B25">
        <v>4.08</v>
      </c>
      <c r="C25">
        <v>3.22</v>
      </c>
      <c r="D25">
        <v>2.77</v>
      </c>
      <c r="E25">
        <v>2.74</v>
      </c>
      <c r="F25">
        <v>6.03</v>
      </c>
      <c r="G25">
        <v>3.3837999999999999</v>
      </c>
      <c r="H25">
        <v>3.7282999999999999</v>
      </c>
      <c r="I25" s="8">
        <v>26.70807453416149</v>
      </c>
      <c r="J25" s="8">
        <v>47.292418772563167</v>
      </c>
      <c r="K25" s="8">
        <v>48.905109489051092</v>
      </c>
      <c r="L25" s="8">
        <v>-32.338308457711442</v>
      </c>
      <c r="M25" s="8">
        <v>22.641823584516079</v>
      </c>
    </row>
    <row r="26" spans="1:13" x14ac:dyDescent="0.45">
      <c r="A26" t="s">
        <v>1554</v>
      </c>
      <c r="B26">
        <v>2.82</v>
      </c>
      <c r="C26">
        <v>2.2584</v>
      </c>
      <c r="D26">
        <v>2.4500000000000002</v>
      </c>
      <c r="E26">
        <v>2.2208000000000001</v>
      </c>
      <c r="F26">
        <v>2.29</v>
      </c>
      <c r="G26">
        <v>2.337224</v>
      </c>
      <c r="H26">
        <v>2.3761144999999999</v>
      </c>
      <c r="I26" s="8">
        <v>24.86716259298618</v>
      </c>
      <c r="J26" s="8">
        <v>15.102040816326509</v>
      </c>
      <c r="K26" s="8">
        <v>26.981268011527359</v>
      </c>
      <c r="L26" s="8">
        <v>23.144104803493448</v>
      </c>
      <c r="M26" s="8">
        <v>22.523644056083381</v>
      </c>
    </row>
    <row r="27" spans="1:13" x14ac:dyDescent="0.45">
      <c r="A27" t="s">
        <v>1883</v>
      </c>
      <c r="B27">
        <v>145.30000000000001</v>
      </c>
      <c r="C27">
        <v>104.07</v>
      </c>
      <c r="D27">
        <v>103.34</v>
      </c>
      <c r="E27">
        <v>104.44</v>
      </c>
      <c r="F27">
        <v>209.59</v>
      </c>
      <c r="G27">
        <v>112.304</v>
      </c>
      <c r="H27">
        <v>129.20865000000001</v>
      </c>
      <c r="I27" s="8">
        <v>39.617565100413209</v>
      </c>
      <c r="J27" s="8">
        <v>40.603832010838012</v>
      </c>
      <c r="K27" s="8">
        <v>39.1229414017618</v>
      </c>
      <c r="L27" s="8">
        <v>-30.674173386134829</v>
      </c>
      <c r="M27" s="8">
        <v>22.167541281719551</v>
      </c>
    </row>
    <row r="28" spans="1:13" x14ac:dyDescent="0.45">
      <c r="A28" t="s">
        <v>2360</v>
      </c>
      <c r="B28">
        <v>109.7</v>
      </c>
      <c r="C28">
        <v>108.67</v>
      </c>
      <c r="D28">
        <v>122.12</v>
      </c>
      <c r="E28">
        <v>83.58</v>
      </c>
      <c r="F28">
        <v>66.39</v>
      </c>
      <c r="G28">
        <v>107.889</v>
      </c>
      <c r="H28">
        <v>112.08095</v>
      </c>
      <c r="I28" s="8">
        <v>0.94782368638999248</v>
      </c>
      <c r="J28" s="8">
        <v>-10.170324271208649</v>
      </c>
      <c r="K28" s="8">
        <v>31.251495573103629</v>
      </c>
      <c r="L28" s="8">
        <v>65.235728272330178</v>
      </c>
      <c r="M28" s="8">
        <v>21.816180815153789</v>
      </c>
    </row>
    <row r="29" spans="1:13" x14ac:dyDescent="0.45">
      <c r="A29" t="s">
        <v>1620</v>
      </c>
      <c r="B29">
        <v>5.61</v>
      </c>
      <c r="C29">
        <v>4.5999999999999996</v>
      </c>
      <c r="D29">
        <v>4.51</v>
      </c>
      <c r="E29">
        <v>3.61</v>
      </c>
      <c r="F29">
        <v>6.71</v>
      </c>
      <c r="G29">
        <v>4.7220000000000004</v>
      </c>
      <c r="H29">
        <v>4.7565</v>
      </c>
      <c r="I29" s="8">
        <v>21.956521739130451</v>
      </c>
      <c r="J29" s="8">
        <v>24.39024390243905</v>
      </c>
      <c r="K29" s="8">
        <v>55.4016620498615</v>
      </c>
      <c r="L29" s="8">
        <v>-16.393442622950818</v>
      </c>
      <c r="M29" s="8">
        <v>21.338746267120051</v>
      </c>
    </row>
    <row r="30" spans="1:13" x14ac:dyDescent="0.45">
      <c r="A30" t="s">
        <v>2481</v>
      </c>
      <c r="B30">
        <v>88.91</v>
      </c>
      <c r="C30">
        <v>79.930000000000007</v>
      </c>
      <c r="D30">
        <v>71.010000000000005</v>
      </c>
      <c r="E30">
        <v>67.569999999999993</v>
      </c>
      <c r="F30">
        <v>77.61</v>
      </c>
      <c r="G30">
        <v>78.675399999999996</v>
      </c>
      <c r="H30">
        <v>81.004099999999994</v>
      </c>
      <c r="I30" s="8">
        <v>11.234830476667071</v>
      </c>
      <c r="J30" s="8">
        <v>25.207717222926341</v>
      </c>
      <c r="K30" s="8">
        <v>31.582063045730369</v>
      </c>
      <c r="L30" s="8">
        <v>14.559979384099989</v>
      </c>
      <c r="M30" s="8">
        <v>20.64614753235594</v>
      </c>
    </row>
    <row r="31" spans="1:13" x14ac:dyDescent="0.45">
      <c r="A31" t="s">
        <v>2006</v>
      </c>
      <c r="B31">
        <v>2.34</v>
      </c>
      <c r="C31">
        <v>1.61</v>
      </c>
      <c r="D31">
        <v>2.23</v>
      </c>
      <c r="E31">
        <v>1.83</v>
      </c>
      <c r="F31">
        <v>2.2999999999999998</v>
      </c>
      <c r="G31">
        <v>1.9378</v>
      </c>
      <c r="H31">
        <v>2.5496500000000002</v>
      </c>
      <c r="I31" s="8">
        <v>45.341614906832277</v>
      </c>
      <c r="J31" s="8">
        <v>4.9327354260089624</v>
      </c>
      <c r="K31" s="8">
        <v>27.868852459016381</v>
      </c>
      <c r="L31" s="8">
        <v>1.7391304347826211</v>
      </c>
      <c r="M31" s="8">
        <v>19.97058330666006</v>
      </c>
    </row>
    <row r="32" spans="1:13" x14ac:dyDescent="0.45">
      <c r="A32" t="s">
        <v>1551</v>
      </c>
      <c r="B32">
        <v>6.63</v>
      </c>
      <c r="C32">
        <v>5.91</v>
      </c>
      <c r="D32">
        <v>6.41</v>
      </c>
      <c r="E32">
        <v>5.31</v>
      </c>
      <c r="F32">
        <v>4.7699999999999996</v>
      </c>
      <c r="G32">
        <v>6.2170000000000014</v>
      </c>
      <c r="H32">
        <v>6.4438500000000003</v>
      </c>
      <c r="I32" s="8">
        <v>12.182741116751259</v>
      </c>
      <c r="J32" s="8">
        <v>3.4321372854914101</v>
      </c>
      <c r="K32" s="8">
        <v>24.85875706214691</v>
      </c>
      <c r="L32" s="8">
        <v>38.993710691823907</v>
      </c>
      <c r="M32" s="8">
        <v>19.86683653905337</v>
      </c>
    </row>
    <row r="33" spans="1:13" x14ac:dyDescent="0.45">
      <c r="A33" t="s">
        <v>2061</v>
      </c>
      <c r="B33">
        <v>45.05</v>
      </c>
      <c r="C33">
        <v>35.369999999999997</v>
      </c>
      <c r="D33">
        <v>36.200000000000003</v>
      </c>
      <c r="E33">
        <v>38.68</v>
      </c>
      <c r="F33">
        <v>41.03</v>
      </c>
      <c r="G33">
        <v>36.857199999999999</v>
      </c>
      <c r="H33">
        <v>36.965249999999997</v>
      </c>
      <c r="I33" s="8">
        <v>27.367825841108282</v>
      </c>
      <c r="J33" s="8">
        <v>24.447513812154689</v>
      </c>
      <c r="K33" s="8">
        <v>16.468459152016528</v>
      </c>
      <c r="L33" s="8">
        <v>9.7977089934194304</v>
      </c>
      <c r="M33" s="8">
        <v>19.520376949674731</v>
      </c>
    </row>
    <row r="34" spans="1:13" x14ac:dyDescent="0.45">
      <c r="A34" t="s">
        <v>1067</v>
      </c>
      <c r="B34">
        <v>38.39</v>
      </c>
      <c r="C34">
        <v>32.76</v>
      </c>
      <c r="D34">
        <v>29.46</v>
      </c>
      <c r="E34">
        <v>28.65</v>
      </c>
      <c r="F34">
        <v>39.83</v>
      </c>
      <c r="G34">
        <v>33.189599999999999</v>
      </c>
      <c r="H34">
        <v>33.443100000000001</v>
      </c>
      <c r="I34" s="8">
        <v>17.185592185592188</v>
      </c>
      <c r="J34" s="8">
        <v>30.31228784792939</v>
      </c>
      <c r="K34" s="8">
        <v>33.996509598603851</v>
      </c>
      <c r="L34" s="8">
        <v>-3.6153653025357668</v>
      </c>
      <c r="M34" s="8">
        <v>19.469756082397421</v>
      </c>
    </row>
    <row r="35" spans="1:13" x14ac:dyDescent="0.45">
      <c r="A35" t="s">
        <v>693</v>
      </c>
      <c r="B35">
        <v>34.03</v>
      </c>
      <c r="C35">
        <v>28.41</v>
      </c>
      <c r="D35">
        <v>20.73</v>
      </c>
      <c r="E35">
        <v>47.11</v>
      </c>
      <c r="G35">
        <v>27.509</v>
      </c>
      <c r="H35">
        <v>34.096499999999999</v>
      </c>
      <c r="I35" s="8">
        <v>19.781766983456532</v>
      </c>
      <c r="J35" s="8">
        <v>64.158224794983127</v>
      </c>
      <c r="K35" s="8">
        <v>-27.764805773721079</v>
      </c>
      <c r="L35" s="8"/>
      <c r="M35" s="8">
        <v>18.725062001572859</v>
      </c>
    </row>
    <row r="36" spans="1:13" x14ac:dyDescent="0.45">
      <c r="A36" t="s">
        <v>1447</v>
      </c>
      <c r="B36">
        <v>6.41</v>
      </c>
      <c r="C36">
        <v>6.08</v>
      </c>
      <c r="D36">
        <v>7.05</v>
      </c>
      <c r="E36">
        <v>5.35</v>
      </c>
      <c r="F36">
        <v>4.22</v>
      </c>
      <c r="G36">
        <v>6.2096000000000018</v>
      </c>
      <c r="H36">
        <v>6.2135999999999996</v>
      </c>
      <c r="I36" s="8">
        <v>5.4276315789473673</v>
      </c>
      <c r="J36" s="8">
        <v>-9.0780141843971549</v>
      </c>
      <c r="K36" s="8">
        <v>19.81308411214955</v>
      </c>
      <c r="L36" s="8">
        <v>51.895734597156419</v>
      </c>
      <c r="M36" s="8">
        <v>17.014609025964042</v>
      </c>
    </row>
    <row r="37" spans="1:13" x14ac:dyDescent="0.45">
      <c r="A37" t="s">
        <v>1301</v>
      </c>
      <c r="B37">
        <v>2.2000000000000002</v>
      </c>
      <c r="C37">
        <v>1.86</v>
      </c>
      <c r="D37">
        <v>1.76</v>
      </c>
      <c r="E37">
        <v>1.35</v>
      </c>
      <c r="F37">
        <v>3.64</v>
      </c>
      <c r="G37">
        <v>1.9001999999999999</v>
      </c>
      <c r="H37">
        <v>2.0093000000000001</v>
      </c>
      <c r="I37" s="8">
        <v>18.27956989247312</v>
      </c>
      <c r="J37" s="8">
        <v>25</v>
      </c>
      <c r="K37" s="8">
        <v>62.962962962962983</v>
      </c>
      <c r="L37" s="8">
        <v>-39.560439560439548</v>
      </c>
      <c r="M37" s="8">
        <v>16.670523323749141</v>
      </c>
    </row>
    <row r="38" spans="1:13" x14ac:dyDescent="0.45">
      <c r="A38" t="s">
        <v>888</v>
      </c>
      <c r="B38">
        <v>37.520000000000003</v>
      </c>
      <c r="C38">
        <v>32</v>
      </c>
      <c r="D38">
        <v>31.95</v>
      </c>
      <c r="E38">
        <v>28.17</v>
      </c>
      <c r="F38">
        <v>38.31</v>
      </c>
      <c r="G38">
        <v>32.462000000000003</v>
      </c>
      <c r="H38">
        <v>33.0717</v>
      </c>
      <c r="I38" s="8">
        <v>17.250000000000011</v>
      </c>
      <c r="J38" s="8">
        <v>17.43348982785604</v>
      </c>
      <c r="K38" s="8">
        <v>33.191338303159391</v>
      </c>
      <c r="L38" s="8">
        <v>-2.062124771600105</v>
      </c>
      <c r="M38" s="8">
        <v>16.453175839853831</v>
      </c>
    </row>
    <row r="39" spans="1:13" x14ac:dyDescent="0.45">
      <c r="A39" t="s">
        <v>2506</v>
      </c>
      <c r="B39">
        <v>10.85</v>
      </c>
      <c r="C39">
        <v>8.39</v>
      </c>
      <c r="D39">
        <v>9.7100000000000009</v>
      </c>
      <c r="E39">
        <v>8.73</v>
      </c>
      <c r="F39">
        <v>11.08</v>
      </c>
      <c r="G39">
        <v>9.1618000000000013</v>
      </c>
      <c r="H39">
        <v>10.097799999999999</v>
      </c>
      <c r="I39" s="8">
        <v>29.320619785458859</v>
      </c>
      <c r="J39" s="8">
        <v>11.740473738414</v>
      </c>
      <c r="K39" s="8">
        <v>24.2840778923253</v>
      </c>
      <c r="L39" s="8">
        <v>-2.0758122743682379</v>
      </c>
      <c r="M39" s="8">
        <v>15.817339785457481</v>
      </c>
    </row>
    <row r="40" spans="1:13" x14ac:dyDescent="0.45">
      <c r="A40" t="s">
        <v>1754</v>
      </c>
      <c r="B40">
        <v>44.58</v>
      </c>
      <c r="C40">
        <v>38.409999999999997</v>
      </c>
      <c r="D40">
        <v>34.19</v>
      </c>
      <c r="E40">
        <v>28.95</v>
      </c>
      <c r="F40">
        <v>71.25</v>
      </c>
      <c r="G40">
        <v>37.360399999999998</v>
      </c>
      <c r="H40">
        <v>39.463549999999998</v>
      </c>
      <c r="I40" s="8">
        <v>16.063525123665709</v>
      </c>
      <c r="J40" s="8">
        <v>30.38900263234865</v>
      </c>
      <c r="K40" s="8">
        <v>53.989637305699468</v>
      </c>
      <c r="L40" s="8">
        <v>-37.431578947368429</v>
      </c>
      <c r="M40" s="8">
        <v>15.75264652858635</v>
      </c>
    </row>
    <row r="41" spans="1:13" x14ac:dyDescent="0.45">
      <c r="A41" t="s">
        <v>2287</v>
      </c>
      <c r="B41">
        <v>43.04</v>
      </c>
      <c r="C41">
        <v>34.31</v>
      </c>
      <c r="D41">
        <v>39.119999999999997</v>
      </c>
      <c r="E41">
        <v>29.96</v>
      </c>
      <c r="F41">
        <v>52.38</v>
      </c>
      <c r="G41">
        <v>36.188200000000002</v>
      </c>
      <c r="H41">
        <v>38.180399999999999</v>
      </c>
      <c r="I41" s="8">
        <v>25.44447682891284</v>
      </c>
      <c r="J41" s="8">
        <v>10.02044989775051</v>
      </c>
      <c r="K41" s="8">
        <v>43.658210947930563</v>
      </c>
      <c r="L41" s="8">
        <v>-17.831233295150831</v>
      </c>
      <c r="M41" s="8">
        <v>15.322976094860771</v>
      </c>
    </row>
    <row r="42" spans="1:13" x14ac:dyDescent="0.45">
      <c r="A42" t="s">
        <v>697</v>
      </c>
      <c r="B42">
        <v>13.2</v>
      </c>
      <c r="C42">
        <v>9.24</v>
      </c>
      <c r="D42">
        <v>10.57</v>
      </c>
      <c r="E42">
        <v>11.26</v>
      </c>
      <c r="F42">
        <v>17.309999999999999</v>
      </c>
      <c r="G42">
        <v>10.137</v>
      </c>
      <c r="H42">
        <v>13.00695</v>
      </c>
      <c r="I42" s="8">
        <v>42.85714285714284</v>
      </c>
      <c r="J42" s="8">
        <v>24.881740775780489</v>
      </c>
      <c r="K42" s="8">
        <v>17.22912966252219</v>
      </c>
      <c r="L42" s="8">
        <v>-23.74350086655113</v>
      </c>
      <c r="M42" s="8">
        <v>15.3061281072236</v>
      </c>
    </row>
    <row r="43" spans="1:13" x14ac:dyDescent="0.45">
      <c r="A43" t="s">
        <v>2036</v>
      </c>
      <c r="B43">
        <v>6.91</v>
      </c>
      <c r="C43">
        <v>5.69</v>
      </c>
      <c r="D43">
        <v>7.72</v>
      </c>
      <c r="E43">
        <v>5.57</v>
      </c>
      <c r="F43">
        <v>5.63</v>
      </c>
      <c r="G43">
        <v>6.8730999999999991</v>
      </c>
      <c r="H43">
        <v>9.0027249999999999</v>
      </c>
      <c r="I43" s="8">
        <v>21.44112478031635</v>
      </c>
      <c r="J43" s="8">
        <v>-10.492227979274601</v>
      </c>
      <c r="K43" s="8">
        <v>24.05745062836624</v>
      </c>
      <c r="L43" s="8">
        <v>22.735346358792199</v>
      </c>
      <c r="M43" s="8">
        <v>14.43542344705004</v>
      </c>
    </row>
    <row r="44" spans="1:13" x14ac:dyDescent="0.45">
      <c r="A44" t="s">
        <v>661</v>
      </c>
      <c r="B44">
        <v>18.670000000000002</v>
      </c>
      <c r="C44">
        <v>17.64</v>
      </c>
      <c r="D44">
        <v>19.510000000000002</v>
      </c>
      <c r="E44">
        <v>14.93</v>
      </c>
      <c r="F44">
        <v>14.29</v>
      </c>
      <c r="G44">
        <v>17.819600000000001</v>
      </c>
      <c r="H44">
        <v>18.142700000000001</v>
      </c>
      <c r="I44" s="8">
        <v>5.8390022675737008</v>
      </c>
      <c r="J44" s="8">
        <v>-4.3054843669912852</v>
      </c>
      <c r="K44" s="8">
        <v>25.050234427327538</v>
      </c>
      <c r="L44" s="8">
        <v>30.650804758572448</v>
      </c>
      <c r="M44" s="8">
        <v>14.308639271620599</v>
      </c>
    </row>
    <row r="45" spans="1:13" x14ac:dyDescent="0.45">
      <c r="A45" t="s">
        <v>1925</v>
      </c>
      <c r="B45">
        <v>73.14</v>
      </c>
      <c r="C45">
        <v>70.13</v>
      </c>
      <c r="D45">
        <v>72.16</v>
      </c>
      <c r="E45">
        <v>57.32</v>
      </c>
      <c r="F45">
        <v>59.3</v>
      </c>
      <c r="G45">
        <v>68.972999999999999</v>
      </c>
      <c r="H45">
        <v>70.498050000000006</v>
      </c>
      <c r="I45" s="8">
        <v>4.2920290888350374</v>
      </c>
      <c r="J45" s="8">
        <v>1.358093126385818</v>
      </c>
      <c r="K45" s="8">
        <v>27.599441730635021</v>
      </c>
      <c r="L45" s="8">
        <v>23.338954468802701</v>
      </c>
      <c r="M45" s="8">
        <v>14.14712960366464</v>
      </c>
    </row>
    <row r="46" spans="1:13" x14ac:dyDescent="0.45">
      <c r="A46" t="s">
        <v>2355</v>
      </c>
      <c r="B46">
        <v>2.6</v>
      </c>
      <c r="C46">
        <v>2.52</v>
      </c>
      <c r="D46">
        <v>2.48</v>
      </c>
      <c r="E46">
        <v>2.4700000000000002</v>
      </c>
      <c r="F46">
        <v>1.84</v>
      </c>
      <c r="G46">
        <v>2.5068000000000001</v>
      </c>
      <c r="H46">
        <v>2.5819999999999999</v>
      </c>
      <c r="I46" s="8">
        <v>3.174603174603186</v>
      </c>
      <c r="J46" s="8">
        <v>4.8387096774193514</v>
      </c>
      <c r="K46" s="8">
        <v>5.2631578947368363</v>
      </c>
      <c r="L46" s="8">
        <v>41.304347826086961</v>
      </c>
      <c r="M46" s="8">
        <v>13.64520464321158</v>
      </c>
    </row>
    <row r="47" spans="1:13" x14ac:dyDescent="0.45">
      <c r="A47" t="s">
        <v>757</v>
      </c>
      <c r="B47">
        <v>53.35</v>
      </c>
      <c r="C47">
        <v>51.54</v>
      </c>
      <c r="D47">
        <v>48.37</v>
      </c>
      <c r="E47">
        <v>39.54</v>
      </c>
      <c r="F47">
        <v>51.4</v>
      </c>
      <c r="G47">
        <v>47.033400000000007</v>
      </c>
      <c r="H47">
        <v>54.172700000000013</v>
      </c>
      <c r="I47" s="8">
        <v>3.5118354675979901</v>
      </c>
      <c r="J47" s="8">
        <v>10.29563779201985</v>
      </c>
      <c r="K47" s="8">
        <v>34.926656550328779</v>
      </c>
      <c r="L47" s="8">
        <v>3.793774319066157</v>
      </c>
      <c r="M47" s="8">
        <v>13.131976032253201</v>
      </c>
    </row>
    <row r="48" spans="1:13" x14ac:dyDescent="0.45">
      <c r="A48" t="s">
        <v>2090</v>
      </c>
      <c r="B48">
        <v>38.79</v>
      </c>
      <c r="C48">
        <v>34.700000000000003</v>
      </c>
      <c r="D48">
        <v>38.44</v>
      </c>
      <c r="E48">
        <v>33.450000000000003</v>
      </c>
      <c r="F48">
        <v>31.36</v>
      </c>
      <c r="G48">
        <v>35.278799999999997</v>
      </c>
      <c r="H48">
        <v>37.1511</v>
      </c>
      <c r="I48" s="8">
        <v>11.786743515850141</v>
      </c>
      <c r="J48" s="8">
        <v>0.91050988553589285</v>
      </c>
      <c r="K48" s="8">
        <v>15.964125560538101</v>
      </c>
      <c r="L48" s="8">
        <v>23.69260204081634</v>
      </c>
      <c r="M48" s="8">
        <v>13.088495250685121</v>
      </c>
    </row>
    <row r="49" spans="1:13" x14ac:dyDescent="0.45">
      <c r="A49" t="s">
        <v>1390</v>
      </c>
      <c r="B49">
        <v>26.69</v>
      </c>
      <c r="C49">
        <v>26.23</v>
      </c>
      <c r="D49">
        <v>22.74</v>
      </c>
      <c r="E49">
        <v>19.989999999999998</v>
      </c>
      <c r="F49">
        <v>27.07</v>
      </c>
      <c r="G49">
        <v>24.244</v>
      </c>
      <c r="H49">
        <v>25.138400000000001</v>
      </c>
      <c r="I49" s="8">
        <v>1.753717117804054</v>
      </c>
      <c r="J49" s="8">
        <v>17.37027264731752</v>
      </c>
      <c r="K49" s="8">
        <v>33.516758379189618</v>
      </c>
      <c r="L49" s="8">
        <v>-1.4037680088659019</v>
      </c>
      <c r="M49" s="8">
        <v>12.80924503386132</v>
      </c>
    </row>
    <row r="50" spans="1:13" x14ac:dyDescent="0.45">
      <c r="A50" t="s">
        <v>248</v>
      </c>
      <c r="B50">
        <v>107.73</v>
      </c>
      <c r="C50">
        <v>95.51</v>
      </c>
      <c r="D50">
        <v>106.38</v>
      </c>
      <c r="E50">
        <v>100.01</v>
      </c>
      <c r="F50">
        <v>83.24</v>
      </c>
      <c r="G50">
        <v>99.105399999999989</v>
      </c>
      <c r="H50">
        <v>104.90747500000001</v>
      </c>
      <c r="I50" s="8">
        <v>12.79447178305937</v>
      </c>
      <c r="J50" s="8">
        <v>1.269035532994933</v>
      </c>
      <c r="K50" s="8">
        <v>7.719228077192275</v>
      </c>
      <c r="L50" s="8">
        <v>29.420951465641519</v>
      </c>
      <c r="M50" s="8">
        <v>12.800921714722019</v>
      </c>
    </row>
    <row r="51" spans="1:13" x14ac:dyDescent="0.45">
      <c r="A51" t="s">
        <v>1641</v>
      </c>
      <c r="B51">
        <v>17.91</v>
      </c>
      <c r="C51">
        <v>16.18</v>
      </c>
      <c r="D51">
        <v>16.38</v>
      </c>
      <c r="E51">
        <v>16.010000000000002</v>
      </c>
      <c r="F51">
        <v>15.0693</v>
      </c>
      <c r="G51">
        <v>16.733799999999999</v>
      </c>
      <c r="H51">
        <v>16.995000000000001</v>
      </c>
      <c r="I51" s="8">
        <v>10.69221260815822</v>
      </c>
      <c r="J51" s="8">
        <v>9.3406593406593519</v>
      </c>
      <c r="K51" s="8">
        <v>11.867582760774511</v>
      </c>
      <c r="L51" s="8">
        <v>18.85090880133782</v>
      </c>
      <c r="M51" s="8">
        <v>12.68784087773248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Universe</vt:lpstr>
      <vt:lpstr>Calc</vt:lpstr>
      <vt:lpstr>BuyNow</vt:lpstr>
      <vt:lpstr>Trades</vt:lpstr>
      <vt:lpstr>Holdings</vt:lpstr>
      <vt:lpstr>Review</vt:lpstr>
      <vt:lpstr>Metrics</vt:lpstr>
      <vt:lpstr>Parametrar</vt:lpstr>
      <vt:lpstr>Kandidater</vt:lpstr>
      <vt:lpstr>EarlyCandidates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Ankréus</cp:lastModifiedBy>
  <dcterms:created xsi:type="dcterms:W3CDTF">2025-10-07T09:24:22Z</dcterms:created>
  <dcterms:modified xsi:type="dcterms:W3CDTF">2025-10-09T19:05:18Z</dcterms:modified>
</cp:coreProperties>
</file>